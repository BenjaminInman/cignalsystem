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tmus Test" sheetId="1" state="visible" r:id="rId1"/>
  </sheets>
  <definedNames/>
  <calcPr fullCalcOnLoad="1" calcId="124519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\x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5B544"/>
      <sz val="14"/>
    </font>
    <font>
      <name val="Arial"/>
      <charset val="1"/>
      <family val="0"/>
      <color rgb="FF9AA0A6"/>
      <sz val="9"/>
    </font>
    <font>
      <name val="Arial"/>
      <charset val="1"/>
      <family val="0"/>
      <b val="1"/>
      <color rgb="FFF5B544"/>
      <sz val="9"/>
    </font>
    <font>
      <name val="Arial"/>
      <charset val="1"/>
      <family val="0"/>
      <b val="1"/>
      <color rgb="FF1B1B1B"/>
      <sz val="16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B8860B"/>
      <sz val="10"/>
    </font>
    <font>
      <name val="Arial"/>
      <charset val="1"/>
      <family val="0"/>
      <color rgb="FF1B1B1B"/>
      <sz val="10"/>
    </font>
    <font>
      <name val="Arial"/>
      <charset val="1"/>
      <family val="0"/>
      <b val="1"/>
      <color rgb="FF0B3D91"/>
      <sz val="10"/>
    </font>
    <font>
      <name val="Arial"/>
      <charset val="1"/>
      <family val="0"/>
      <color rgb="FFBBBBBB"/>
      <sz val="8"/>
    </font>
    <font>
      <name val="Arial"/>
      <charset val="1"/>
      <family val="0"/>
      <color rgb="FFCCCCCC"/>
      <sz val="8"/>
    </font>
    <font>
      <name val="Arial"/>
      <charset val="1"/>
      <family val="0"/>
      <b val="1"/>
      <color rgb="FF888888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B1B1B"/>
      <sz val="22"/>
    </font>
    <font>
      <name val="Arial"/>
      <charset val="1"/>
      <family val="0"/>
      <i val="1"/>
      <color rgb="FF999999"/>
      <sz val="8"/>
    </font>
  </fonts>
  <fills count="6">
    <fill>
      <patternFill/>
    </fill>
    <fill>
      <patternFill patternType="gray125"/>
    </fill>
    <fill>
      <patternFill patternType="solid">
        <fgColor rgb="FF08090A"/>
        <bgColor rgb="FF000000"/>
      </patternFill>
    </fill>
    <fill>
      <patternFill patternType="solid">
        <fgColor rgb="FFF5B544"/>
        <bgColor rgb="FFFF9900"/>
      </patternFill>
    </fill>
    <fill>
      <patternFill patternType="solid">
        <fgColor rgb="FFDCE6F2"/>
        <bgColor rgb="FFDDF1E1"/>
      </patternFill>
    </fill>
    <fill>
      <patternFill patternType="solid">
        <fgColor rgb="FFFFF6E0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" fontId="12" fillId="4" borderId="1" applyAlignment="1" pivotButton="0" quotePrefix="0" xfId="0">
      <alignment horizontal="center" vertical="center"/>
    </xf>
    <xf numFmtId="3" fontId="14" fillId="0" borderId="0" applyAlignment="1" pivotButton="0" quotePrefix="0" xfId="0">
      <alignment horizontal="general" vertical="bottom"/>
    </xf>
    <xf numFmtId="3" fontId="12" fillId="4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0" fontId="12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0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1" fontId="12" fillId="4" borderId="1" applyAlignment="1" pivotButton="0" quotePrefix="0" xfId="0">
      <alignment horizontal="center" vertical="center"/>
    </xf>
    <xf numFmtId="3" fontId="14" fillId="0" borderId="0" applyAlignment="1" pivotButton="0" quotePrefix="0" xfId="0">
      <alignment horizontal="general" vertical="bottom"/>
    </xf>
    <xf numFmtId="3" fontId="12" fillId="4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0" fontId="12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0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b val="1"/>
        <color rgb="FF1E7B34"/>
        <sz val="22"/>
      </font>
      <fill>
        <patternFill>
          <bgColor rgb="FFDDF1E1"/>
        </patternFill>
      </fill>
    </dxf>
    <dxf>
      <font>
        <name val="Arial"/>
        <charset val="1"/>
        <family val="0"/>
        <b val="1"/>
        <color rgb="FFC0392B"/>
        <sz val="22"/>
      </font>
      <fill>
        <patternFill>
          <bgColor rgb="FFF9DADA"/>
        </patternFill>
      </fill>
    </dxf>
    <dxf>
      <font>
        <b val="1"/>
        <color rgb="FF1E7B34"/>
      </font>
      <fill>
        <patternFill>
          <bgColor rgb="FFDDF1E1"/>
        </patternFill>
      </fill>
    </dxf>
    <dxf>
      <font>
        <b val="1"/>
        <color rgb="FFC0392B"/>
      </font>
      <fill>
        <patternFill>
          <bgColor rgb="FFF9DA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8860B"/>
      <rgbColor rgb="FF800080"/>
      <rgbColor rgb="FF008080"/>
      <rgbColor rgb="FFBBBBBB"/>
      <rgbColor rgb="FF888888"/>
      <rgbColor rgb="FF9AA0A6"/>
      <rgbColor rgb="FF993366"/>
      <rgbColor rgb="FFFFF6E0"/>
      <rgbColor rgb="FFDCE6F2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1E1"/>
      <rgbColor rgb="FFFFFF99"/>
      <rgbColor rgb="FFCCCCCC"/>
      <rgbColor rgb="FFFF99CC"/>
      <rgbColor rgb="FFCC99FF"/>
      <rgbColor rgb="FFF9DADA"/>
      <rgbColor rgb="FF3366FF"/>
      <rgbColor rgb="FF33CCCC"/>
      <rgbColor rgb="FF99CC00"/>
      <rgbColor rgb="FFF5B544"/>
      <rgbColor rgb="FFFF9900"/>
      <rgbColor rgb="FFFF6600"/>
      <rgbColor rgb="FF666666"/>
      <rgbColor rgb="FF999999"/>
      <rgbColor rgb="FF0B3D91"/>
      <rgbColor rgb="FF339966"/>
      <rgbColor rgb="FF08090A"/>
      <rgbColor rgb="FF333300"/>
      <rgbColor rgb="FFC0392B"/>
      <rgbColor rgb="FF993366"/>
      <rgbColor rgb="FF333399"/>
      <rgbColor rgb="FF1B1B1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</col>
      <colOff>399600</colOff>
      <row>2</row>
      <rowOff>123480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1320" y="123840"/>
          <a:ext cx="399600" cy="399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8" min="1" max="1"/>
    <col width="30" customWidth="1" style="28" min="2" max="2"/>
    <col width="15" customWidth="1" style="28" min="3" max="3"/>
    <col width="13" customWidth="1" style="28" min="4" max="4"/>
    <col width="11" customWidth="1" style="28" min="5" max="5"/>
    <col hidden="1" width="14" customWidth="1" style="28" min="6" max="6"/>
  </cols>
  <sheetData>
    <row r="1" ht="9.75" customHeight="1" s="29">
      <c r="A1" s="30" t="n"/>
      <c r="B1" s="30" t="n"/>
      <c r="C1" s="30" t="n"/>
      <c r="D1" s="30" t="n"/>
      <c r="E1" s="30" t="n"/>
      <c r="F1" s="30" t="n"/>
    </row>
    <row r="2" ht="21.75" customHeight="1" s="29">
      <c r="A2" s="30" t="n"/>
      <c r="B2" s="30" t="n"/>
      <c r="C2" s="31" t="inlineStr">
        <is>
          <t>CIGNAL·SYSTEM</t>
        </is>
      </c>
      <c r="D2" s="30" t="n"/>
      <c r="E2" s="30" t="n"/>
      <c r="F2" s="30" t="n"/>
    </row>
    <row r="3" ht="15.75" customHeight="1" s="29">
      <c r="A3" s="30" t="n"/>
      <c r="B3" s="30" t="n"/>
      <c r="C3" s="32" t="inlineStr">
        <is>
          <t>Better Signals. Better Decisions. Better Returns.</t>
        </is>
      </c>
      <c r="D3" s="30" t="n"/>
      <c r="E3" s="30" t="n"/>
      <c r="F3" s="30" t="n"/>
    </row>
    <row r="4" ht="7.5" customHeight="1" s="29">
      <c r="A4" s="30" t="n"/>
      <c r="B4" s="30" t="n"/>
      <c r="C4" s="30" t="n"/>
      <c r="D4" s="30" t="n"/>
      <c r="E4" s="30" t="n"/>
      <c r="F4" s="30" t="n"/>
    </row>
    <row r="5" ht="3" customHeight="1" s="29">
      <c r="A5" s="33" t="n"/>
      <c r="B5" s="33" t="n"/>
      <c r="C5" s="33" t="n"/>
      <c r="D5" s="33" t="n"/>
      <c r="E5" s="33" t="n"/>
      <c r="F5" s="33" t="n"/>
    </row>
    <row r="7" ht="19.7" customHeight="1" s="29">
      <c r="B7" s="34" t="inlineStr">
        <is>
          <t>LITMUS TEST</t>
        </is>
      </c>
    </row>
    <row r="8" ht="15" customHeight="1" s="29">
      <c r="B8" s="35" t="inlineStr">
        <is>
          <t>30-second deal go / no-go — market-agnostic. Pass earns the full model; fail is dead.</t>
        </is>
      </c>
    </row>
    <row r="9" ht="15" customHeight="1" s="29">
      <c r="B9" s="36" t="inlineStr">
        <is>
          <t>INPUTS</t>
        </is>
      </c>
    </row>
    <row r="10" ht="15" customHeight="1" s="29">
      <c r="B10" s="37" t="inlineStr">
        <is>
          <t>Deal type</t>
        </is>
      </c>
      <c r="C10" s="38" t="inlineStr">
        <is>
          <t>As-is</t>
        </is>
      </c>
      <c r="E10" s="39" t="n"/>
    </row>
    <row r="11" ht="15" customHeight="1" s="29">
      <c r="B11" s="37" t="inlineStr">
        <is>
          <t>Units</t>
        </is>
      </c>
      <c r="C11" s="40" t="n">
        <v>80</v>
      </c>
      <c r="F11" s="41">
        <f>C11*C14*12*(1-C16)*(1-C15)</f>
        <v/>
      </c>
    </row>
    <row r="12" ht="15" customHeight="1" s="29">
      <c r="B12" s="37" t="inlineStr">
        <is>
          <t>Purchase price</t>
        </is>
      </c>
      <c r="C12" s="42" t="n">
        <v>8000000</v>
      </c>
      <c r="F12" s="41">
        <f>C12*C17</f>
        <v/>
      </c>
    </row>
    <row r="13" ht="15" customHeight="1" s="29">
      <c r="B13" s="37" t="inlineStr">
        <is>
          <t xml:space="preserve">   $ / unit</t>
        </is>
      </c>
      <c r="C13" s="43">
        <f>C12/C11</f>
        <v/>
      </c>
      <c r="F13" s="41">
        <f>-PMT(C18/12,360,F12)*12</f>
        <v/>
      </c>
    </row>
    <row r="14" ht="15" customHeight="1" s="29">
      <c r="B14" s="37" t="inlineStr">
        <is>
          <t>Avg in-place rent ($/mo)</t>
        </is>
      </c>
      <c r="C14" s="42" t="n">
        <v>1250</v>
      </c>
      <c r="F14" s="41">
        <f>C12-F12</f>
        <v/>
      </c>
    </row>
    <row r="15" ht="15" customHeight="1" s="29">
      <c r="B15" s="37" t="inlineStr">
        <is>
          <t>Expense ratio</t>
        </is>
      </c>
      <c r="C15" s="44" t="n">
        <v>0.45</v>
      </c>
      <c r="F15" s="41">
        <f>C12+C19*C11</f>
        <v/>
      </c>
    </row>
    <row r="16" ht="15" customHeight="1" s="29">
      <c r="B16" s="37" t="inlineStr">
        <is>
          <t>Vacancy factor</t>
        </is>
      </c>
      <c r="C16" s="44" t="n">
        <v>0.07000000000000001</v>
      </c>
      <c r="F16" s="41">
        <f>C11*C20*12*(1-C16)*(1-C15)</f>
        <v/>
      </c>
    </row>
    <row r="17" ht="15" customHeight="1" s="29">
      <c r="B17" s="37" t="inlineStr">
        <is>
          <t>LTV</t>
        </is>
      </c>
      <c r="C17" s="44" t="n">
        <v>0.65</v>
      </c>
      <c r="F17" s="41">
        <f>F15*C17</f>
        <v/>
      </c>
    </row>
    <row r="18" ht="15" customHeight="1" s="29">
      <c r="B18" s="37" t="inlineStr">
        <is>
          <t>Rate</t>
        </is>
      </c>
      <c r="C18" s="45" t="n">
        <v>0.065</v>
      </c>
      <c r="F18" s="41">
        <f>-PMT(C18/12,360,F17)*12</f>
        <v/>
      </c>
    </row>
    <row r="19" ht="15" customHeight="1" s="29">
      <c r="B19" s="37" t="inlineStr">
        <is>
          <t>Rehab ($/unit) — value-add</t>
        </is>
      </c>
      <c r="C19" s="42" t="n">
        <v>15000</v>
      </c>
    </row>
    <row r="20" ht="15" customHeight="1" s="29">
      <c r="B20" s="37" t="inlineStr">
        <is>
          <t>Stabilized rent ($/mo) — value-add</t>
        </is>
      </c>
      <c r="C20" s="42" t="n">
        <v>1400</v>
      </c>
    </row>
    <row r="22" ht="15" customHeight="1" s="29">
      <c r="B22" s="36" t="inlineStr">
        <is>
          <t>PASS CRITERIA  (your bar — editable)</t>
        </is>
      </c>
    </row>
    <row r="23" ht="15" customHeight="1" s="29">
      <c r="B23" s="37" t="inlineStr">
        <is>
          <t>Min going-in cap</t>
        </is>
      </c>
      <c r="C23" s="44" t="n">
        <v>0.055</v>
      </c>
    </row>
    <row r="24" ht="15" customHeight="1" s="29">
      <c r="B24" s="37" t="inlineStr">
        <is>
          <t>Min DSCR</t>
        </is>
      </c>
      <c r="C24" s="46" t="n">
        <v>1.25</v>
      </c>
    </row>
    <row r="25" ht="15" customHeight="1" s="29">
      <c r="B25" s="37" t="inlineStr">
        <is>
          <t>Min cash-on-cash</t>
        </is>
      </c>
      <c r="C25" s="44" t="n">
        <v>0.06</v>
      </c>
    </row>
    <row r="26" ht="15" customHeight="1" s="29">
      <c r="B26" s="37" t="inlineStr">
        <is>
          <t>Min development spread (value-add)</t>
        </is>
      </c>
      <c r="C26" s="44" t="n">
        <v>0.015</v>
      </c>
    </row>
    <row r="27" ht="15" customHeight="1" s="29">
      <c r="B27" s="37" t="inlineStr">
        <is>
          <t>Min yield-on-cost (value-add)</t>
        </is>
      </c>
      <c r="C27" s="44" t="n">
        <v>0.065</v>
      </c>
    </row>
    <row r="29" ht="15" customHeight="1" s="29">
      <c r="B29" s="36" t="inlineStr">
        <is>
          <t>RESULT</t>
        </is>
      </c>
    </row>
    <row r="30" ht="15" customHeight="1" s="29">
      <c r="B30" s="37" t="inlineStr">
        <is>
          <t>Going-in cap</t>
        </is>
      </c>
      <c r="C30" s="47">
        <f>F11/C12</f>
        <v/>
      </c>
    </row>
    <row r="31" ht="15" customHeight="1" s="29">
      <c r="B31" s="37" t="inlineStr">
        <is>
          <t>DSCR</t>
        </is>
      </c>
      <c r="C31" s="48">
        <f>F11/F13</f>
        <v/>
      </c>
    </row>
    <row r="32" ht="15" customHeight="1" s="29">
      <c r="B32" s="37" t="inlineStr">
        <is>
          <t>Cash-on-cash</t>
        </is>
      </c>
      <c r="C32" s="49">
        <f>(F11-F13)/F14</f>
        <v/>
      </c>
    </row>
    <row r="33" ht="15" customHeight="1" s="29">
      <c r="B33" s="37" t="inlineStr">
        <is>
          <t>Yield-on-cost (value-add)</t>
        </is>
      </c>
      <c r="C33" s="47">
        <f>F16/F15</f>
        <v/>
      </c>
    </row>
    <row r="34" ht="15" customHeight="1" s="29">
      <c r="B34" s="37" t="inlineStr">
        <is>
          <t>Development spread (value-add)</t>
        </is>
      </c>
      <c r="C34" s="47">
        <f>C33-C30</f>
        <v/>
      </c>
    </row>
    <row r="35" ht="15" customHeight="1" s="29">
      <c r="B35" s="37" t="inlineStr">
        <is>
          <t>Stabilized DSCR (value-add)</t>
        </is>
      </c>
      <c r="C35" s="48">
        <f>F16/F18</f>
        <v/>
      </c>
    </row>
    <row r="37" ht="15" customHeight="1" s="29">
      <c r="B37" s="36" t="inlineStr">
        <is>
          <t>CHECKS</t>
        </is>
      </c>
      <c r="C37" s="50" t="inlineStr">
        <is>
          <t>Value</t>
        </is>
      </c>
      <c r="D37" s="50" t="inlineStr">
        <is>
          <t>Min</t>
        </is>
      </c>
    </row>
    <row r="38" ht="15" customHeight="1" s="29">
      <c r="B38" s="37">
        <f>IF(C10="Value-add","Development spread","Going-in cap")</f>
        <v/>
      </c>
      <c r="C38" s="51">
        <f>IF(C10="Value-add",C34,C30)</f>
        <v/>
      </c>
      <c r="D38" s="52">
        <f>IF(C10="Value-add",C26,C23)</f>
        <v/>
      </c>
      <c r="E38" s="53">
        <f>IF(C38&gt;=D38,"PASS","FAIL")</f>
        <v/>
      </c>
    </row>
    <row r="39" ht="15" customHeight="1" s="29">
      <c r="B39" s="37">
        <f>IF(C10="Value-add","Yield-on-cost","DSCR")</f>
        <v/>
      </c>
      <c r="C39" s="54">
        <f>IF(C10="Value-add",C33,C31)</f>
        <v/>
      </c>
      <c r="D39" s="54">
        <f>IF(C10="Value-add",C27,C24)</f>
        <v/>
      </c>
      <c r="E39" s="53">
        <f>IF(C39&gt;=D39,"PASS","FAIL")</f>
        <v/>
      </c>
    </row>
    <row r="40" ht="15" customHeight="1" s="29">
      <c r="B40" s="37">
        <f>IF(C10="Value-add","Stabilized DSCR","Cash-on-cash")</f>
        <v/>
      </c>
      <c r="C40" s="52">
        <f>IF(C10="Value-add",C35,C32)</f>
        <v/>
      </c>
      <c r="D40" s="52">
        <f>IF(C10="Value-add",C24,C25)</f>
        <v/>
      </c>
      <c r="E40" s="53">
        <f>IF(C40&gt;=D40,"PASS","FAIL")</f>
        <v/>
      </c>
    </row>
    <row r="41" ht="39.75" customHeight="1" s="29">
      <c r="B41" s="55">
        <f>IF(C10="Value-add",IF(AND(C34&gt;=C26,C33&gt;=C27,C35&gt;=C24),"PASS","FAIL"),IF(AND(C30&gt;=C23,C31&gt;=C24,C32&gt;=C25),"PASS","FAIL"))</f>
        <v/>
      </c>
    </row>
    <row r="43" ht="15" customHeight="1" s="29">
      <c r="B43" s="56" t="inlineStr">
        <is>
          <t>Cignal System · market intelligence for multifamily. A screen, not underwriting.</t>
        </is>
      </c>
    </row>
  </sheetData>
  <mergeCells count="1">
    <mergeCell ref="B41:E41"/>
  </mergeCells>
  <conditionalFormatting sqref="B4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</conditionalFormatting>
  <conditionalFormatting sqref="E38">
    <cfRule type="cellIs" rank="0" priority="4" equalAverage="0" operator="equal" aboveAverage="0" dxfId="2" text="" percent="0" bottom="0">
      <formula>"PASS"</formula>
    </cfRule>
    <cfRule type="cellIs" rank="0" priority="5" equalAverage="0" operator="equal" aboveAverage="0" dxfId="3" text="" percent="0" bottom="0">
      <formula>"FAIL"</formula>
    </cfRule>
  </conditionalFormatting>
  <conditionalFormatting sqref="E39">
    <cfRule type="cellIs" rank="0" priority="6" equalAverage="0" operator="equal" aboveAverage="0" dxfId="2" text="" percent="0" bottom="0">
      <formula>"PASS"</formula>
    </cfRule>
    <cfRule type="cellIs" rank="0" priority="7" equalAverage="0" operator="equal" aboveAverage="0" dxfId="3" text="" percent="0" bottom="0">
      <formula>"FAIL"</formula>
    </cfRule>
  </conditionalFormatting>
  <conditionalFormatting sqref="E40">
    <cfRule type="cellIs" rank="0" priority="8" equalAverage="0" operator="equal" aboveAverage="0" dxfId="2" text="" percent="0" bottom="0">
      <formula>"PASS"</formula>
    </cfRule>
    <cfRule type="cellIs" rank="0" priority="9" equalAverage="0" operator="equal" aboveAverage="0" dxfId="3" text="" percent="0" bottom="0">
      <formula>"FAIL"</formula>
    </cfRule>
  </conditionalFormatting>
  <dataValidations count="1">
    <dataValidation sqref="C10" showDropDown="0" showInputMessage="0" showErrorMessage="0" allowBlank="0" type="list" errorStyle="stop" operator="between">
      <formula1>"As-is,Value-add"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2026-08-10T04:06:41Z</dcterms:created>
  <dcterms:modified xmlns:dcterms="http://purl.org/dc/terms/" xmlns:xsi="http://www.w3.org/2001/XMLSchema-instance" xsi:type="dcterms:W3CDTF">2026-08-10T04:07:31Z</dcterms:modified>
  <cp:revision>0</cp:revision>
</cp:coreProperties>
</file>