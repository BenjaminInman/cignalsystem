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Amortization Table" sheetId="1" state="hidden" r:id="rId3"/>
    <sheet name="Drop-down List(s)" sheetId="2" state="hidden" r:id="rId4"/>
    <sheet name="Executive Summary" sheetId="3" state="visible" r:id="rId5"/>
    <sheet name="Cignal Market Read" sheetId="4" state="visible" r:id="rId6"/>
    <sheet name="Exit Strategy" sheetId="5" state="visible" r:id="rId7"/>
    <sheet name="Calibration" sheetId="6" state="visible" r:id="rId8"/>
    <sheet name="Debt Financing" sheetId="7" state="visible" r:id="rId9"/>
    <sheet name="Operating Inputs" sheetId="8" state="visible" r:id="rId10"/>
    <sheet name="T-3 Worksheet" sheetId="9" state="visible" r:id="rId11"/>
    <sheet name="Unit Mix &amp; Comparables" sheetId="10" state="visible" r:id="rId12"/>
    <sheet name="Renovation Plan" sheetId="11" state="visible" r:id="rId13"/>
    <sheet name="Unit Reno Premium Comp" sheetId="12" state="visible" r:id="rId14"/>
    <sheet name="Cash Flow - Monthly" sheetId="13" state="visible" r:id="rId15"/>
    <sheet name="Equity Waterfall - Monthly" sheetId="14" state="visible" r:id="rId16"/>
    <sheet name="Miscellaneous Info" sheetId="15" state="hidden" r:id="rId17"/>
    <sheet name="Equity Waterfall - Annual" sheetId="16" state="visible" r:id="rId18"/>
  </sheets>
  <externalReferences>
    <externalReference r:id="rId19"/>
    <externalReference r:id="rId20"/>
    <externalReference r:id="rId21"/>
  </externalReferences>
  <definedNames>
    <definedName function="false" hidden="false" name="a" vbProcedure="false">'[1]Executive Summary'!$D$19</definedName>
    <definedName function="false" hidden="false" name="b" vbProcedure="false">'[1]Executive Summary'!$D$19</definedName>
    <definedName function="false" hidden="false" name="d" vbProcedure="false">'[2]Executive Summary'!$D$19</definedName>
    <definedName function="false" hidden="true" name="IntroPrintArea" vbProcedure="false">#REF!</definedName>
    <definedName function="false" hidden="true" name="_Order1" vbProcedure="false">0</definedName>
    <definedName function="false" hidden="false" localSheetId="10" name="UNITS" vbProcedure="false">'[1]Executive Summary'!$D$19</definedName>
    <definedName function="false" hidden="false" localSheetId="12" name="UNITS" vbProcedure="false">'[3]Executive Summary'!$D$19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Repaired: was =Cash Flow!#REF!. Now refinance proceeds (0 when no refi).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Driven by Cignal Market Read (was flat manual input).</t>
        </r>
      </text>
    </comment>
    <comment ref="I6" authorId="0">
      <text>
        <r>
          <rPr>
            <sz val="10"/>
            <rFont val="Arial"/>
            <family val="2"/>
          </rPr>
          <t xml:space="preserve">Driven by Cignal Market Read (was flat manual input).</t>
        </r>
      </text>
    </comment>
    <comment ref="I7" authorId="0">
      <text>
        <r>
          <rPr>
            <sz val="10"/>
            <rFont val="Arial"/>
            <family val="2"/>
          </rPr>
          <t xml:space="preserve">Driven by Cignal Market Read (was flat manual input).</t>
        </r>
      </text>
    </comment>
    <comment ref="I15" authorId="0">
      <text>
        <r>
          <rPr>
            <sz val="10"/>
            <rFont val="Arial"/>
            <family val="2"/>
          </rPr>
          <t xml:space="preserve">Driven by Cignal Market Read (was flat manual input).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2" authorId="0">
      <text>
        <r>
          <rPr>
            <sz val="10"/>
            <rFont val="Arial"/>
            <family val="2"/>
          </rPr>
          <t xml:space="preserve">Driven by Cignal Market Read (stabilized vacancy, stored negative).</t>
        </r>
      </text>
    </comment>
  </commentList>
</comments>
</file>

<file path=xl/sharedStrings.xml><?xml version="1.0" encoding="utf-8"?>
<sst xmlns="http://schemas.openxmlformats.org/spreadsheetml/2006/main" count="1063" uniqueCount="698">
  <si>
    <t xml:space="preserve">Acquisition Loan</t>
  </si>
  <si>
    <t xml:space="preserve">Refinance / Supplemental Loan</t>
  </si>
  <si>
    <t xml:space="preserve">Month</t>
  </si>
  <si>
    <t xml:space="preserve">Beg Bal</t>
  </si>
  <si>
    <t xml:space="preserve">Interest</t>
  </si>
  <si>
    <t xml:space="preserve">Principal</t>
  </si>
  <si>
    <t xml:space="preserve">End Bal</t>
  </si>
  <si>
    <t xml:space="preserve">Closing</t>
  </si>
  <si>
    <t xml:space="preserve">Max CF</t>
  </si>
  <si>
    <t xml:space="preserve">Yes</t>
  </si>
  <si>
    <t xml:space="preserve">Construction</t>
  </si>
  <si>
    <t xml:space="preserve">Max IRR</t>
  </si>
  <si>
    <t xml:space="preserve">No</t>
  </si>
  <si>
    <t xml:space="preserve">Lease-Up</t>
  </si>
  <si>
    <t xml:space="preserve">Stabilized</t>
  </si>
  <si>
    <t xml:space="preserve">Refinance</t>
  </si>
  <si>
    <t xml:space="preserve">Sale</t>
  </si>
  <si>
    <t xml:space="preserve">Riverhill TH</t>
  </si>
  <si>
    <t xml:space="preserve">Property Details:</t>
  </si>
  <si>
    <t xml:space="preserve">Growth Assumptions:</t>
  </si>
  <si>
    <t xml:space="preserve">Debt Financing Assumptions:</t>
  </si>
  <si>
    <t xml:space="preserve">Equity Contributions:</t>
  </si>
  <si>
    <t xml:space="preserve">%</t>
  </si>
  <si>
    <t xml:space="preserve">Amount</t>
  </si>
  <si>
    <t xml:space="preserve">Property Name</t>
  </si>
  <si>
    <t xml:space="preserve">Rent Growth (Year 1)</t>
  </si>
  <si>
    <t xml:space="preserve">Acquisition Loan Proceeds</t>
  </si>
  <si>
    <t xml:space="preserve">LP Equity</t>
  </si>
  <si>
    <t xml:space="preserve">Address</t>
  </si>
  <si>
    <t xml:space="preserve">3017 Limestone Drive</t>
  </si>
  <si>
    <t xml:space="preserve">Rent Growth (Year 2)</t>
  </si>
  <si>
    <t xml:space="preserve">Loan-to-Purchase Price</t>
  </si>
  <si>
    <t xml:space="preserve">GP Equity</t>
  </si>
  <si>
    <t xml:space="preserve">City, State</t>
  </si>
  <si>
    <t xml:space="preserve">Louisville, TN</t>
  </si>
  <si>
    <t xml:space="preserve">Rent Growth (Subsequent)</t>
  </si>
  <si>
    <t xml:space="preserve">Loan-to-Total Cost</t>
  </si>
  <si>
    <t xml:space="preserve">Total Equity</t>
  </si>
  <si>
    <t xml:space="preserve">MSA</t>
  </si>
  <si>
    <t xml:space="preserve">Knoxville</t>
  </si>
  <si>
    <t xml:space="preserve">Other Growth (Year 1)</t>
  </si>
  <si>
    <t xml:space="preserve">Interest Rate</t>
  </si>
  <si>
    <t xml:space="preserve">Year Built / Renovated</t>
  </si>
  <si>
    <t xml:space="preserve">Other Growth (Year 2)</t>
  </si>
  <si>
    <t xml:space="preserve">Loan Term</t>
  </si>
  <si>
    <t xml:space="preserve">GP Fees:</t>
  </si>
  <si>
    <t xml:space="preserve">Construction Type</t>
  </si>
  <si>
    <t xml:space="preserve">Frame</t>
  </si>
  <si>
    <t xml:space="preserve">Other Growth (Subsequent)</t>
  </si>
  <si>
    <t xml:space="preserve">Initial I/O Period</t>
  </si>
  <si>
    <t xml:space="preserve">Acquisition Fee</t>
  </si>
  <si>
    <t xml:space="preserve"># Buildings</t>
  </si>
  <si>
    <t xml:space="preserve">Amortization (after Initial I/O period)</t>
  </si>
  <si>
    <t xml:space="preserve">Equity Placement Fee</t>
  </si>
  <si>
    <t xml:space="preserve"># Units</t>
  </si>
  <si>
    <t xml:space="preserve">Exit Assumptions:</t>
  </si>
  <si>
    <t xml:space="preserve">Analysis Starting Month</t>
  </si>
  <si>
    <t xml:space="preserve">Asset Management Fee</t>
  </si>
  <si>
    <t xml:space="preserve">Rentable Square Footage (SF)</t>
  </si>
  <si>
    <t xml:space="preserve">Hold Period</t>
  </si>
  <si>
    <t xml:space="preserve">Loan Closing Costs</t>
  </si>
  <si>
    <t xml:space="preserve">Disposition Fee</t>
  </si>
  <si>
    <t xml:space="preserve">Exit NOI</t>
  </si>
  <si>
    <t xml:space="preserve">Mortgage Insurance Premium</t>
  </si>
  <si>
    <t xml:space="preserve">Unit Mix:</t>
  </si>
  <si>
    <t xml:space="preserve">Exit Cap Rate</t>
  </si>
  <si>
    <t xml:space="preserve">Carried Interest</t>
  </si>
  <si>
    <t xml:space="preserve">Type</t>
  </si>
  <si>
    <t xml:space="preserve">Count</t>
  </si>
  <si>
    <t xml:space="preserve">Avg SF</t>
  </si>
  <si>
    <t xml:space="preserve">Market Rent</t>
  </si>
  <si>
    <t xml:space="preserve">$ PSF</t>
  </si>
  <si>
    <t xml:space="preserve">Gross Sale Proceeds</t>
  </si>
  <si>
    <t xml:space="preserve">Studio</t>
  </si>
  <si>
    <t xml:space="preserve">Sale Costs</t>
  </si>
  <si>
    <t xml:space="preserve">Refinance Month</t>
  </si>
  <si>
    <t xml:space="preserve">Waterfall Assumptions:</t>
  </si>
  <si>
    <t xml:space="preserve">1-BR</t>
  </si>
  <si>
    <t xml:space="preserve">Refinance Proceeds</t>
  </si>
  <si>
    <t xml:space="preserve">Distribution as %</t>
  </si>
  <si>
    <t xml:space="preserve">2-BR</t>
  </si>
  <si>
    <t xml:space="preserve">Other Metrics:</t>
  </si>
  <si>
    <t xml:space="preserve">LTV</t>
  </si>
  <si>
    <t xml:space="preserve">Promote Structure</t>
  </si>
  <si>
    <t xml:space="preserve">&gt; __% IRR</t>
  </si>
  <si>
    <t xml:space="preserve">Up to __% IRR</t>
  </si>
  <si>
    <t xml:space="preserve">Promote</t>
  </si>
  <si>
    <t xml:space="preserve">GP %</t>
  </si>
  <si>
    <t xml:space="preserve">LP %</t>
  </si>
  <si>
    <t xml:space="preserve">3-BR +</t>
  </si>
  <si>
    <t xml:space="preserve">Pro Forma Expenses/Unit</t>
  </si>
  <si>
    <t xml:space="preserve">LTC on Total Cost Basis to Date</t>
  </si>
  <si>
    <t xml:space="preserve">Hurdle 1 (Preferred Return)</t>
  </si>
  <si>
    <t xml:space="preserve">GP</t>
  </si>
  <si>
    <t xml:space="preserve">LP</t>
  </si>
  <si>
    <t xml:space="preserve">Total/Avg</t>
  </si>
  <si>
    <t xml:space="preserve">Estimated Replacement Cost</t>
  </si>
  <si>
    <t xml:space="preserve">Hurdle 2</t>
  </si>
  <si>
    <t xml:space="preserve">Total Cost/Replacement Cost</t>
  </si>
  <si>
    <t xml:space="preserve">Hurdle 3</t>
  </si>
  <si>
    <t xml:space="preserve">Sources</t>
  </si>
  <si>
    <t xml:space="preserve">$</t>
  </si>
  <si>
    <t xml:space="preserve">$ Per Unit</t>
  </si>
  <si>
    <t xml:space="preserve">Total Cost</t>
  </si>
  <si>
    <t xml:space="preserve">Hurdle 4</t>
  </si>
  <si>
    <t xml:space="preserve">Senior Debt</t>
  </si>
  <si>
    <t xml:space="preserve">LP Equity (90%)</t>
  </si>
  <si>
    <t xml:space="preserve">Replacement Cost Estimate:</t>
  </si>
  <si>
    <t xml:space="preserve">Refinancing Closing Costs</t>
  </si>
  <si>
    <t xml:space="preserve">Investment Performance:</t>
  </si>
  <si>
    <t xml:space="preserve">IRR</t>
  </si>
  <si>
    <t xml:space="preserve">Equity Multiple</t>
  </si>
  <si>
    <t xml:space="preserve">Peak Capital</t>
  </si>
  <si>
    <t xml:space="preserve">Profit</t>
  </si>
  <si>
    <t xml:space="preserve">ROI</t>
  </si>
  <si>
    <t xml:space="preserve">GP Equity (10%)</t>
  </si>
  <si>
    <t xml:space="preserve">Estimated Insurance Cost PSF</t>
  </si>
  <si>
    <t xml:space="preserve">Deal-Level</t>
  </si>
  <si>
    <t xml:space="preserve">Total Sources</t>
  </si>
  <si>
    <t xml:space="preserve">Estimated Market Cost PSF</t>
  </si>
  <si>
    <t xml:space="preserve">DSCR:</t>
  </si>
  <si>
    <t xml:space="preserve">Estimated Land Value</t>
  </si>
  <si>
    <t xml:space="preserve">Trailing-3 Months</t>
  </si>
  <si>
    <t xml:space="preserve">Uses</t>
  </si>
  <si>
    <t xml:space="preserve">Insurance Replacement Cost</t>
  </si>
  <si>
    <t xml:space="preserve">Year 1 Pro Forma</t>
  </si>
  <si>
    <t xml:space="preserve">Unlevered Returns</t>
  </si>
  <si>
    <t xml:space="preserve">Purchase Price</t>
  </si>
  <si>
    <t xml:space="preserve">Market Replacement Cost</t>
  </si>
  <si>
    <t xml:space="preserve">Stabilized Pro Forma</t>
  </si>
  <si>
    <t xml:space="preserve">Capital Expenditures</t>
  </si>
  <si>
    <t xml:space="preserve">Cash-on-Cash Return:</t>
  </si>
  <si>
    <t xml:space="preserve">Year 1</t>
  </si>
  <si>
    <t xml:space="preserve">Year 2</t>
  </si>
  <si>
    <t xml:space="preserve">Year 3</t>
  </si>
  <si>
    <t xml:space="preserve">Closing Costs</t>
  </si>
  <si>
    <t xml:space="preserve">Property Taxes:</t>
  </si>
  <si>
    <t xml:space="preserve">Financing Constraints:</t>
  </si>
  <si>
    <t xml:space="preserve">Average</t>
  </si>
  <si>
    <t xml:space="preserve">Total Uses</t>
  </si>
  <si>
    <t xml:space="preserve">Appraisal to Purchase Price Ratio</t>
  </si>
  <si>
    <t xml:space="preserve">DSCR Constraint</t>
  </si>
  <si>
    <t xml:space="preserve">Tax Rate</t>
  </si>
  <si>
    <t xml:space="preserve">NOI (Trailing-12 Months)</t>
  </si>
  <si>
    <t xml:space="preserve">Closing Costs:</t>
  </si>
  <si>
    <t xml:space="preserve">Non-Ad Valorem Taxes and Fees (%)</t>
  </si>
  <si>
    <t xml:space="preserve">DSCR</t>
  </si>
  <si>
    <t xml:space="preserve">Origination Fee</t>
  </si>
  <si>
    <t xml:space="preserve">Non-Ad Valorem Taxes and Fees ($)</t>
  </si>
  <si>
    <t xml:space="preserve">Reserves/unit</t>
  </si>
  <si>
    <t xml:space="preserve">Estimated Property Taxes</t>
  </si>
  <si>
    <t xml:space="preserve">Estimated Year 1 Taxes</t>
  </si>
  <si>
    <t xml:space="preserve">Maximum Annual Payment</t>
  </si>
  <si>
    <t xml:space="preserve">Debt Placement Fee</t>
  </si>
  <si>
    <t xml:space="preserve">Maximum Proceeds</t>
  </si>
  <si>
    <t xml:space="preserve">Third Party Reports</t>
  </si>
  <si>
    <t xml:space="preserve">Insurance:</t>
  </si>
  <si>
    <t xml:space="preserve">Legal</t>
  </si>
  <si>
    <t xml:space="preserve">Estimate</t>
  </si>
  <si>
    <t xml:space="preserve">Title Costs</t>
  </si>
  <si>
    <t xml:space="preserve">Rental Income</t>
  </si>
  <si>
    <t xml:space="preserve">Other Reserves</t>
  </si>
  <si>
    <t xml:space="preserve">Insurance Rate Estimate</t>
  </si>
  <si>
    <t xml:space="preserve">Total - Closing Costs</t>
  </si>
  <si>
    <t xml:space="preserve">General Liability Rate/Unit Estimate</t>
  </si>
  <si>
    <t xml:space="preserve">Property Insurance Estimate</t>
  </si>
  <si>
    <t xml:space="preserve">Acquisition Metrics:</t>
  </si>
  <si>
    <t xml:space="preserve">Estimated General Liability</t>
  </si>
  <si>
    <t xml:space="preserve">Going-in Cap Rate</t>
  </si>
  <si>
    <t xml:space="preserve">Flood Insurance Estimate</t>
  </si>
  <si>
    <t xml:space="preserve">Year 2 Pro Forma Cap Rate</t>
  </si>
  <si>
    <t xml:space="preserve">Estimated Other</t>
  </si>
  <si>
    <t xml:space="preserve">Total Insurance Estimate</t>
  </si>
  <si>
    <t xml:space="preserve">Capital Assumptions:</t>
  </si>
  <si>
    <t xml:space="preserve">Pending Quote</t>
  </si>
  <si>
    <t xml:space="preserve">Property Renovation Budget</t>
  </si>
  <si>
    <t xml:space="preserve">Property Insurance</t>
  </si>
  <si>
    <t xml:space="preserve">Average Unit Upgrade Cost</t>
  </si>
  <si>
    <t xml:space="preserve">General Liability</t>
  </si>
  <si>
    <t xml:space="preserve">Reserve Application</t>
  </si>
  <si>
    <t xml:space="preserve">Flood</t>
  </si>
  <si>
    <t xml:space="preserve">Recurring Reserves/Unit (Years 1-5)</t>
  </si>
  <si>
    <t xml:space="preserve">Umbrella/Other</t>
  </si>
  <si>
    <t xml:space="preserve">Recurring Reserves/Unit (Years 6-10)</t>
  </si>
  <si>
    <t xml:space="preserve">Total Insurance Quote</t>
  </si>
  <si>
    <t xml:space="preserve">  CIGNAL  ·  MARKET READ</t>
  </si>
  <si>
    <t xml:space="preserve">  Forward pro forma assumptions derived from local market performance - not a flat straight-line</t>
  </si>
  <si>
    <t xml:space="preserve">Market (MSA)</t>
  </si>
  <si>
    <t xml:space="preserve">Knoxville, TN (Knox MSA)</t>
  </si>
  <si>
    <t xml:space="preserve">As of</t>
  </si>
  <si>
    <t xml:space="preserve">Q2 2026 - illustrative seed; auto-populates from Cignal warehouse in production</t>
  </si>
  <si>
    <t xml:space="preserve">Scenario</t>
  </si>
  <si>
    <t xml:space="preserve">Base</t>
  </si>
  <si>
    <t xml:space="preserve">&lt;- Bear / Base / Bull</t>
  </si>
  <si>
    <t xml:space="preserve">Cycle phase (read)</t>
  </si>
  <si>
    <t xml:space="preserve">A.  MARKET INPUTS   (from Cignal / editable)</t>
  </si>
  <si>
    <t xml:space="preserve">Long-run trend rent growth</t>
  </si>
  <si>
    <t xml:space="preserve">Employment growth YoY (metro)</t>
  </si>
  <si>
    <t xml:space="preserve">Yardi Matrix Apr-2026: +1.2% (2x US 0.6%)</t>
  </si>
  <si>
    <t xml:space="preserve">US employment growth (benchmark)</t>
  </si>
  <si>
    <t xml:space="preserve">Employment / demographic signal (-1..+1)</t>
  </si>
  <si>
    <t xml:space="preserve">Emp 2x US; unemployment 2.9%; #1 US in-migration 2026</t>
  </si>
  <si>
    <t xml:space="preserve">Rent-momentum signal (-1..+1)</t>
  </si>
  <si>
    <t xml:space="preserve">Q2-26 +1.9% - first positive quarter after 3 declines</t>
  </si>
  <si>
    <t xml:space="preserve">Absorption / demand signal (-1..+1)</t>
  </si>
  <si>
    <t xml:space="preserve">Absorption 592u in Q2, ~3x Q1, 2-yr high</t>
  </si>
  <si>
    <t xml:space="preserve">Supply-pressure signal, near-term (-1..+1)</t>
  </si>
  <si>
    <t xml:space="preserve">Largest wave in 15y; vacancy 10-yr high; 2,827u under constr.</t>
  </si>
  <si>
    <t xml:space="preserve">Supply easing by Year 2 (decay 0..1)</t>
  </si>
  <si>
    <t xml:space="preserve">Starts -73%; completions -18% YoY</t>
  </si>
  <si>
    <t xml:space="preserve">Current market vacancy</t>
  </si>
  <si>
    <t xml:space="preserve">Broad soft; stabilized ~5-6%</t>
  </si>
  <si>
    <t xml:space="preserve">Structural (stabilized) vacancy</t>
  </si>
  <si>
    <t xml:space="preserve">Current 10Y Treasury</t>
  </si>
  <si>
    <t xml:space="preserve">FRED DGS10 ~4.3-4.7%</t>
  </si>
  <si>
    <t xml:space="preserve">Projected 10Y at exit</t>
  </si>
  <si>
    <t xml:space="preserve">Editable rate view</t>
  </si>
  <si>
    <t xml:space="preserve">Going-in cap (from deal)</t>
  </si>
  <si>
    <t xml:space="preserve">Linked from Executive Summary</t>
  </si>
  <si>
    <t xml:space="preserve">B.  ENGINE COEFFICIENTS   (MSA-panel calibrated, v2026.08-msapanel-v2 - see Calibration tab)</t>
  </si>
  <si>
    <t xml:space="preserve">Rent sensitivity to momentum (k_rent)</t>
  </si>
  <si>
    <t xml:space="preserve">Panel elasticities: vacancy -1.7, employment +0.53 (metro FE, R2 0.53)</t>
  </si>
  <si>
    <t xml:space="preserve">Vacancy sensitivity to supply (k_vac)</t>
  </si>
  <si>
    <t xml:space="preserve">MSA-panel estimate: +0.21 vacancy per 1% of stock permitted (low R2)</t>
  </si>
  <si>
    <t xml:space="preserve">Exit-cap rate beta</t>
  </si>
  <si>
    <t xml:space="preserve">Literature-anchored; cap~10Y link is loose/regime-dependent</t>
  </si>
  <si>
    <t xml:space="preserve">Exit-cap phase sensitivity</t>
  </si>
  <si>
    <t xml:space="preserve">Judgmental</t>
  </si>
  <si>
    <t xml:space="preserve">Exit-cap conservatism buffer</t>
  </si>
  <si>
    <t xml:space="preserve">Judgmental underwriting buffer</t>
  </si>
  <si>
    <t xml:space="preserve">Demand weights: emp / rent-mom / absorption</t>
  </si>
  <si>
    <t xml:space="preserve">Employment UP-weighted: a strong local rent driver in the panel</t>
  </si>
  <si>
    <t xml:space="preserve">C.  DERIVATION</t>
  </si>
  <si>
    <t xml:space="preserve">Demand Index</t>
  </si>
  <si>
    <t xml:space="preserve">Supply pressure - Year 1</t>
  </si>
  <si>
    <t xml:space="preserve">Supply pressure - Year 2</t>
  </si>
  <si>
    <t xml:space="preserve">Momentum - Year 1</t>
  </si>
  <si>
    <t xml:space="preserve">Momentum - Year 2</t>
  </si>
  <si>
    <t xml:space="preserve">Momentum - at exit</t>
  </si>
  <si>
    <t xml:space="preserve">Scenario deltas: rent / vac / cap</t>
  </si>
  <si>
    <t xml:space="preserve">D.  FORWARD ASSUMPTIONS  -&gt;  feeding the model</t>
  </si>
  <si>
    <t xml:space="preserve">Rent Growth - Year 1</t>
  </si>
  <si>
    <t xml:space="preserve">Rent Growth - Year 2</t>
  </si>
  <si>
    <t xml:space="preserve">Rent Growth - Subsequent</t>
  </si>
  <si>
    <t xml:space="preserve">Stabilized Vacancy</t>
  </si>
  <si>
    <t xml:space="preserve">Cycle phase (text)</t>
  </si>
  <si>
    <t xml:space="preserve">E.  VS. NAIVE STRAIGHT-LINE</t>
  </si>
  <si>
    <t xml:space="preserve">Flat rent growth / flat vacancy / flat exit cap</t>
  </si>
  <si>
    <t xml:space="preserve">Year</t>
  </si>
  <si>
    <t xml:space="preserve">Cignal (cycle-adj)</t>
  </si>
  <si>
    <t xml:space="preserve">Naive flat 3%</t>
  </si>
  <si>
    <t xml:space="preserve">  CIGNAL  ·  EXIT STRATEGY   —   Sell vs. Refinance</t>
  </si>
  <si>
    <t xml:space="preserve">  Two paths, one cycle-driven recommendation. Sell at hold-end vs. refinance mid-hold and extend.</t>
  </si>
  <si>
    <t xml:space="preserve">INPUTS   (editable)</t>
  </si>
  <si>
    <t xml:space="preserve">Base hold — sell year (Path A)</t>
  </si>
  <si>
    <t xml:space="preserve">Refi year (Path B)</t>
  </si>
  <si>
    <t xml:space="preserve">Sell year (Path B)</t>
  </si>
  <si>
    <t xml:space="preserve">Refi LTV</t>
  </si>
  <si>
    <t xml:space="preserve">Refi valuation cap</t>
  </si>
  <si>
    <t xml:space="preserve">Refi interest rate (IO)</t>
  </si>
  <si>
    <t xml:space="preserve">Refi cost (% of new loan)</t>
  </si>
  <si>
    <t xml:space="preserve">Sale costs</t>
  </si>
  <si>
    <t xml:space="preserve">Exit cap — Path A</t>
  </si>
  <si>
    <t xml:space="preserve">Path B exit cap defaults to same; edit to reflect the phase at the later sale.</t>
  </si>
  <si>
    <t xml:space="preserve">Exit cap — Path B (later sale)</t>
  </si>
  <si>
    <t xml:space="preserve">Equity invested</t>
  </si>
  <si>
    <t xml:space="preserve">I/O years / IO DS / Amort DS</t>
  </si>
  <si>
    <t xml:space="preserve">ANNUAL STREAMS   (derived from the model)</t>
  </si>
  <si>
    <t xml:space="preserve">Net Operating Income</t>
  </si>
  <si>
    <t xml:space="preserve">Debt service (original)</t>
  </si>
  <si>
    <t xml:space="preserve">Loan balance (EOY, original)</t>
  </si>
  <si>
    <t xml:space="preserve">REFINANCE SIZING   (Path B, at refi year)</t>
  </si>
  <si>
    <t xml:space="preserve">NOI at refi+1</t>
  </si>
  <si>
    <t xml:space="preserve">Implied value at refi</t>
  </si>
  <si>
    <t xml:space="preserve">New loan</t>
  </si>
  <si>
    <t xml:space="preserve">Old loan balance at refi</t>
  </si>
  <si>
    <t xml:space="preserve">Cash-out at refi (to equity)</t>
  </si>
  <si>
    <t xml:space="preserve">New debt service (IO)</t>
  </si>
  <si>
    <t xml:space="preserve">Net sale proceeds — Path A</t>
  </si>
  <si>
    <t xml:space="preserve">Net sale proceeds — Path B</t>
  </si>
  <si>
    <t xml:space="preserve">  PATH A  —  SELL AT HOLD-END</t>
  </si>
  <si>
    <t xml:space="preserve">Cash flow to equity</t>
  </si>
  <si>
    <t xml:space="preserve">IRR (levered, deal-level)</t>
  </si>
  <si>
    <t xml:space="preserve">Equity multiple</t>
  </si>
  <si>
    <t xml:space="preserve">Total profit</t>
  </si>
  <si>
    <t xml:space="preserve">  PATH B  —  REFINANCE MID-HOLD, THEN SELL</t>
  </si>
  <si>
    <t xml:space="preserve">  CIGNAL RECOMMENDATION</t>
  </si>
  <si>
    <t xml:space="preserve">Math favors</t>
  </si>
  <si>
    <t xml:space="preserve">Cycle read (Market Read)</t>
  </si>
  <si>
    <t xml:space="preserve">Why</t>
  </si>
  <si>
    <t xml:space="preserve">Cycle vs. math</t>
  </si>
  <si>
    <t xml:space="preserve">  CIGNAL  ·  ENGINE CALIBRATION   (v2026.08-msapanel-v2)</t>
  </si>
  <si>
    <t xml:space="preserve">MSA-panel recalibration of the Market Read coefficients — matches the live web engine.</t>
  </si>
  <si>
    <t xml:space="preserve">Data: Cignal warehouse, 122 metros, 2015-2026, annual, metro fixed effects (within OLS).</t>
  </si>
  <si>
    <t xml:space="preserve">  DATA SOURCES</t>
  </si>
  <si>
    <t xml:space="preserve">Employment</t>
  </si>
  <si>
    <t xml:space="preserve">bls_metro_employment (metro nonfarm employment, YoY %)</t>
  </si>
  <si>
    <t xml:space="preserve">Rent (multifamily)</t>
  </si>
  <si>
    <t xml:space="preserve">zori_metro_mf (Zillow metro MF asking rent, YoY %)</t>
  </si>
  <si>
    <t xml:space="preserve">Vacancy</t>
  </si>
  <si>
    <t xml:space="preserve">apt_vacancy (Apartment List metro vacancy rate, %)</t>
  </si>
  <si>
    <t xml:space="preserve">Multifamily supply</t>
  </si>
  <si>
    <t xml:space="preserve">permits_5plus_metro / acs_housing_units (permits as % of stock)</t>
  </si>
  <si>
    <t xml:space="preserve">10-Year Treasury</t>
  </si>
  <si>
    <t xml:space="preserve">FRED DGS10 (national)</t>
  </si>
  <si>
    <t xml:space="preserve">  FITTED RELATIONSHIPS</t>
  </si>
  <si>
    <t xml:space="preserve">Regression</t>
  </si>
  <si>
    <t xml:space="preserve">Key coef</t>
  </si>
  <si>
    <t xml:space="preserve">R2</t>
  </si>
  <si>
    <t xml:space="preserve">Reading</t>
  </si>
  <si>
    <t xml:space="preserve">rent_yoy ~ emp_yoy + vacancy  (metro FE)</t>
  </si>
  <si>
    <t xml:space="preserve">-1.70 (vac)</t>
  </si>
  <si>
    <t xml:space="preserve">0.53</t>
  </si>
  <si>
    <t xml:space="preserve">Vacancy/slack dominates within-metro</t>
  </si>
  <si>
    <t xml:space="preserve">   ...employment term</t>
  </si>
  <si>
    <t xml:space="preserve">+0.53 (emp)</t>
  </si>
  <si>
    <t xml:space="preserve">Employment a STRONG local driver (was +0.05 national)</t>
  </si>
  <si>
    <t xml:space="preserve">d_vacancy ~ permits(% stock)  (metro FE)</t>
  </si>
  <si>
    <t xml:space="preserve">+0.21</t>
  </si>
  <si>
    <t xml:space="preserve">0.00</t>
  </si>
  <si>
    <t xml:space="preserve">LOCAL supply-&gt;vacancy now estimated (low R2)</t>
  </si>
  <si>
    <t xml:space="preserve">  HOW COEFFICIENTS WERE SET</t>
  </si>
  <si>
    <t xml:space="preserve">k_rent</t>
  </si>
  <si>
    <t xml:space="preserve">0.065</t>
  </si>
  <si>
    <t xml:space="preserve">Stronger panel elasticities (vacancy -1.7, employment +0.53)</t>
  </si>
  <si>
    <t xml:space="preserve">Demand weights (emp/rent/absorb)</t>
  </si>
  <si>
    <t xml:space="preserve">.45/.35/.20</t>
  </si>
  <si>
    <t xml:space="preserve">Employment UP-weighted: strong local driver in the panel</t>
  </si>
  <si>
    <t xml:space="preserve">k_vac</t>
  </si>
  <si>
    <t xml:space="preserve">0.010</t>
  </si>
  <si>
    <t xml:space="preserve">Now empirically anchored: panel supply-&gt;vacancy +0.21 (modest R2)</t>
  </si>
  <si>
    <t xml:space="preserve">0.50</t>
  </si>
  <si>
    <t xml:space="preserve">Unchanged - cap rates not in the panel; literature-anchored</t>
  </si>
  <si>
    <t xml:space="preserve">Phase sensitivity / buffer</t>
  </si>
  <si>
    <t xml:space="preserve">0.010 / 35bp</t>
  </si>
  <si>
    <t xml:space="preserve">Unchanged - judgmental underwriting parameters</t>
  </si>
  <si>
    <t xml:space="preserve">  CAVEATS  (read before trusting)</t>
  </si>
  <si>
    <t xml:space="preserve">•  MSA panel with metro fixed effects (122 metros, 2015-2026) - far better identified than national.</t>
  </si>
  <si>
    <t xml:space="preserve">•  k_vac still has low R2 even locally (supply is noisy) - treat as modest-confidence.</t>
  </si>
  <si>
    <t xml:space="preserve">•  Vacancy history is shorter (apt_vacancy from 2017); permits stale to 2023.</t>
  </si>
  <si>
    <t xml:space="preserve">•  Engine v2026.08-msapanel-v2 - matches the live Cignal web Underwriter exactly.</t>
  </si>
  <si>
    <t xml:space="preserve">Acquisition Financing Assumptions</t>
  </si>
  <si>
    <t xml:space="preserve">Amortization (after initial I/O period)</t>
  </si>
  <si>
    <t xml:space="preserve">NOI (Trailing-3 Months)</t>
  </si>
  <si>
    <t xml:space="preserve">Annual Debt Service (Amortizing)</t>
  </si>
  <si>
    <t xml:space="preserve">Annual Debt Service (Interest-Only)</t>
  </si>
  <si>
    <t xml:space="preserve">Loan Sizing:</t>
  </si>
  <si>
    <t xml:space="preserve">Debt Yield</t>
  </si>
  <si>
    <t xml:space="preserve">LTC / LTV</t>
  </si>
  <si>
    <t xml:space="preserve">LTPP</t>
  </si>
  <si>
    <t xml:space="preserve">Assumable Loan Amount</t>
  </si>
  <si>
    <t xml:space="preserve">-</t>
  </si>
  <si>
    <t xml:space="preserve">Actual Loan Amount:</t>
  </si>
  <si>
    <t xml:space="preserve">DSCR (Amortizing)</t>
  </si>
  <si>
    <t xml:space="preserve">Balloon Balance at Refinance</t>
  </si>
  <si>
    <t xml:space="preserve">Balloon Balance at Maturity</t>
  </si>
  <si>
    <t xml:space="preserve">Refinance Assumptions</t>
  </si>
  <si>
    <t xml:space="preserve">Implied Valuation</t>
  </si>
  <si>
    <t xml:space="preserve">Amortization</t>
  </si>
  <si>
    <t xml:space="preserve">Operating Inputs</t>
  </si>
  <si>
    <t xml:space="preserve">T-12</t>
  </si>
  <si>
    <t xml:space="preserve">T-3 Annualized</t>
  </si>
  <si>
    <t xml:space="preserve">T-3 Rev / T12 Exp</t>
  </si>
  <si>
    <t xml:space="preserve">Pro Forma (Year 1)</t>
  </si>
  <si>
    <t xml:space="preserve">Pro Forma (Year 2)</t>
  </si>
  <si>
    <t xml:space="preserve">Pro Forma (Adj T-12)</t>
  </si>
  <si>
    <t xml:space="preserve">Assumptions</t>
  </si>
  <si>
    <t xml:space="preserve">(ended 11/17)</t>
  </si>
  <si>
    <t xml:space="preserve">% / $/Unit</t>
  </si>
  <si>
    <t xml:space="preserve">Total</t>
  </si>
  <si>
    <t xml:space="preserve">REVENUES</t>
  </si>
  <si>
    <t xml:space="preserve">Gain (Loss) to Lease</t>
  </si>
  <si>
    <t xml:space="preserve">Gross Potential Rent</t>
  </si>
  <si>
    <t xml:space="preserve">Economic Loss (%)</t>
  </si>
  <si>
    <t xml:space="preserve">Rental Losses</t>
  </si>
  <si>
    <t xml:space="preserve">Bad Debt</t>
  </si>
  <si>
    <t xml:space="preserve">Net Rental Income</t>
  </si>
  <si>
    <t xml:space="preserve">Other Income</t>
  </si>
  <si>
    <t xml:space="preserve">Unit Per Year</t>
  </si>
  <si>
    <t xml:space="preserve">Utility</t>
  </si>
  <si>
    <t xml:space="preserve">Late Charges</t>
  </si>
  <si>
    <t xml:space="preserve">Other</t>
  </si>
  <si>
    <t xml:space="preserve">Total Other Income</t>
  </si>
  <si>
    <t xml:space="preserve">TOTAL REVENUES</t>
  </si>
  <si>
    <t xml:space="preserve">EXPENSES</t>
  </si>
  <si>
    <t xml:space="preserve">Controllable</t>
  </si>
  <si>
    <t xml:space="preserve">$/Unit/Year</t>
  </si>
  <si>
    <t xml:space="preserve">Payroll</t>
  </si>
  <si>
    <t xml:space="preserve">Operations &amp; Maintenance</t>
  </si>
  <si>
    <t xml:space="preserve">Marketing</t>
  </si>
  <si>
    <t xml:space="preserve">General &amp; Adminstrative</t>
  </si>
  <si>
    <t xml:space="preserve">Utilities: Reimbursable</t>
  </si>
  <si>
    <t xml:space="preserve">Utilities: Other</t>
  </si>
  <si>
    <t xml:space="preserve">Total Controllable</t>
  </si>
  <si>
    <t xml:space="preserve">Noncontrollable</t>
  </si>
  <si>
    <t xml:space="preserve">Taxes</t>
  </si>
  <si>
    <t xml:space="preserve">Insurance</t>
  </si>
  <si>
    <t xml:space="preserve">% of Total Revenue</t>
  </si>
  <si>
    <t xml:space="preserve">Property Management Fee</t>
  </si>
  <si>
    <t xml:space="preserve">Total Noncontrollable</t>
  </si>
  <si>
    <t xml:space="preserve">TOTAL EXPENSES</t>
  </si>
  <si>
    <t xml:space="preserve">NET OPERATING INCOME</t>
  </si>
  <si>
    <t xml:space="preserve">Yield on Purchase Price</t>
  </si>
  <si>
    <t xml:space="preserve">Yield on Total Cost</t>
  </si>
  <si>
    <t xml:space="preserve">Return on Equity [3]</t>
  </si>
  <si>
    <t xml:space="preserve">[1] T3 Adjusted is T3 income and Controllable expenses annualized, and pro forma Taxes, Insurance, and Management Fee.</t>
  </si>
  <si>
    <t xml:space="preserve">[2] Assumptions are pro forma numbers without factoring in any market growth or inflation projections or Y1 adjustments.</t>
  </si>
  <si>
    <t xml:space="preserve">[3] Trailing and Y1 assume Y1 debt, Y2 assumes Y2 debt, and all figures assume recurring reserves.</t>
  </si>
  <si>
    <t xml:space="preserve">T-3 Worksheet</t>
  </si>
  <si>
    <t xml:space="preserve">Annualized</t>
  </si>
  <si>
    <t xml:space="preserve">Rent Revenue</t>
  </si>
  <si>
    <t xml:space="preserve">Vacancy Rate</t>
  </si>
  <si>
    <t xml:space="preserve">Total Vacancy</t>
  </si>
  <si>
    <t xml:space="preserve">Utility Reimbursements</t>
  </si>
  <si>
    <t xml:space="preserve">Late Fees</t>
  </si>
  <si>
    <t xml:space="preserve">General &amp; Administrative</t>
  </si>
  <si>
    <t xml:space="preserve">Unit Mix &amp; Comparables</t>
  </si>
  <si>
    <t xml:space="preserve">Post Renovation</t>
  </si>
  <si>
    <t xml:space="preserve">Subject Pro Forma</t>
  </si>
  <si>
    <t xml:space="preserve">Subject Current</t>
  </si>
  <si>
    <t xml:space="preserve">Comparable #1</t>
  </si>
  <si>
    <t xml:space="preserve">Comparable #2</t>
  </si>
  <si>
    <t xml:space="preserve">Comparable #3</t>
  </si>
  <si>
    <t xml:space="preserve">Comparable #4</t>
  </si>
  <si>
    <t xml:space="preserve">Comparable #5</t>
  </si>
  <si>
    <t xml:space="preserve">Comparable #6</t>
  </si>
  <si>
    <t xml:space="preserve">Comparable #7</t>
  </si>
  <si>
    <t xml:space="preserve">B</t>
  </si>
  <si>
    <t xml:space="preserve">Johnathan's Ridge</t>
  </si>
  <si>
    <t xml:space="preserve">Riverside Manor</t>
  </si>
  <si>
    <t xml:space="preserve">Windy Lakes</t>
  </si>
  <si>
    <t xml:space="preserve">Riverside South</t>
  </si>
  <si>
    <t xml:space="preserve">Country View</t>
  </si>
  <si>
    <t xml:space="preserve">Camellia Trace</t>
  </si>
  <si>
    <t xml:space="preserve">Bridgeway</t>
  </si>
  <si>
    <t xml:space="preserve">Age</t>
  </si>
  <si>
    <t xml:space="preserve">Pre Reno</t>
  </si>
  <si>
    <t xml:space="preserve">Avg-Reno Premium</t>
  </si>
  <si>
    <t xml:space="preserve">Beds</t>
  </si>
  <si>
    <t xml:space="preserve">Baths</t>
  </si>
  <si>
    <t xml:space="preserve">SF</t>
  </si>
  <si>
    <t xml:space="preserve">$/SF</t>
  </si>
  <si>
    <t xml:space="preserve">Variance</t>
  </si>
  <si>
    <t xml:space="preserve">2BD/1.5TH</t>
  </si>
  <si>
    <t xml:space="preserve">2BD/1.5TH-D</t>
  </si>
  <si>
    <t xml:space="preserve">2BD/1.5TH-P</t>
  </si>
  <si>
    <t xml:space="preserve">Total/Average</t>
  </si>
  <si>
    <t xml:space="preserve">Valet Trash</t>
  </si>
  <si>
    <t xml:space="preserve">Rent Premiums</t>
  </si>
  <si>
    <t xml:space="preserve">Utilities/Fee Structure</t>
  </si>
  <si>
    <t xml:space="preserve">RUBS</t>
  </si>
  <si>
    <t xml:space="preserve">Washer/Dryer Charge</t>
  </si>
  <si>
    <t xml:space="preserve">Comparison Notes</t>
  </si>
  <si>
    <t xml:space="preserve">Comparable #8</t>
  </si>
  <si>
    <t xml:space="preserve">Comparable #9</t>
  </si>
  <si>
    <t xml:space="preserve">Comparable #10</t>
  </si>
  <si>
    <t xml:space="preserve">Comparable #11</t>
  </si>
  <si>
    <t xml:space="preserve">Rent Increase Breakdown [1]</t>
  </si>
  <si>
    <t xml:space="preserve">Unit Summary</t>
  </si>
  <si>
    <t xml:space="preserve">Reserve at Maryville</t>
  </si>
  <si>
    <t xml:space="preserve">A</t>
  </si>
  <si>
    <t xml:space="preserve">Share</t>
  </si>
  <si>
    <t xml:space="preserve">Pro Forma</t>
  </si>
  <si>
    <t xml:space="preserve">Increase Due to Unit Upgrades</t>
  </si>
  <si>
    <t xml:space="preserve">Bedrooms</t>
  </si>
  <si>
    <t xml:space="preserve">Avg. SF</t>
  </si>
  <si>
    <t xml:space="preserve">Current</t>
  </si>
  <si>
    <t xml:space="preserve">Initial</t>
  </si>
  <si>
    <t xml:space="preserve">Upgrade</t>
  </si>
  <si>
    <t xml:space="preserve">Renovation</t>
  </si>
  <si>
    <t xml:space="preserve">Final</t>
  </si>
  <si>
    <t xml:space="preserve">Premium for Property Renovation</t>
  </si>
  <si>
    <t xml:space="preserve">Increase to Market Rents</t>
  </si>
  <si>
    <t xml:space="preserve">Total Rent Increase</t>
  </si>
  <si>
    <t xml:space="preserve">[1] The increase due to unit upgrades broken down by unit type (in Unit Summary section), the increase due to renovations is a % of rent (this % will be multiplied by the % the renovations are complete to calculate for a particular unit), and the balance is management differences or an adjustment to "true" market.</t>
  </si>
  <si>
    <t xml:space="preserve">Rents Worksheet</t>
  </si>
  <si>
    <t xml:space="preserve">Fees</t>
  </si>
  <si>
    <t xml:space="preserve">All-in $</t>
  </si>
  <si>
    <t xml:space="preserve">All-in $/SF</t>
  </si>
  <si>
    <t xml:space="preserve">W/D</t>
  </si>
  <si>
    <t xml:space="preserve">Rating</t>
  </si>
  <si>
    <t xml:space="preserve">Renovation Plan</t>
  </si>
  <si>
    <t xml:space="preserve">Acquisition</t>
  </si>
  <si>
    <t xml:space="preserve">Concessions Adjustment</t>
  </si>
  <si>
    <t xml:space="preserve">Occupancy adjustment</t>
  </si>
  <si>
    <t xml:space="preserve">Bad Debt Adjustment</t>
  </si>
  <si>
    <t xml:space="preserve">Units Upgraded</t>
  </si>
  <si>
    <t xml:space="preserve">Concessions</t>
  </si>
  <si>
    <t xml:space="preserve">Current Occupancy</t>
  </si>
  <si>
    <t xml:space="preserve">Upgraded Units at Closing</t>
  </si>
  <si>
    <t xml:space="preserve">Other Construction Assumptions</t>
  </si>
  <si>
    <t xml:space="preserve">5-year Capital Budget (uninflated)</t>
  </si>
  <si>
    <t xml:space="preserve">Immediate</t>
  </si>
  <si>
    <t xml:space="preserve">Construction Management</t>
  </si>
  <si>
    <t xml:space="preserve">Total Capital Budget</t>
  </si>
  <si>
    <t xml:space="preserve">Contingency</t>
  </si>
  <si>
    <t xml:space="preserve">Unit Upgrade Costs</t>
  </si>
  <si>
    <t xml:space="preserve">Primary Renovation Timetable (months)</t>
  </si>
  <si>
    <t xml:space="preserve">Property Renovation</t>
  </si>
  <si>
    <t xml:space="preserve">Units Upgrades/Month (after year 1)</t>
  </si>
  <si>
    <t xml:space="preserve">Unit Renovation Timetable (months)</t>
  </si>
  <si>
    <t xml:space="preserve">Value-add:</t>
  </si>
  <si>
    <t xml:space="preserve">Unit Upgrades from Cash Flow</t>
  </si>
  <si>
    <t xml:space="preserve"> </t>
  </si>
  <si>
    <t xml:space="preserve">Up Front Unit Upgrade Capital</t>
  </si>
  <si>
    <t xml:space="preserve">Pool Remarsite</t>
  </si>
  <si>
    <t xml:space="preserve">Itemized:Standard Upgrade Plan (1)</t>
  </si>
  <si>
    <t xml:space="preserve">Pool Area Upgrades</t>
  </si>
  <si>
    <t xml:space="preserve">Appliances</t>
  </si>
  <si>
    <t xml:space="preserve">Dog park</t>
  </si>
  <si>
    <t xml:space="preserve">Flooring</t>
  </si>
  <si>
    <t xml:space="preserve">Volly Ball conversion to Bocce Ball</t>
  </si>
  <si>
    <t xml:space="preserve">Cabinets</t>
  </si>
  <si>
    <t xml:space="preserve">Tennis Ct Repurpose</t>
  </si>
  <si>
    <t xml:space="preserve">Countertops</t>
  </si>
  <si>
    <t xml:space="preserve">Leasing Office</t>
  </si>
  <si>
    <t xml:space="preserve">Interior Redevelopment</t>
  </si>
  <si>
    <t xml:space="preserve">Lighting / Security </t>
  </si>
  <si>
    <t xml:space="preserve">Washer/Dryer Machines:</t>
  </si>
  <si>
    <t xml:space="preserve">Water Savings</t>
  </si>
  <si>
    <t xml:space="preserve">Cost per Installation</t>
  </si>
  <si>
    <t xml:space="preserve">Washer/Dryer</t>
  </si>
  <si>
    <t xml:space="preserve">Number of Units</t>
  </si>
  <si>
    <t xml:space="preserve">Signage</t>
  </si>
  <si>
    <t xml:space="preserve">Average W/D Connection Cost/Unit</t>
  </si>
  <si>
    <t xml:space="preserve">Asset Preservation:</t>
  </si>
  <si>
    <t xml:space="preserve">Superior Upgrade Plan</t>
  </si>
  <si>
    <t xml:space="preserve">Incremental Cost per Unit (over base)</t>
  </si>
  <si>
    <t xml:space="preserve">Roof Repair</t>
  </si>
  <si>
    <t xml:space="preserve">General Carpentry / Front Doors</t>
  </si>
  <si>
    <t xml:space="preserve">Average Cost per Turn</t>
  </si>
  <si>
    <t xml:space="preserve">Exterior Siding</t>
  </si>
  <si>
    <t xml:space="preserve">(1) These numbers are estimates of excess cost over ordinary recurring replacements:</t>
  </si>
  <si>
    <t xml:space="preserve">Paving</t>
  </si>
  <si>
    <t xml:space="preserve">Fencing &amp; Railing</t>
  </si>
  <si>
    <t xml:space="preserve">Gutters</t>
  </si>
  <si>
    <t xml:space="preserve">Asset Preservation Summary</t>
  </si>
  <si>
    <t xml:space="preserve">Stoops Landings &amp; Breezeways</t>
  </si>
  <si>
    <t xml:space="preserve">Total AP, O&amp;M, &amp; Reserves, Years 1-5</t>
  </si>
  <si>
    <t xml:space="preserve">Foundation</t>
  </si>
  <si>
    <t xml:space="preserve">Total AP, O&amp;M, &amp; Reserves, Years 6-10</t>
  </si>
  <si>
    <t xml:space="preserve">Landscaping</t>
  </si>
  <si>
    <t xml:space="preserve">Misc.</t>
  </si>
  <si>
    <t xml:space="preserve">HVAC</t>
  </si>
  <si>
    <t xml:space="preserve">Plumbing Allowance</t>
  </si>
  <si>
    <t xml:space="preserve">Painting</t>
  </si>
  <si>
    <t xml:space="preserve">Fire Stops</t>
  </si>
  <si>
    <t xml:space="preserve">Fencing</t>
  </si>
  <si>
    <t xml:space="preserve">Windows</t>
  </si>
  <si>
    <t xml:space="preserve">Subject Post Renovation</t>
  </si>
  <si>
    <t xml:space="preserve">T12 Avg</t>
  </si>
  <si>
    <t xml:space="preserve">T3 Avg</t>
  </si>
  <si>
    <t xml:space="preserve">T3 Leases</t>
  </si>
  <si>
    <t xml:space="preserve">Level 1</t>
  </si>
  <si>
    <t xml:space="preserve">Level 2</t>
  </si>
  <si>
    <t xml:space="preserve">Level 3</t>
  </si>
  <si>
    <t xml:space="preserve">Level 4</t>
  </si>
  <si>
    <t xml:space="preserve">Cash Flow - Monthly</t>
  </si>
  <si>
    <t xml:space="preserve">Revenue Calculations</t>
  </si>
  <si>
    <t xml:space="preserve">Cumulative Rent Growth Factor</t>
  </si>
  <si>
    <t xml:space="preserve">Cumulative Other Growth Factor</t>
  </si>
  <si>
    <t xml:space="preserve">Upgraded Units EOP</t>
  </si>
  <si>
    <t xml:space="preserve">Average Market Rent- Post Renovation</t>
  </si>
  <si>
    <t xml:space="preserve">Occupancy</t>
  </si>
  <si>
    <t xml:space="preserve">Non-Upgraded Units Vacated</t>
  </si>
  <si>
    <t xml:space="preserve">Upgraded Units Vacated</t>
  </si>
  <si>
    <t xml:space="preserve">Total Units Leased</t>
  </si>
  <si>
    <t xml:space="preserve">Non-Upgraded Units Leased</t>
  </si>
  <si>
    <t xml:space="preserve">Upgraded Units Leased</t>
  </si>
  <si>
    <t xml:space="preserve">Occupied Non-Upgraded Units EOP</t>
  </si>
  <si>
    <t xml:space="preserve">Occupied Upgraded Units EOP</t>
  </si>
  <si>
    <t xml:space="preserve">New Leases</t>
  </si>
  <si>
    <t xml:space="preserve">Total Rent Roll</t>
  </si>
  <si>
    <t xml:space="preserve">Laundry/Cable</t>
  </si>
  <si>
    <t xml:space="preserve">Other </t>
  </si>
  <si>
    <t xml:space="preserve">Value @ 7 CAP</t>
  </si>
  <si>
    <t xml:space="preserve">Exterior Value-Add</t>
  </si>
  <si>
    <t xml:space="preserve">Asset Preservation</t>
  </si>
  <si>
    <t xml:space="preserve">Recurring Reserves</t>
  </si>
  <si>
    <t xml:space="preserve">Total Capital Expenditures</t>
  </si>
  <si>
    <t xml:space="preserve">Net Cash Flow Before Debt Service</t>
  </si>
  <si>
    <t xml:space="preserve">Financing Cash Flow</t>
  </si>
  <si>
    <t xml:space="preserve">Loan Proceeds</t>
  </si>
  <si>
    <t xml:space="preserve">Interest Expense</t>
  </si>
  <si>
    <t xml:space="preserve">Loan Repayment</t>
  </si>
  <si>
    <t xml:space="preserve">Capital/Deficit Reserve</t>
  </si>
  <si>
    <t xml:space="preserve">Total Financing Cash Flow</t>
  </si>
  <si>
    <t xml:space="preserve">Initial Loan Cash Flow</t>
  </si>
  <si>
    <t xml:space="preserve">Original Principal Balance</t>
  </si>
  <si>
    <t xml:space="preserve">Amortization Month</t>
  </si>
  <si>
    <t xml:space="preserve">Beginning Balance</t>
  </si>
  <si>
    <t xml:space="preserve">Draws</t>
  </si>
  <si>
    <t xml:space="preserve">Principal Payment</t>
  </si>
  <si>
    <t xml:space="preserve">Balloon Repayment</t>
  </si>
  <si>
    <t xml:space="preserve">Ending Balance</t>
  </si>
  <si>
    <t xml:space="preserve">Refinance Loan Cash Flow</t>
  </si>
  <si>
    <t xml:space="preserve">Balance at time of supplementary financing</t>
  </si>
  <si>
    <t xml:space="preserve">Total Loan Cash Flow</t>
  </si>
  <si>
    <t xml:space="preserve">Total Draws</t>
  </si>
  <si>
    <t xml:space="preserve">Total Repayment</t>
  </si>
  <si>
    <t xml:space="preserve">Total Interest</t>
  </si>
  <si>
    <t xml:space="preserve">Debt Service Coverage Ratio</t>
  </si>
  <si>
    <t xml:space="preserve">Capital/Deficit Reserve Cash Flow</t>
  </si>
  <si>
    <t xml:space="preserve">Capital Account Pre-Reserves</t>
  </si>
  <si>
    <t xml:space="preserve">Peak Month</t>
  </si>
  <si>
    <t xml:space="preserve">BOP Balance</t>
  </si>
  <si>
    <t xml:space="preserve">Initial Reserves</t>
  </si>
  <si>
    <t xml:space="preserve">Draw</t>
  </si>
  <si>
    <t xml:space="preserve">EOP Balance</t>
  </si>
  <si>
    <t xml:space="preserve">Beginning Cash Balance</t>
  </si>
  <si>
    <t xml:space="preserve">At Closing</t>
  </si>
  <si>
    <t xml:space="preserve">Equity</t>
  </si>
  <si>
    <t xml:space="preserve">Acquisition Financing</t>
  </si>
  <si>
    <t xml:space="preserve">Permanent Financing (Refinance/Supplemental)</t>
  </si>
  <si>
    <t xml:space="preserve">Other Reserve</t>
  </si>
  <si>
    <t xml:space="preserve">Acquisition Financing:</t>
  </si>
  <si>
    <t xml:space="preserve">Permanent Financing (Refinance/Supplemental):</t>
  </si>
  <si>
    <t xml:space="preserve">Ending Cash Balance</t>
  </si>
  <si>
    <t xml:space="preserve">Distribution to Equity</t>
  </si>
  <si>
    <t xml:space="preserve">Equity Cash Flow</t>
  </si>
  <si>
    <t xml:space="preserve">Current Capital Account</t>
  </si>
  <si>
    <t xml:space="preserve">Return on Equity</t>
  </si>
  <si>
    <t xml:space="preserve">Cash on Cash</t>
  </si>
  <si>
    <t xml:space="preserve">TOTAL UNLEVERED CASH FLOW</t>
  </si>
  <si>
    <t xml:space="preserve">Equity Waterfall - Monthly</t>
  </si>
  <si>
    <t xml:space="preserve">Net Cash Flow For Distribution</t>
  </si>
  <si>
    <t xml:space="preserve">Deal-Level IRR</t>
  </si>
  <si>
    <t xml:space="preserve">Deal-Level Equity Multiple</t>
  </si>
  <si>
    <t xml:space="preserve">LP Returns</t>
  </si>
  <si>
    <t xml:space="preserve">Total LP Distributions</t>
  </si>
  <si>
    <t xml:space="preserve">Total LP Contributions</t>
  </si>
  <si>
    <t xml:space="preserve">Total LP Profit</t>
  </si>
  <si>
    <t xml:space="preserve">LP IRR</t>
  </si>
  <si>
    <t xml:space="preserve">LP Equity Multiple</t>
  </si>
  <si>
    <t xml:space="preserve">GP Returns</t>
  </si>
  <si>
    <t xml:space="preserve">GP Distributions - Return on Invested Capital</t>
  </si>
  <si>
    <t xml:space="preserve">GP Distributions - Promote</t>
  </si>
  <si>
    <t xml:space="preserve">Total GP Distributions</t>
  </si>
  <si>
    <t xml:space="preserve">Asset Management Fees</t>
  </si>
  <si>
    <t xml:space="preserve">Total GP Contributions</t>
  </si>
  <si>
    <t xml:space="preserve">Total GP Profit</t>
  </si>
  <si>
    <t xml:space="preserve">GP IRR</t>
  </si>
  <si>
    <t xml:space="preserve">GP Equity Multiple</t>
  </si>
  <si>
    <t xml:space="preserve">Hurdle 1</t>
  </si>
  <si>
    <t xml:space="preserve">LP Required Return</t>
  </si>
  <si>
    <t xml:space="preserve">Beginning Balance (LP Capital Account)</t>
  </si>
  <si>
    <t xml:space="preserve">Required Return by LP (Pref)</t>
  </si>
  <si>
    <t xml:space="preserve">Contributions from LP</t>
  </si>
  <si>
    <t xml:space="preserve">Distributions to LP (Hurdle 1)</t>
  </si>
  <si>
    <t xml:space="preserve">Ending Balance (LP Capital Account)</t>
  </si>
  <si>
    <t xml:space="preserve">Distribution to LP</t>
  </si>
  <si>
    <t xml:space="preserve">Distribution to GP</t>
  </si>
  <si>
    <t xml:space="preserve">Cash Flow Remaining</t>
  </si>
  <si>
    <t xml:space="preserve">Prior Distributions</t>
  </si>
  <si>
    <t xml:space="preserve">Miscellaneous Info</t>
  </si>
  <si>
    <t xml:space="preserve">Property Appraiser Link</t>
  </si>
  <si>
    <t xml:space="preserve">6% Assessment</t>
  </si>
  <si>
    <t xml:space="preserve">Tax Bill</t>
  </si>
  <si>
    <t xml:space="preserve">Unit Upgrades:</t>
  </si>
  <si>
    <t xml:space="preserve">Superior Upgrade Plan Incremental Cost/Unit</t>
  </si>
  <si>
    <t xml:space="preserve"># of Units</t>
  </si>
  <si>
    <t xml:space="preserve">Plumbing Type</t>
  </si>
  <si>
    <t xml:space="preserve">Wiring Type</t>
  </si>
  <si>
    <t xml:space="preserve">Hot Water Source</t>
  </si>
  <si>
    <t xml:space="preserve">Water/Sewer Metering (common or individual)</t>
  </si>
  <si>
    <t xml:space="preserve">Electric Metering (common or individual)</t>
  </si>
  <si>
    <t xml:space="preserve">Individual</t>
  </si>
  <si>
    <t xml:space="preserve">AC Type (split systems or wall units)</t>
  </si>
  <si>
    <t xml:space="preserve">HVAC Heater Type (gas furance, etc.)</t>
  </si>
  <si>
    <t xml:space="preserve"># Laundry Facilities</t>
  </si>
  <si>
    <t xml:space="preserve">Acreage</t>
  </si>
  <si>
    <t xml:space="preserve">Parking Spaces</t>
  </si>
  <si>
    <t xml:space="preserve">Road Traffic Count</t>
  </si>
  <si>
    <t xml:space="preserve">School District</t>
  </si>
  <si>
    <t xml:space="preserve">District Rating / 10</t>
  </si>
  <si>
    <t xml:space="preserve">Elementary School</t>
  </si>
  <si>
    <t xml:space="preserve">Rating /10</t>
  </si>
  <si>
    <t xml:space="preserve">Middle School</t>
  </si>
  <si>
    <t xml:space="preserve">High School</t>
  </si>
  <si>
    <t xml:space="preserve">Demographics</t>
  </si>
  <si>
    <t xml:space="preserve">1 mile</t>
  </si>
  <si>
    <t xml:space="preserve">3 mile</t>
  </si>
  <si>
    <t xml:space="preserve">5 mile</t>
  </si>
  <si>
    <t xml:space="preserve">Total Population</t>
  </si>
  <si>
    <t xml:space="preserve">- White, total</t>
  </si>
  <si>
    <t xml:space="preserve">- White, non-Hispanic</t>
  </si>
  <si>
    <t xml:space="preserve">- White, Hispanic</t>
  </si>
  <si>
    <t xml:space="preserve">- Black, total</t>
  </si>
  <si>
    <t xml:space="preserve">- Other, total</t>
  </si>
  <si>
    <t xml:space="preserve">Median Income</t>
  </si>
  <si>
    <t xml:space="preserve">Equity Waterfall - Annual</t>
  </si>
  <si>
    <t xml:space="preserve">Waterfall</t>
  </si>
  <si>
    <t xml:space="preserve">Total Promote Distribution</t>
  </si>
  <si>
    <t xml:space="preserve">Remaining Cash Flow to LP/GP</t>
  </si>
  <si>
    <t xml:space="preserve">GP Investment &amp; Profit:</t>
  </si>
  <si>
    <t xml:space="preserve">Total Return on Invested Capital</t>
  </si>
  <si>
    <t xml:space="preserve">Total Profit</t>
  </si>
  <si>
    <t xml:space="preserve">LP Investment &amp; Profit:</t>
  </si>
</sst>
</file>

<file path=xl/styles.xml><?xml version="1.0" encoding="utf-8"?>
<styleSheet xmlns="http://schemas.openxmlformats.org/spreadsheetml/2006/main">
  <numFmts count="99">
    <numFmt numFmtId="164" formatCode="General"/>
    <numFmt numFmtId="165" formatCode="&quot;Sponsor over the &quot;0.0%&quot; Hurdle&quot;"/>
    <numFmt numFmtId="166" formatCode="#,##0.00"/>
    <numFmt numFmtId="167" formatCode="# ??/32"/>
    <numFmt numFmtId="168" formatCode="\$#,##0_);&quot;($&quot;#,##0\)"/>
    <numFmt numFmtId="169" formatCode="\$#,##0.00_);[RED]&quot;($&quot;#,##0.00\)"/>
    <numFmt numFmtId="170" formatCode="\$#,##0.00_);&quot;($&quot;#,##0.00&quot;) Per SF&quot;"/>
    <numFmt numFmtId="171" formatCode="\$#,##0.0_);&quot;($&quot;#,##0.0\)"/>
    <numFmt numFmtId="172" formatCode="\$#,##0.00_);&quot;($&quot;#,##0.00\)"/>
    <numFmt numFmtId="173" formatCode="\$* 0.00&quot; FS&quot;_);\$* \(0.00&quot; FS)&quot;;\$* \-_)"/>
    <numFmt numFmtId="174" formatCode="\$* 0.00&quot; NNN&quot;_);\$* \(0.00&quot; NNN)&quot;;\$* \-_)"/>
    <numFmt numFmtId="175" formatCode="#,##0_);\(#,##0\)"/>
    <numFmt numFmtId="176" formatCode="\$* 0&quot; / FAR sf&quot;_);\$* \(0&quot; / FAR sf)&quot;;\$* \-_)"/>
    <numFmt numFmtId="177" formatCode="\$#,##0;&quot;($&quot;#,##0\)"/>
    <numFmt numFmtId="178" formatCode="d\-mmm\-yy"/>
    <numFmt numFmtId="179" formatCode="0.0%;\(0.0\)%"/>
    <numFmt numFmtId="180" formatCode="0_)"/>
    <numFmt numFmtId="181" formatCode="0.00%"/>
    <numFmt numFmtId="182" formatCode="0%"/>
    <numFmt numFmtId="183" formatCode="#,##0_)&quot;**&quot;;[RED]\(#,##0&quot;)**&quot;"/>
    <numFmt numFmtId="184" formatCode="0.0%"/>
    <numFmt numFmtId="185" formatCode="0.0%__"/>
    <numFmt numFmtId="186" formatCode="0.00\x"/>
    <numFmt numFmtId="187" formatCode="00.0%"/>
    <numFmt numFmtId="188" formatCode="00.00%"/>
    <numFmt numFmtId="189" formatCode="#,##0_);[RED]\(#,##0\)"/>
    <numFmt numFmtId="190" formatCode="0\:"/>
    <numFmt numFmtId="191" formatCode="0"/>
    <numFmt numFmtId="192" formatCode="#,##0.0_);\(#,##0.0\)"/>
    <numFmt numFmtId="193" formatCode="m/d/yyyy"/>
    <numFmt numFmtId="194" formatCode="\$#,##0____"/>
    <numFmt numFmtId="195" formatCode="\$#,##0.000_);&quot;($&quot;#,##0.000\)"/>
    <numFmt numFmtId="196" formatCode=";;;"/>
    <numFmt numFmtId="197" formatCode="#,##0.000_);[RED]\(#,##0.000\)"/>
    <numFmt numFmtId="198" formatCode="_(\$* #,##0.00_);_(\$* \(#,##0.00\);_(\$* \-??_);_(@_)"/>
    <numFmt numFmtId="199" formatCode="_ * #,##0.00_ ;_ * \-#,##0.00_ ;_ * \-??_ ;_ @_ "/>
    <numFmt numFmtId="200" formatCode="??/64"/>
    <numFmt numFmtId="201" formatCode="_(* #,##0.00_);_(* \(#,##0.00\);_(* \-??_);_(@_)"/>
    <numFmt numFmtId="202" formatCode="_-* #,##0.00_?_._-;\-* #,##0.00_?_._-;_-* \-??_?_._-;_-@_-"/>
    <numFmt numFmtId="203" formatCode="_-* #,##0.00&quot;?.&quot;_-;\-* #,##0.00&quot;?.&quot;_-;_-* \-??&quot;?.&quot;_-;_-@_-"/>
    <numFmt numFmtId="204" formatCode="_(* #,##0_);_(* \(#,##0\);_(* \-_);_(@_)"/>
    <numFmt numFmtId="205" formatCode="_-* #,##0_-;\-* #,##0_-;_-* \-_-;_-@_-"/>
    <numFmt numFmtId="206" formatCode="_-* #,##0.00_-;\-* #,##0.00_-;_-* \-??_-;_-@_-"/>
    <numFmt numFmtId="207" formatCode="mmm\-yy"/>
    <numFmt numFmtId="208" formatCode="0&quot; ($)&quot;;@&quot; ($)&quot;"/>
    <numFmt numFmtId="209" formatCode="0&quot; (%)&quot;;@&quot; (%)&quot;"/>
    <numFmt numFmtId="210" formatCode="0&quot; (x)&quot;;@&quot; (x)&quot;"/>
    <numFmt numFmtId="211" formatCode="0&quot; (£)&quot;;@&quot; (£)&quot;"/>
    <numFmt numFmtId="212" formatCode="0&quot; (¥)&quot;;@&quot; (¥)&quot;"/>
    <numFmt numFmtId="213" formatCode="0&quot; (€)&quot;;@&quot; (€)&quot;"/>
    <numFmt numFmtId="214" formatCode="_(* &quot;$ &quot;#,##0&quot;  &quot;;_(* &quot;$ (&quot;#,##0&quot;) &quot;;_(* &quot;-  &quot;;_(@\ "/>
    <numFmt numFmtId="215" formatCode="0.0_)\%;\(0.0&quot;)%&quot;;0.0_)\%;@_)_%"/>
    <numFmt numFmtId="216" formatCode="0.0\%;\(0.0&quot;)%&quot;;@&quot;  &quot;"/>
    <numFmt numFmtId="217" formatCode="#,##0.0_)_%;\(#,##0.0\)_%;0.0_)_%;@_)_%"/>
    <numFmt numFmtId="218" formatCode="#,##0.0&quot;   &quot;_x;\(#,##0.0&quot;)  &quot;_x;@&quot;  &quot;_x"/>
    <numFmt numFmtId="219" formatCode="#,##0.00_x;\(#,##0.00\)_x;0.00_x;@_x"/>
    <numFmt numFmtId="220" formatCode="#,##0.00_x_x;\(#,##0.00\)_x_x;0_x_x;@_x_x"/>
    <numFmt numFmtId="221" formatCode="#,##0.00_x_x_x;\(#,##0.00\)_x_x_x;0.00_x_x_x;@_x_x_x"/>
    <numFmt numFmtId="222" formatCode="#,##0.00_x_x_x_x_x_x;\(#,##0.00\)_x_x_x_x_x_x;0.00_x_x_x_x_x_x;@_x_x_x_x_x_x"/>
    <numFmt numFmtId="223" formatCode="#,##0.0_x;\(#,##0.0\)_x;0.0_x;@_x"/>
    <numFmt numFmtId="224" formatCode="#,##0.0_x_x;\(#,##0.0\)_x_x;0.0_x_x;@_x_x"/>
    <numFmt numFmtId="225" formatCode="#,##0.0_x_x_x;\(#,##0.0\)_x_x_x;0.0_x_x_x;@_x_x_x"/>
    <numFmt numFmtId="226" formatCode="#,##0.0_x_x_x_x;\(#,##0.0\)_x_x_x_x;0.0_x_x_x_x;@_x_x_x_x"/>
    <numFmt numFmtId="227" formatCode="#,##0_x;\(#,##0\)_x;0_x;@_x"/>
    <numFmt numFmtId="228" formatCode="#,##0_x_x;\(#,##0\)_x_x;0_x_x;@_x_x"/>
    <numFmt numFmtId="229" formatCode="#,##0_x_x_x;\(#,##0\)_x_x_x;0_x_x_x;@_x_x_x"/>
    <numFmt numFmtId="230" formatCode="#,##0_x_x_x_x_x_x_x_x_x_x;\(#,##0\)_x_x_x_x_x_x_x_x_x_x;0_x_x_x_x_x_x_x_x_x_x;@_x_x_x_x_x_x_x_x_x_x"/>
    <numFmt numFmtId="231" formatCode="_(* #,##0.0_);_(* \(#,##0.0\);_(* &quot;-   &quot;;_(@_)"/>
    <numFmt numFmtId="232" formatCode="[$-409]d\-mmm\-yy;@"/>
    <numFmt numFmtId="233" formatCode="#,##0.0_);\(#,##0.0\);#,##0.0_);@_)"/>
    <numFmt numFmtId="234" formatCode="#,##0_);\(#,##0\);#,##0_);@_)"/>
    <numFmt numFmtId="235" formatCode="0.00"/>
    <numFmt numFmtId="236" formatCode="\$#,##0;\(#,##0\);&quot; - &quot;"/>
    <numFmt numFmtId="237" formatCode="#&quot; years&quot;"/>
    <numFmt numFmtId="238" formatCode="0&quot; months&quot;"/>
    <numFmt numFmtId="239" formatCode="#,##0;\(#,##0\);&quot; - &quot;"/>
    <numFmt numFmtId="240" formatCode="&quot;Month &quot;#"/>
    <numFmt numFmtId="241" formatCode="\$#,##0.00;\(#,##0.00\);&quot; - &quot;"/>
    <numFmt numFmtId="242" formatCode="0.000%"/>
    <numFmt numFmtId="243" formatCode="0.000"/>
    <numFmt numFmtId="244" formatCode="0.0"/>
    <numFmt numFmtId="245" formatCode="#,##0"/>
    <numFmt numFmtId="246" formatCode="0&quot; years&quot;"/>
    <numFmt numFmtId="247" formatCode="&quot;Month &quot;0"/>
    <numFmt numFmtId="248" formatCode="0.0%&quot; recovered&quot;"/>
    <numFmt numFmtId="249" formatCode="0.00%&quot; Expense Ratio&quot;"/>
    <numFmt numFmtId="250" formatCode="General"/>
    <numFmt numFmtId="251" formatCode="\$#,##0"/>
    <numFmt numFmtId="252" formatCode="#,##0.0;\(#,##0.0\);&quot; - &quot;"/>
    <numFmt numFmtId="253" formatCode="0.0%&quot; of rent&quot;"/>
    <numFmt numFmtId="254" formatCode="&quot;Year &quot;0"/>
    <numFmt numFmtId="255" formatCode="0&quot; units&quot;"/>
    <numFmt numFmtId="256" formatCode="#&quot; Year Total&quot;"/>
    <numFmt numFmtId="257" formatCode="&quot;Year  &quot;0"/>
    <numFmt numFmtId="258" formatCode="&quot;&gt; &quot;0.0%&quot; IRR to LP&quot;"/>
    <numFmt numFmtId="259" formatCode="&quot; up to &quot;0.0%&quot; IRR to LP&quot;"/>
    <numFmt numFmtId="260" formatCode="&quot;LP Check - &quot;0.0%&quot; IRR&quot;"/>
    <numFmt numFmtId="261" formatCode="#,##0.00;\(#,##0.00\);&quot; - &quot;"/>
    <numFmt numFmtId="262" formatCode="#.00&quot; /unit&quot;"/>
  </numFmts>
  <fonts count="9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S Sans Serif"/>
      <family val="2"/>
      <charset val="1"/>
    </font>
    <font>
      <sz val="10"/>
      <name val="Arial"/>
      <family val="2"/>
      <charset val="1"/>
    </font>
    <font>
      <sz val="10"/>
      <color rgb="FF000000"/>
      <name val="MS Sans Serif"/>
      <family val="2"/>
      <charset val="1"/>
    </font>
    <font>
      <sz val="10"/>
      <name val="Times New Roman"/>
      <family val="1"/>
      <charset val="1"/>
    </font>
    <font>
      <sz val="10"/>
      <name val="Arial"/>
      <family val="0"/>
      <charset val="1"/>
    </font>
    <font>
      <sz val="10"/>
      <name val="Geneva"/>
      <family val="2"/>
      <charset val="1"/>
    </font>
    <font>
      <sz val="12"/>
      <name val="Arial"/>
      <family val="2"/>
      <charset val="1"/>
    </font>
    <font>
      <sz val="10"/>
      <color rgb="FF0000FF"/>
      <name val="Times New Roman"/>
      <family val="1"/>
      <charset val="1"/>
    </font>
    <font>
      <sz val="12"/>
      <name val="Times New Roman"/>
      <family val="1"/>
      <charset val="1"/>
    </font>
    <font>
      <u val="single"/>
      <sz val="6"/>
      <color rgb="FF000000"/>
      <name val="MS Sans Serif"/>
      <family val="2"/>
      <charset val="1"/>
    </font>
    <font>
      <sz val="11"/>
      <name val="Arial"/>
      <family val="2"/>
      <charset val="1"/>
    </font>
    <font>
      <sz val="11"/>
      <name val="Book Antiqua"/>
      <family val="1"/>
      <charset val="1"/>
    </font>
    <font>
      <sz val="10"/>
      <name val="GillSans"/>
      <family val="2"/>
      <charset val="1"/>
    </font>
    <font>
      <sz val="9"/>
      <name val="Arial"/>
      <family val="2"/>
      <charset val="1"/>
    </font>
    <font>
      <sz val="10"/>
      <color rgb="FFFF00FF"/>
      <name val="Baskerville MT"/>
      <family val="0"/>
      <charset val="1"/>
    </font>
    <font>
      <sz val="10"/>
      <name val="Courier New"/>
      <family val="3"/>
      <charset val="1"/>
    </font>
    <font>
      <i val="true"/>
      <sz val="10"/>
      <name val="Trebuchet MS"/>
      <family val="2"/>
      <charset val="1"/>
    </font>
    <font>
      <b val="true"/>
      <i val="true"/>
      <sz val="10"/>
      <name val="Trebuchet MS"/>
      <family val="2"/>
      <charset val="1"/>
    </font>
    <font>
      <b val="true"/>
      <sz val="15"/>
      <name val="DomCasual BT"/>
      <family val="4"/>
      <charset val="1"/>
    </font>
    <font>
      <sz val="8"/>
      <color rgb="FF0000FF"/>
      <name val="Arial"/>
      <family val="2"/>
      <charset val="1"/>
    </font>
    <font>
      <sz val="10"/>
      <name val="Palatino"/>
      <family val="1"/>
      <charset val="1"/>
    </font>
    <font>
      <sz val="6"/>
      <name val="MS Sans Serif"/>
      <family val="2"/>
      <charset val="1"/>
    </font>
    <font>
      <sz val="10"/>
      <name val="Times New Roman"/>
      <family val="1"/>
      <charset val="204"/>
    </font>
    <font>
      <sz val="8"/>
      <name val="Arial"/>
      <family val="2"/>
      <charset val="204"/>
    </font>
    <font>
      <u val="single"/>
      <sz val="6"/>
      <name val="MS Sans Serif"/>
      <family val="2"/>
      <charset val="1"/>
    </font>
    <font>
      <sz val="8"/>
      <name val="Arial"/>
      <family val="2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2"/>
      <name val="Arial"/>
      <family val="2"/>
      <charset val="204"/>
    </font>
    <font>
      <i val="true"/>
      <sz val="10"/>
      <name val="Times New Roman"/>
      <family val="1"/>
      <charset val="1"/>
    </font>
    <font>
      <i val="true"/>
      <sz val="8"/>
      <name val="Times New Roman"/>
      <family val="1"/>
      <charset val="1"/>
    </font>
    <font>
      <b val="true"/>
      <i val="true"/>
      <sz val="8"/>
      <name val="Times New Roman"/>
      <family val="1"/>
      <charset val="1"/>
    </font>
    <font>
      <sz val="7"/>
      <color rgb="FF0000FF"/>
      <name val="Times New Roman"/>
      <family val="1"/>
      <charset val="1"/>
    </font>
    <font>
      <sz val="10"/>
      <name val="MS Sans Serif"/>
      <family val="2"/>
      <charset val="1"/>
    </font>
    <font>
      <b val="true"/>
      <sz val="10"/>
      <color rgb="FF000000"/>
      <name val="Arial MT"/>
      <family val="0"/>
      <charset val="1"/>
    </font>
    <font>
      <sz val="14"/>
      <name val="Arial MT"/>
      <family val="2"/>
      <charset val="1"/>
    </font>
    <font>
      <sz val="11"/>
      <color rgb="FFFFFFFF"/>
      <name val="Calibri"/>
      <family val="2"/>
      <charset val="1"/>
    </font>
    <font>
      <sz val="10"/>
      <color rgb="FFFFFFFF"/>
      <name val="Arial"/>
      <family val="2"/>
      <charset val="1"/>
    </font>
    <font>
      <u val="single"/>
      <sz val="10"/>
      <color rgb="FF0000FF"/>
      <name val="MS Sans Serif"/>
      <family val="2"/>
      <charset val="1"/>
    </font>
    <font>
      <u val="single"/>
      <sz val="10"/>
      <color rgb="FFFF00FF"/>
      <name val="MS Sans Serif"/>
      <family val="2"/>
      <charset val="1"/>
    </font>
    <font>
      <sz val="10"/>
      <name val="Arial Cyr"/>
      <family val="0"/>
      <charset val="1"/>
    </font>
    <font>
      <u val="single"/>
      <sz val="8.4"/>
      <color rgb="FF0000FF"/>
      <name val="Arial"/>
      <family val="2"/>
      <charset val="1"/>
    </font>
    <font>
      <sz val="12"/>
      <name val="???"/>
      <family val="1"/>
      <charset val="1"/>
    </font>
    <font>
      <b val="true"/>
      <u val="single"/>
      <sz val="10"/>
      <name val="Courier New"/>
      <family val="3"/>
      <charset val="1"/>
    </font>
    <font>
      <sz val="10"/>
      <name val="SWISS"/>
      <family val="0"/>
      <charset val="1"/>
    </font>
    <font>
      <sz val="9"/>
      <color rgb="FF0000FF"/>
      <name val="Arial"/>
      <family val="2"/>
      <charset val="1"/>
    </font>
    <font>
      <sz val="10"/>
      <name val="Arial"/>
      <family val="2"/>
      <charset val="177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sz val="10"/>
      <name val="Arial"/>
      <family val="2"/>
    </font>
    <font>
      <sz val="10"/>
      <color theme="1"/>
      <name val="Calibri"/>
      <family val="2"/>
      <charset val="1"/>
    </font>
    <font>
      <sz val="10"/>
      <color rgb="FF0000FF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006100"/>
      <name val="Arial"/>
      <family val="0"/>
      <charset val="1"/>
    </font>
    <font>
      <u val="single"/>
      <sz val="10"/>
      <color theme="1"/>
      <name val="Calibri"/>
      <family val="2"/>
      <charset val="1"/>
    </font>
    <font>
      <sz val="10"/>
      <color rgb="FFFFFFFF"/>
      <name val="Calibri"/>
      <family val="2"/>
      <charset val="1"/>
    </font>
    <font>
      <i val="true"/>
      <sz val="10"/>
      <color theme="1"/>
      <name val="Calibri"/>
      <family val="2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CBD5E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1B1B1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2"/>
      <color rgb="FF1B1B1B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Calibri"/>
      <family val="2"/>
      <charset val="1"/>
    </font>
    <font>
      <b val="true"/>
      <sz val="10"/>
      <color theme="1"/>
      <name val="Calibri (Body)"/>
      <family val="0"/>
      <charset val="1"/>
    </font>
    <font>
      <b val="true"/>
      <sz val="10"/>
      <color rgb="FFFFFFFF"/>
      <name val="Calibri"/>
      <family val="2"/>
      <charset val="1"/>
    </font>
    <font>
      <sz val="10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i val="true"/>
      <sz val="10"/>
      <color theme="1"/>
      <name val="Calibri"/>
      <family val="2"/>
      <charset val="1"/>
    </font>
    <font>
      <sz val="8"/>
      <color rgb="FF0000FF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u val="single"/>
      <sz val="10"/>
      <color theme="1"/>
      <name val="Calibri"/>
      <family val="2"/>
      <charset val="1"/>
    </font>
  </fonts>
  <fills count="4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CCFF"/>
        <bgColor rgb="FFC6D9F1"/>
      </patternFill>
    </fill>
    <fill>
      <patternFill patternType="solid">
        <fgColor theme="4" tint="0.7999"/>
        <bgColor rgb="FFDBEEF4"/>
      </patternFill>
    </fill>
    <fill>
      <patternFill patternType="solid">
        <fgColor rgb="FFFF99CC"/>
        <bgColor rgb="FFE6B9B8"/>
      </patternFill>
    </fill>
    <fill>
      <patternFill patternType="solid">
        <fgColor theme="5" tint="0.7999"/>
        <bgColor rgb="FFE6E0EC"/>
      </patternFill>
    </fill>
    <fill>
      <patternFill patternType="solid">
        <fgColor rgb="FFCCFFCC"/>
        <bgColor rgb="FFCCFFFF"/>
      </patternFill>
    </fill>
    <fill>
      <patternFill patternType="solid">
        <fgColor theme="6" tint="0.7999"/>
        <bgColor rgb="FFEFF1EC"/>
      </patternFill>
    </fill>
    <fill>
      <patternFill patternType="solid">
        <fgColor rgb="FFCC99FF"/>
        <bgColor rgb="FFFF99CC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theme="9" tint="0.7999"/>
        <bgColor rgb="FFFFF3CF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B9CDE5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3CF"/>
      </patternFill>
    </fill>
    <fill>
      <patternFill patternType="solid">
        <fgColor rgb="FF388E76"/>
        <bgColor rgb="FF666666"/>
      </patternFill>
    </fill>
    <fill>
      <patternFill patternType="solid">
        <fgColor theme="4" tint="0.5999"/>
        <bgColor rgb="FFC6D9F1"/>
      </patternFill>
    </fill>
    <fill>
      <patternFill patternType="solid">
        <fgColor theme="5" tint="0.5999"/>
        <bgColor rgb="FFCCC1DA"/>
      </patternFill>
    </fill>
    <fill>
      <patternFill patternType="solid">
        <fgColor theme="6" tint="0.5999"/>
        <bgColor rgb="FFCDD6E1"/>
      </patternFill>
    </fill>
    <fill>
      <patternFill patternType="solid">
        <fgColor rgb="FF00FF00"/>
        <bgColor rgb="FF33CCCC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C6D9F1"/>
      </patternFill>
    </fill>
    <fill>
      <patternFill patternType="solid">
        <fgColor theme="9" tint="0.5999"/>
        <bgColor rgb="FFFFCC99"/>
      </patternFill>
    </fill>
    <fill>
      <patternFill patternType="solid">
        <fgColor rgb="FFFFCC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0166D9"/>
        <bgColor rgb="FF388E76"/>
      </patternFill>
    </fill>
    <fill>
      <patternFill patternType="solid">
        <fgColor rgb="FF800080"/>
        <bgColor rgb="FF731D11"/>
      </patternFill>
    </fill>
    <fill>
      <patternFill patternType="solid">
        <fgColor rgb="FF33CCCC"/>
        <bgColor rgb="FF388E76"/>
      </patternFill>
    </fill>
    <fill>
      <patternFill patternType="solid">
        <fgColor rgb="FFFF9900"/>
        <bgColor rgb="FFFFCC00"/>
      </patternFill>
    </fill>
    <fill>
      <patternFill patternType="solid">
        <fgColor rgb="FFFD6402"/>
        <bgColor rgb="FFFF9900"/>
      </patternFill>
    </fill>
    <fill>
      <patternFill patternType="solid">
        <fgColor rgb="FFFFFF00"/>
        <bgColor rgb="FFFFCC00"/>
      </patternFill>
    </fill>
    <fill>
      <patternFill patternType="solid">
        <fgColor rgb="FF102231"/>
        <bgColor rgb="FF0B1F3A"/>
      </patternFill>
    </fill>
    <fill>
      <patternFill patternType="solid">
        <fgColor rgb="FF172E4D"/>
        <bgColor rgb="FF16324F"/>
      </patternFill>
    </fill>
    <fill>
      <patternFill patternType="solid">
        <fgColor rgb="FFFFF3CF"/>
        <bgColor rgb="FFFDEADA"/>
      </patternFill>
    </fill>
    <fill>
      <patternFill patternType="solid">
        <fgColor rgb="FFEFF1EC"/>
        <bgColor rgb="FFEFEFEF"/>
      </patternFill>
    </fill>
    <fill>
      <patternFill patternType="solid">
        <fgColor rgb="FF96917D"/>
        <bgColor rgb="FFB88A2A"/>
      </patternFill>
    </fill>
    <fill>
      <patternFill patternType="solid">
        <fgColor rgb="FF0B1F3A"/>
        <bgColor rgb="FF102231"/>
      </patternFill>
    </fill>
    <fill>
      <patternFill patternType="solid">
        <fgColor rgb="FF16324F"/>
        <bgColor rgb="FF172E4D"/>
      </patternFill>
    </fill>
    <fill>
      <patternFill patternType="solid">
        <fgColor rgb="FF1B2A4A"/>
        <bgColor rgb="FF172E4D"/>
      </patternFill>
    </fill>
    <fill>
      <patternFill patternType="solid">
        <fgColor rgb="FFEFEFEF"/>
        <bgColor rgb="FFEFF1EC"/>
      </patternFill>
    </fill>
    <fill>
      <patternFill patternType="solid">
        <fgColor rgb="FF1E5631"/>
        <bgColor rgb="FF1B5E20"/>
      </patternFill>
    </fill>
    <fill>
      <patternFill patternType="solid">
        <fgColor rgb="FFB88A2A"/>
        <bgColor rgb="FF96917D"/>
      </patternFill>
    </fill>
    <fill>
      <patternFill patternType="solid">
        <fgColor rgb="FF731D11"/>
        <bgColor rgb="FF800080"/>
      </patternFill>
    </fill>
    <fill>
      <patternFill patternType="solid">
        <fgColor theme="0" tint="-0.05"/>
        <bgColor rgb="FFEFF1EC"/>
      </patternFill>
    </fill>
    <fill>
      <patternFill patternType="solid">
        <fgColor theme="3" tint="0.7999"/>
        <bgColor rgb="FFCDD6E1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2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5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9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1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2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2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23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2" fontId="7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7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7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7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7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7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9" fillId="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3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20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7" fontId="50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08" fontId="5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209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210" fontId="5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211" fontId="5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212" fontId="5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213" fontId="5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214" fontId="17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17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6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5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7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8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19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20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21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22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23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24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25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26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1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27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28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29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230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231" fontId="52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2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3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3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3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3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9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33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5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5" fontId="5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5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5" fontId="5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5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54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5" fontId="5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5" fontId="59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5" fontId="59" fillId="2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5" fontId="5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2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0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61" fillId="2" borderId="1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5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8" fontId="5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4" fontId="57" fillId="2" borderId="1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8" fillId="2" borderId="5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8" fontId="57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61" fillId="2" borderId="12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2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60" fillId="2" borderId="5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55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5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1" fontId="58" fillId="2" borderId="1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57" fillId="2" borderId="0" xfId="47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37" fontId="5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8" fillId="2" borderId="12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8" fontId="5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4" fillId="2" borderId="0" xfId="4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6" fontId="5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40" fontId="5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8" fillId="2" borderId="0" xfId="4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58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58" fillId="2" borderId="5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57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5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8" fillId="2" borderId="14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2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7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36" fontId="5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41" fontId="5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4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40" fontId="5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2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4" fillId="0" borderId="1" xfId="47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0" fillId="2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0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7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7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41" fontId="54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5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4" fontId="5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4" fontId="62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4" fontId="5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60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60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41" fontId="55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58" fillId="2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84" fontId="58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2" fontId="57" fillId="2" borderId="1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2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60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60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2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4" fontId="58" fillId="2" borderId="5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84" fontId="54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8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7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7" fillId="2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5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6" fontId="54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57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5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6" fontId="5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8" fontId="5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2" fontId="57" fillId="2" borderId="16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6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6" fontId="60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4" fontId="6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2" fontId="57" fillId="2" borderId="17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8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5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7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6" fontId="57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57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2" fontId="57" fillId="2" borderId="18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60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57" fillId="2" borderId="15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6" fontId="57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7" fillId="2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57" fillId="2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2" fontId="57" fillId="2" borderId="2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6" fontId="57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58" fillId="3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57" fillId="2" borderId="15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57" fillId="2" borderId="14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60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5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3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1" fontId="57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57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42" fontId="58" fillId="2" borderId="1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5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1" fontId="5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4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41" fontId="5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60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55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7" fillId="2" borderId="1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7" fillId="2" borderId="12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7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3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3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7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8" fillId="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8" fillId="3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1" fillId="37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3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68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235" fontId="68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1" fillId="3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3" fontId="68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8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35" fontId="6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3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73" fillId="3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73" fillId="3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3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6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3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4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4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68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1" fillId="4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61" fillId="4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5" fontId="6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4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5" fontId="6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45" fontId="73" fillId="3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4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6" fontId="73" fillId="3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4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3" fillId="42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42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3" fillId="36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1" fillId="3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1" fillId="3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4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1" fontId="54" fillId="2" borderId="1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8" fontId="5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54" fillId="0" borderId="0" xfId="4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46" fontId="5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2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4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8" fillId="2" borderId="16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4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58" fillId="2" borderId="17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6" fontId="58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4" fillId="2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54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8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54" fillId="2" borderId="16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4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54" fillId="2" borderId="17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4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6" fontId="54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6" fontId="5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6" fontId="54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4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47" fontId="5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6" fontId="58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4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4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5" fontId="60" fillId="2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0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9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8" fillId="2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7" fillId="2" borderId="0" xfId="4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6" fontId="58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57" fillId="2" borderId="5" xfId="47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6" fontId="57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60" fillId="2" borderId="0" xfId="4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0" fillId="2" borderId="1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8" fillId="2" borderId="17" xfId="47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61" fillId="2" borderId="17" xfId="47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8" fillId="2" borderId="18" xfId="47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48" fontId="58" fillId="2" borderId="17" xfId="47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8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8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6" fontId="59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36" fontId="60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6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49" fontId="57" fillId="2" borderId="1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6" fontId="5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1" fontId="6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1" fontId="64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1" fontId="6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1" fontId="6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1" fontId="6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47" fontId="60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7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6" fontId="54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5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6" fontId="5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64" fillId="0" borderId="0" xfId="4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4" fontId="64" fillId="2" borderId="9" xfId="47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4" fontId="64" fillId="2" borderId="0" xfId="4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4" fontId="64" fillId="2" borderId="1" xfId="47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2" fontId="5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92" fontId="5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5" fontId="5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4" fontId="5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6" fontId="5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6" fontId="5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2" fontId="5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92" fontId="57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57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4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7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4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54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2" fontId="5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5" fontId="5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6" fontId="5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6" fontId="5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2" fontId="5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92" fontId="6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6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92" fontId="57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4" fontId="5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57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8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50" fontId="57" fillId="2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4" fillId="2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8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1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2" fontId="60" fillId="2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60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5" fillId="2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60" fillId="2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55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5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5" fillId="2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83" fillId="2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4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8" fillId="2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8" fillId="2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2" fontId="58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9" fontId="58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6" fontId="58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41" fontId="5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7" fillId="2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2" fontId="5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9" fontId="5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6" fontId="54" fillId="2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7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4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7" fillId="2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5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2" fontId="60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60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5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41" fontId="55" fillId="2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60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2" fontId="55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5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60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60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36" fontId="84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51" fontId="57" fillId="2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92" fontId="57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57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41" fontId="54" fillId="2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57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7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4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54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54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51" fontId="57" fillId="2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5" fontId="57" fillId="2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54" fillId="2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2" fontId="58" fillId="2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57" fillId="2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54" fillId="2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51" fontId="57" fillId="2" borderId="1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5" fontId="57" fillId="2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54" fillId="2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2" fontId="57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57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54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0" fillId="4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85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6" fontId="85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2" fontId="85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60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0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60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5" fontId="60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60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60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60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4" fontId="57" fillId="2" borderId="1" xfId="47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60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60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60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52" fontId="5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53" fontId="58" fillId="2" borderId="0" xfId="47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52" fontId="57" fillId="2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7" fillId="2" borderId="12" xfId="47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8" fontId="8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60" fillId="2" borderId="12" xfId="47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52" fontId="57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7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52" fontId="60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60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60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98" fontId="8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5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2" fontId="5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0" fillId="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60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2" fontId="60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60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41" fontId="55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5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5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5" fillId="2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8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92" fontId="58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8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58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4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41" fontId="5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9" fontId="54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4" fillId="33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3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92" fontId="57" fillId="3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6" fontId="57" fillId="3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41" fontId="54" fillId="3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9" fontId="54" fillId="3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4" fillId="3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4" fillId="47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4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92" fontId="57" fillId="4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6" fontId="57" fillId="4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41" fontId="54" fillId="4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9" fontId="54" fillId="4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4" fillId="4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4" fillId="2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41" fontId="54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4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4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5" fontId="60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47" fontId="60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47" fontId="60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54" fontId="60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58" fillId="2" borderId="0" xfId="47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4" fontId="58" fillId="2" borderId="0" xfId="47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4" fontId="58" fillId="2" borderId="1" xfId="47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8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4" fontId="5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4" fontId="58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8" fillId="2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50" fontId="57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50" fontId="57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54" fontId="60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5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8" fontId="5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55" fontId="5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8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58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58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55" fillId="2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84" fillId="2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4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41" fontId="55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84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6" fontId="84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92" fontId="57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93" fontId="60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93" fontId="60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93" fontId="59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93" fontId="6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93" fontId="60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93" fontId="6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56" fontId="6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54" fontId="6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54" fontId="60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47" fontId="6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47" fontId="60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6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04" fontId="5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5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57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5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6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5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7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5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7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41" fontId="5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41" fontId="57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41" fontId="5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41" fontId="6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41" fontId="5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41" fontId="57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41" fontId="57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41" fontId="5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57" fillId="2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6" fontId="5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6" fontId="57" fillId="2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64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6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6" fontId="60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6" fontId="8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6" fontId="6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60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57" fontId="60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57" fontId="60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57" fontId="60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9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239" fontId="57" fillId="2" borderId="1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239" fontId="57" fillId="2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60" fillId="2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239" fontId="60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39" fontId="6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239" fontId="57" fillId="2" borderId="1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239" fontId="57" fillId="0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239" fontId="5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39" fontId="5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0" fillId="2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0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0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64" fillId="0" borderId="0" xfId="4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64" fillId="2" borderId="9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64" fillId="2" borderId="0" xfId="47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4" fontId="64" fillId="2" borderId="0" xfId="4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1" fontId="64" fillId="2" borderId="1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64" fillId="2" borderId="9" xfId="47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64" fillId="2" borderId="0" xfId="4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64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239" fontId="6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0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39" fontId="6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6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6" fontId="64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6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6" fontId="6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39" fontId="6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4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47" fontId="6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50" fontId="6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7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7" fillId="2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7" fillId="2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60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4" fillId="2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7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7" fillId="2" borderId="1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81" fontId="54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57" fillId="2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0" fillId="2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0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81" fontId="5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7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60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0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4" fillId="2" borderId="0" xfId="47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239" fontId="64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64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64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6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6" fontId="6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6" fontId="6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6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4" fontId="64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6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84" fontId="6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2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39" fontId="64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64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5" fillId="2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5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5" fillId="2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5" fontId="60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1" fontId="54" fillId="2" borderId="0" xfId="47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1" fontId="58" fillId="2" borderId="0" xfId="47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5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58" fontId="5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59" fontId="5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82" fontId="58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82" fontId="5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4" fillId="2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239" fontId="54" fillId="2" borderId="9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239" fontId="54" fillId="2" borderId="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5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5" fontId="54" fillId="2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75" fontId="54" fillId="2" borderId="9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54" fillId="2" borderId="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81" fontId="60" fillId="2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6" fontId="55" fillId="2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3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92" fontId="6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2" fontId="54" fillId="2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1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58" fontId="58" fillId="2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59" fontId="54" fillId="2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39" fontId="58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4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7" fillId="2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239" fontId="57" fillId="2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39" fontId="5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1" fontId="55" fillId="2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0" fillId="2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59" fontId="54" fillId="2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39" fontId="58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4" fillId="2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8" fillId="2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4" fillId="2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1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239" fontId="54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4" fontId="58" fillId="2" borderId="0" xfId="4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84" fontId="54" fillId="2" borderId="0" xfId="4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4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7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239" fontId="87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9" fontId="57" fillId="2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4" fontId="57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82" fontId="57" fillId="2" borderId="5" xfId="47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2" fontId="57" fillId="2" borderId="11" xfId="47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60" fontId="54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84" fontId="5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4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239" fontId="57" fillId="2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7" fillId="2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9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6" fontId="5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39" fontId="58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58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261" fontId="58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262" fontId="57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1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35" fontId="55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4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5" fillId="2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4" fillId="2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4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5" fontId="55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5" fillId="2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5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5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54" fontId="5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254" fontId="55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4" fillId="2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4" fillId="2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4" fillId="2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4" fontId="54" fillId="2" borderId="0" xfId="47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5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5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5" fillId="2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55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5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4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239" fontId="54" fillId="2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&#10;386grabber=M" xfId="20"/>
    <cellStyle name="&#13;386grabber=M" xfId="21"/>
    <cellStyle name=" &amp;A_x0002_" xfId="22"/>
    <cellStyle name=" &amp;A_x0002_ 2" xfId="23"/>
    <cellStyle name=" &amp;A_x0002_ 3" xfId="24"/>
    <cellStyle name=" &amp;A_x0002_ 4" xfId="25"/>
    <cellStyle name=" &amp;A_x0002_ 5" xfId="26"/>
    <cellStyle name=" &amp;A_x0002_ 5 2" xfId="27"/>
    <cellStyle name=" &amp;A_x0002_ 6" xfId="28"/>
    <cellStyle name=" &amp;A_x0002_ 6 2" xfId="29"/>
    <cellStyle name=" &amp;A_x0002_ 7" xfId="30"/>
    <cellStyle name=" 1" xfId="31"/>
    <cellStyle name="&quot;X&quot; MEN" xfId="32"/>
    <cellStyle name="#,###.00" xfId="33"/>
    <cellStyle name="#??/32" xfId="34"/>
    <cellStyle name="#??/32 2" xfId="35"/>
    <cellStyle name="#??/32 3" xfId="36"/>
    <cellStyle name="#??/32 4" xfId="37"/>
    <cellStyle name="#??/32 5" xfId="38"/>
    <cellStyle name="#??/32 5 2" xfId="39"/>
    <cellStyle name="#??/32 6" xfId="40"/>
    <cellStyle name="#??/32 6 2" xfId="41"/>
    <cellStyle name="#??/32 7" xfId="42"/>
    <cellStyle name="$" xfId="43"/>
    <cellStyle name="$ &amp; ¢" xfId="44"/>
    <cellStyle name="$ / sq Ft" xfId="45"/>
    <cellStyle name="$ [1]" xfId="46"/>
    <cellStyle name="$ [2]" xfId="47"/>
    <cellStyle name="$ FS (#.##)" xfId="48"/>
    <cellStyle name="$ NNN (#.##)" xfId="49"/>
    <cellStyle name="$,000.  t10" xfId="50"/>
    <cellStyle name="$,000.  t12" xfId="51"/>
    <cellStyle name="$,000.00  t10" xfId="52"/>
    <cellStyle name="$,000.00  t12" xfId="53"/>
    <cellStyle name="$.0" xfId="54"/>
    <cellStyle name="$.00" xfId="55"/>
    <cellStyle name="$.000" xfId="56"/>
    <cellStyle name="$/FAR sf" xfId="57"/>
    <cellStyle name="$/gsf" xfId="58"/>
    <cellStyle name="$00.00" xfId="59"/>
    <cellStyle name="$1000s (0)" xfId="60"/>
    <cellStyle name="$_08 Altar Model" xfId="61"/>
    <cellStyle name="$_Book2" xfId="62"/>
    <cellStyle name="$_CanneryCasinoModelBofAFINAL(2)" xfId="63"/>
    <cellStyle name="$_DCF" xfId="64"/>
    <cellStyle name="$_DCF_Full_June 22 2004_4.5" xfId="65"/>
    <cellStyle name="$_Excel File" xfId="66"/>
    <cellStyle name="$_Goldman's Model" xfId="67"/>
    <cellStyle name="$_NeptunePIA LBO Model 9-2-03 Final Deepak Final" xfId="68"/>
    <cellStyle name="$_New Structure Backup" xfId="69"/>
    <cellStyle name="$_OCM Modelv6(start 1-1-06)" xfId="70"/>
    <cellStyle name="$_Pegasus Draft_300 WUD in Year 1" xfId="71"/>
    <cellStyle name="$_Pegasus Draft_300 WUD in Year 11" xfId="72"/>
    <cellStyle name="$_Pegasus Financials_3.0" xfId="73"/>
    <cellStyle name="$_Pegasus Financials_3.7" xfId="74"/>
    <cellStyle name="$_Pegasus Financials_Base Case_1.10.052" xfId="75"/>
    <cellStyle name="$_Ticket LBO Equity Model 083105" xfId="76"/>
    <cellStyle name="$_Ticket LBO Equity Model 083105 (2)" xfId="77"/>
    <cellStyle name="$_Wienerberger AVP 2003-08-15" xfId="78"/>
    <cellStyle name="$m" xfId="79"/>
    <cellStyle name="$MILLS" xfId="80"/>
    <cellStyle name="$sign" xfId="81"/>
    <cellStyle name="%" xfId="82"/>
    <cellStyle name="% [1]" xfId="83"/>
    <cellStyle name="% [2]" xfId="84"/>
    <cellStyle name="% Center" xfId="85"/>
    <cellStyle name="%.00" xfId="86"/>
    <cellStyle name="%1" xfId="87"/>
    <cellStyle name="%_CanneryCasinoModelBofAFINAL(2)" xfId="88"/>
    <cellStyle name="%_Goldman's Model" xfId="89"/>
    <cellStyle name="%_Ticket LBO Equity Model 083105" xfId="90"/>
    <cellStyle name="%_Ticket LBO Equity Model 083105 (2)" xfId="91"/>
    <cellStyle name="%bold1" xfId="92"/>
    <cellStyle name="**" xfId="93"/>
    <cellStyle name="** 2" xfId="94"/>
    <cellStyle name="******************************************" xfId="95"/>
    <cellStyle name="*MILLS" xfId="96"/>
    <cellStyle name="-" xfId="97"/>
    <cellStyle name="0" xfId="98"/>
    <cellStyle name="0%  t10" xfId="99"/>
    <cellStyle name="0.0&quot;x&quot;" xfId="100"/>
    <cellStyle name="0.0%  t10" xfId="101"/>
    <cellStyle name="0.0% 3sp rt" xfId="102"/>
    <cellStyle name="0.00&quot;x&quot;" xfId="103"/>
    <cellStyle name="0.00%  t10" xfId="104"/>
    <cellStyle name="0.00x" xfId="105"/>
    <cellStyle name="0.0x" xfId="106"/>
    <cellStyle name="00.0%  t10" xfId="107"/>
    <cellStyle name="00.00%  t10" xfId="108"/>
    <cellStyle name="000" xfId="109"/>
    <cellStyle name="03-07 Available Room Changes" xfId="110"/>
    <cellStyle name="03-07 Available Room Changes 2" xfId="111"/>
    <cellStyle name="03-07 Available Room Changes 2 2" xfId="112"/>
    <cellStyle name="03-07 Available Room Changes 3" xfId="113"/>
    <cellStyle name="03-07 Available Room Changes 3 2" xfId="114"/>
    <cellStyle name="03-07 Available Room Changes 4" xfId="115"/>
    <cellStyle name="03-07 Available Room Changes_DBConfigColumn" xfId="116"/>
    <cellStyle name="03-07 C Exp" xfId="117"/>
    <cellStyle name="03-07 C Exp 2" xfId="118"/>
    <cellStyle name="03-07 C Exp 2 2" xfId="119"/>
    <cellStyle name="03-07 C Exp 3" xfId="120"/>
    <cellStyle name="03-07 C Exp 3 2" xfId="121"/>
    <cellStyle name="03-07 C Exp 4" xfId="122"/>
    <cellStyle name="03-07 C Exp_DBConfigColumn" xfId="123"/>
    <cellStyle name="03-07 C Rev" xfId="124"/>
    <cellStyle name="03-07 C Rev 2" xfId="125"/>
    <cellStyle name="03-07 C Rev 2 2" xfId="126"/>
    <cellStyle name="03-07 C Rev 3" xfId="127"/>
    <cellStyle name="03-07 C Rev 3 2" xfId="128"/>
    <cellStyle name="03-07 C Rev 4" xfId="129"/>
    <cellStyle name="03-07 C Rev_DBConfigColumn" xfId="130"/>
    <cellStyle name="03-07 FB Exp" xfId="131"/>
    <cellStyle name="03-07 FB Exp 2" xfId="132"/>
    <cellStyle name="03-07 FB Exp 2 2" xfId="133"/>
    <cellStyle name="03-07 FB Exp 3" xfId="134"/>
    <cellStyle name="03-07 FB Exp 3 2" xfId="135"/>
    <cellStyle name="03-07 FB Exp 4" xfId="136"/>
    <cellStyle name="03-07 FB Exp_DBConfigColumn" xfId="137"/>
    <cellStyle name="03-07 FB Rev" xfId="138"/>
    <cellStyle name="03-07 FB Rev 2" xfId="139"/>
    <cellStyle name="03-07 FB Rev 2 2" xfId="140"/>
    <cellStyle name="03-07 FB Rev 3" xfId="141"/>
    <cellStyle name="03-07 FB Rev 3 2" xfId="142"/>
    <cellStyle name="03-07 FB Rev 4" xfId="143"/>
    <cellStyle name="03-07 FB Rev_DBConfigColumn" xfId="144"/>
    <cellStyle name="03-07 R Rev" xfId="145"/>
    <cellStyle name="03-07 R Rev 2" xfId="146"/>
    <cellStyle name="03-07 R Rev 2 2" xfId="147"/>
    <cellStyle name="03-07 R Rev 3" xfId="148"/>
    <cellStyle name="03-07 R Rev 3 2" xfId="149"/>
    <cellStyle name="03-07 R Rev 4" xfId="150"/>
    <cellStyle name="03-07 R Rev_DBConfigColumn" xfId="151"/>
    <cellStyle name="03-07 Ret Exp" xfId="152"/>
    <cellStyle name="03-07 Ret Exp 2" xfId="153"/>
    <cellStyle name="03-07 Ret Exp 2 2" xfId="154"/>
    <cellStyle name="03-07 Ret Exp 3" xfId="155"/>
    <cellStyle name="03-07 Ret Exp 3 2" xfId="156"/>
    <cellStyle name="03-07 Ret Exp 4" xfId="157"/>
    <cellStyle name="03-07 Ret Exp_DBConfigColumn" xfId="158"/>
    <cellStyle name="03-07 Rev FB" xfId="159"/>
    <cellStyle name="03-07 Rev FB 2" xfId="160"/>
    <cellStyle name="03-07 Rev FB 2 2" xfId="161"/>
    <cellStyle name="03-07 Rev FB 3" xfId="162"/>
    <cellStyle name="03-07 Rev FB 3 2" xfId="163"/>
    <cellStyle name="03-07 Rev FB 4" xfId="164"/>
    <cellStyle name="03-07 Rev FB_DBConfigColumn" xfId="165"/>
    <cellStyle name="1" xfId="166"/>
    <cellStyle name="1,comma" xfId="167"/>
    <cellStyle name="1/1/94" xfId="168"/>
    <cellStyle name="1000s (0)" xfId="169"/>
    <cellStyle name="10Q" xfId="170"/>
    <cellStyle name="19" xfId="171"/>
    <cellStyle name="19 2" xfId="172"/>
    <cellStyle name="1994" xfId="173"/>
    <cellStyle name="2" xfId="174"/>
    <cellStyle name="20% - Accent1 2" xfId="175"/>
    <cellStyle name="20% - Accent1 2 2" xfId="176"/>
    <cellStyle name="20% - Accent1 2 2 2" xfId="177"/>
    <cellStyle name="20% - Accent1 2 3" xfId="178"/>
    <cellStyle name="20% - Accent1 2 3 2" xfId="179"/>
    <cellStyle name="20% - Accent1 2 4" xfId="180"/>
    <cellStyle name="20% - Accent1 2 5" xfId="181"/>
    <cellStyle name="20% - Accent1 2 6" xfId="182"/>
    <cellStyle name="20% - Accent1 2 7" xfId="183"/>
    <cellStyle name="20% - Accent1 2 8" xfId="184"/>
    <cellStyle name="20% - Accent1 2 9" xfId="185"/>
    <cellStyle name="20% - Accent1 3" xfId="186"/>
    <cellStyle name="20% - Accent1 3 2" xfId="187"/>
    <cellStyle name="20% - Accent1 3 3" xfId="188"/>
    <cellStyle name="20% - Accent1 3 4" xfId="189"/>
    <cellStyle name="20% - Accent1 3 5" xfId="190"/>
    <cellStyle name="20% - Accent1 3 6" xfId="191"/>
    <cellStyle name="20% - Accent1 3 7" xfId="192"/>
    <cellStyle name="20% - Accent1 3 8" xfId="193"/>
    <cellStyle name="20% - Accent1 3 9" xfId="194"/>
    <cellStyle name="20% - Accent1 4" xfId="195"/>
    <cellStyle name="20% - Accent1 4 2" xfId="196"/>
    <cellStyle name="20% - Accent1 4 3" xfId="197"/>
    <cellStyle name="20% - Accent1 4 4" xfId="198"/>
    <cellStyle name="20% - Accent1 4 5" xfId="199"/>
    <cellStyle name="20% - Accent1 4 6" xfId="200"/>
    <cellStyle name="20% - Accent1 4 7" xfId="201"/>
    <cellStyle name="20% - Accent1 4 8" xfId="202"/>
    <cellStyle name="20% - Accent1 4 9" xfId="203"/>
    <cellStyle name="20% - Accent1 5" xfId="204"/>
    <cellStyle name="20% - Accent1 5 2" xfId="205"/>
    <cellStyle name="20% - Accent1 6" xfId="206"/>
    <cellStyle name="20% - Accent1 6 2" xfId="207"/>
    <cellStyle name="20% - Accent1 7" xfId="208"/>
    <cellStyle name="20% - Accent1 7 2" xfId="209"/>
    <cellStyle name="20% - Accent1 8" xfId="210"/>
    <cellStyle name="20% - Accent1 9" xfId="211"/>
    <cellStyle name="20% - Accent2 2" xfId="212"/>
    <cellStyle name="20% - Accent2 2 2" xfId="213"/>
    <cellStyle name="20% - Accent2 2 2 2" xfId="214"/>
    <cellStyle name="20% - Accent2 2 3" xfId="215"/>
    <cellStyle name="20% - Accent2 2 3 2" xfId="216"/>
    <cellStyle name="20% - Accent2 2 4" xfId="217"/>
    <cellStyle name="20% - Accent2 2 5" xfId="218"/>
    <cellStyle name="20% - Accent2 2 6" xfId="219"/>
    <cellStyle name="20% - Accent2 2 7" xfId="220"/>
    <cellStyle name="20% - Accent2 2 8" xfId="221"/>
    <cellStyle name="20% - Accent2 2 9" xfId="222"/>
    <cellStyle name="20% - Accent2 3" xfId="223"/>
    <cellStyle name="20% - Accent2 3 2" xfId="224"/>
    <cellStyle name="20% - Accent2 3 3" xfId="225"/>
    <cellStyle name="20% - Accent2 3 4" xfId="226"/>
    <cellStyle name="20% - Accent2 3 5" xfId="227"/>
    <cellStyle name="20% - Accent2 3 6" xfId="228"/>
    <cellStyle name="20% - Accent2 3 7" xfId="229"/>
    <cellStyle name="20% - Accent2 3 8" xfId="230"/>
    <cellStyle name="20% - Accent2 3 9" xfId="231"/>
    <cellStyle name="20% - Accent2 4" xfId="232"/>
    <cellStyle name="20% - Accent2 4 2" xfId="233"/>
    <cellStyle name="20% - Accent2 4 3" xfId="234"/>
    <cellStyle name="20% - Accent2 4 4" xfId="235"/>
    <cellStyle name="20% - Accent2 4 5" xfId="236"/>
    <cellStyle name="20% - Accent2 4 6" xfId="237"/>
    <cellStyle name="20% - Accent2 4 7" xfId="238"/>
    <cellStyle name="20% - Accent2 4 8" xfId="239"/>
    <cellStyle name="20% - Accent2 4 9" xfId="240"/>
    <cellStyle name="20% - Accent2 5" xfId="241"/>
    <cellStyle name="20% - Accent2 5 2" xfId="242"/>
    <cellStyle name="20% - Accent2 6" xfId="243"/>
    <cellStyle name="20% - Accent2 6 2" xfId="244"/>
    <cellStyle name="20% - Accent2 7" xfId="245"/>
    <cellStyle name="20% - Accent2 7 2" xfId="246"/>
    <cellStyle name="20% - Accent2 8" xfId="247"/>
    <cellStyle name="20% - Accent2 9" xfId="248"/>
    <cellStyle name="20% - Accent3 2" xfId="249"/>
    <cellStyle name="20% - Accent3 2 2" xfId="250"/>
    <cellStyle name="20% - Accent3 2 2 2" xfId="251"/>
    <cellStyle name="20% - Accent3 2 3" xfId="252"/>
    <cellStyle name="20% - Accent3 2 3 2" xfId="253"/>
    <cellStyle name="20% - Accent3 2 4" xfId="254"/>
    <cellStyle name="20% - Accent3 2 5" xfId="255"/>
    <cellStyle name="20% - Accent3 2 6" xfId="256"/>
    <cellStyle name="20% - Accent3 2 7" xfId="257"/>
    <cellStyle name="20% - Accent3 2 8" xfId="258"/>
    <cellStyle name="20% - Accent3 2 9" xfId="259"/>
    <cellStyle name="20% - Accent3 3" xfId="260"/>
    <cellStyle name="20% - Accent3 3 2" xfId="261"/>
    <cellStyle name="20% - Accent3 3 3" xfId="262"/>
    <cellStyle name="20% - Accent3 3 4" xfId="263"/>
    <cellStyle name="20% - Accent3 3 5" xfId="264"/>
    <cellStyle name="20% - Accent3 3 6" xfId="265"/>
    <cellStyle name="20% - Accent3 3 7" xfId="266"/>
    <cellStyle name="20% - Accent3 3 8" xfId="267"/>
    <cellStyle name="20% - Accent3 3 9" xfId="268"/>
    <cellStyle name="20% - Accent3 4" xfId="269"/>
    <cellStyle name="20% - Accent3 4 2" xfId="270"/>
    <cellStyle name="20% - Accent3 4 3" xfId="271"/>
    <cellStyle name="20% - Accent3 4 4" xfId="272"/>
    <cellStyle name="20% - Accent3 4 5" xfId="273"/>
    <cellStyle name="20% - Accent3 4 6" xfId="274"/>
    <cellStyle name="20% - Accent3 4 7" xfId="275"/>
    <cellStyle name="20% - Accent3 4 8" xfId="276"/>
    <cellStyle name="20% - Accent3 4 9" xfId="277"/>
    <cellStyle name="20% - Accent3 5" xfId="278"/>
    <cellStyle name="20% - Accent3 5 2" xfId="279"/>
    <cellStyle name="20% - Accent3 6" xfId="280"/>
    <cellStyle name="20% - Accent3 6 2" xfId="281"/>
    <cellStyle name="20% - Accent3 7" xfId="282"/>
    <cellStyle name="20% - Accent3 7 2" xfId="283"/>
    <cellStyle name="20% - Accent3 8" xfId="284"/>
    <cellStyle name="20% - Accent3 9" xfId="285"/>
    <cellStyle name="20% - Accent4 2" xfId="286"/>
    <cellStyle name="20% - Accent4 2 2" xfId="287"/>
    <cellStyle name="20% - Accent4 2 2 2" xfId="288"/>
    <cellStyle name="20% - Accent4 2 3" xfId="289"/>
    <cellStyle name="20% - Accent4 2 3 2" xfId="290"/>
    <cellStyle name="20% - Accent4 2 4" xfId="291"/>
    <cellStyle name="20% - Accent4 2 5" xfId="292"/>
    <cellStyle name="20% - Accent4 2 6" xfId="293"/>
    <cellStyle name="20% - Accent4 2 7" xfId="294"/>
    <cellStyle name="20% - Accent4 2 8" xfId="295"/>
    <cellStyle name="20% - Accent4 2 9" xfId="296"/>
    <cellStyle name="20% - Accent4 3" xfId="297"/>
    <cellStyle name="20% - Accent4 3 2" xfId="298"/>
    <cellStyle name="20% - Accent4 3 3" xfId="299"/>
    <cellStyle name="20% - Accent4 3 4" xfId="300"/>
    <cellStyle name="20% - Accent4 4" xfId="301"/>
    <cellStyle name="20% - Accent4 4 2" xfId="302"/>
    <cellStyle name="20% - Accent4 5" xfId="303"/>
    <cellStyle name="20% - Accent4 5 2" xfId="304"/>
    <cellStyle name="20% - Accent4 6" xfId="305"/>
    <cellStyle name="20% - Accent4 6 2" xfId="306"/>
    <cellStyle name="20% - Accent4 7" xfId="307"/>
    <cellStyle name="20% - Accent4 7 2" xfId="308"/>
    <cellStyle name="20% - Accent4 8" xfId="309"/>
    <cellStyle name="20% - Accent4 9" xfId="310"/>
    <cellStyle name="20% - Accent5 2" xfId="311"/>
    <cellStyle name="20% - Accent5 2 2" xfId="312"/>
    <cellStyle name="20% - Accent5 2 2 2" xfId="313"/>
    <cellStyle name="20% - Accent5 2 3" xfId="314"/>
    <cellStyle name="20% - Accent5 2 3 2" xfId="315"/>
    <cellStyle name="20% - Accent5 2 4" xfId="316"/>
    <cellStyle name="20% - Accent5 2 5" xfId="317"/>
    <cellStyle name="20% - Accent5 3" xfId="318"/>
    <cellStyle name="20% - Accent5 3 2" xfId="319"/>
    <cellStyle name="20% - Accent5 4" xfId="320"/>
    <cellStyle name="20% - Accent5 4 2" xfId="321"/>
    <cellStyle name="20% - Accent5 5" xfId="322"/>
    <cellStyle name="20% - Accent5 5 2" xfId="323"/>
    <cellStyle name="20% - Accent5 6" xfId="324"/>
    <cellStyle name="20% - Accent5 6 2" xfId="325"/>
    <cellStyle name="20% - Accent5 7" xfId="326"/>
    <cellStyle name="20% - Accent5 7 2" xfId="327"/>
    <cellStyle name="20% - Accent5 8" xfId="328"/>
    <cellStyle name="20% - Accent5 9" xfId="329"/>
    <cellStyle name="20% - Accent6 2" xfId="330"/>
    <cellStyle name="20% - Accent6 2 2" xfId="331"/>
    <cellStyle name="20% - Accent6 2 2 2" xfId="332"/>
    <cellStyle name="20% - Accent6 2 3" xfId="333"/>
    <cellStyle name="20% - Accent6 2 3 2" xfId="334"/>
    <cellStyle name="20% - Accent6 2 4" xfId="335"/>
    <cellStyle name="20% - Accent6 2 5" xfId="336"/>
    <cellStyle name="20% - Accent6 3" xfId="337"/>
    <cellStyle name="20% - Accent6 3 2" xfId="338"/>
    <cellStyle name="20% - Accent6 4" xfId="339"/>
    <cellStyle name="20% - Accent6 4 2" xfId="340"/>
    <cellStyle name="20% - Accent6 5" xfId="341"/>
    <cellStyle name="20% - Accent6 5 2" xfId="342"/>
    <cellStyle name="20% - Accent6 6" xfId="343"/>
    <cellStyle name="20% - Accent6 6 2" xfId="344"/>
    <cellStyle name="20% - Accent6 7" xfId="345"/>
    <cellStyle name="20% - Accent6 7 2" xfId="346"/>
    <cellStyle name="20% - Accent6 8" xfId="347"/>
    <cellStyle name="20% - Accent6 9" xfId="348"/>
    <cellStyle name="20% - Akzent1" xfId="349"/>
    <cellStyle name="20% - Akzent2" xfId="350"/>
    <cellStyle name="20% - Akzent3" xfId="351"/>
    <cellStyle name="20% - Akzent4" xfId="352"/>
    <cellStyle name="20% - Akzent5" xfId="353"/>
    <cellStyle name="20% - Akzent6" xfId="354"/>
    <cellStyle name="20 % - Accent1" xfId="355"/>
    <cellStyle name="20 % - Accent2" xfId="356"/>
    <cellStyle name="20 % - Accent3" xfId="357"/>
    <cellStyle name="20 % - Accent4" xfId="358"/>
    <cellStyle name="20 % - Accent5" xfId="359"/>
    <cellStyle name="20 % - Accent6" xfId="360"/>
    <cellStyle name="2_ACCDIL_BOOK" xfId="361"/>
    <cellStyle name="2_ADSENS2" xfId="362"/>
    <cellStyle name="2_AI" xfId="363"/>
    <cellStyle name="2_ARDEN" xfId="364"/>
    <cellStyle name="2_ARDEN_BUILD" xfId="365"/>
    <cellStyle name="2_ARDEN_FIN1" xfId="366"/>
    <cellStyle name="2_ARDEN_FIN2" xfId="367"/>
    <cellStyle name="2_BMW_FIN" xfId="368"/>
    <cellStyle name="2_BOARD1" xfId="369"/>
    <cellStyle name="2_BOARD2" xfId="370"/>
    <cellStyle name="2_BOARD3" xfId="371"/>
    <cellStyle name="2_BOARD4" xfId="372"/>
    <cellStyle name="2_BOARDPF" xfId="373"/>
    <cellStyle name="2_BRKEVEN" xfId="374"/>
    <cellStyle name="2_CAD_ADJ" xfId="375"/>
    <cellStyle name="2_COMPS" xfId="376"/>
    <cellStyle name="2_COMPSUM" xfId="377"/>
    <cellStyle name="2_COMPVAL" xfId="378"/>
    <cellStyle name="2_CONTRIB" xfId="379"/>
    <cellStyle name="2_DCF" xfId="380"/>
    <cellStyle name="2_DCFASSM" xfId="381"/>
    <cellStyle name="2_DCFSENS" xfId="382"/>
    <cellStyle name="2_DCFSUM" xfId="383"/>
    <cellStyle name="2_EPS" xfId="384"/>
    <cellStyle name="2_EPSSENS" xfId="385"/>
    <cellStyle name="2_FEES" xfId="386"/>
    <cellStyle name="2_FLY_FIN" xfId="387"/>
    <cellStyle name="2_FLY_SEG" xfId="388"/>
    <cellStyle name="2_FLYCASE" xfId="389"/>
    <cellStyle name="2_FLYVALSUM" xfId="390"/>
    <cellStyle name="2_GENCORP" xfId="391"/>
    <cellStyle name="2_HH_FIN" xfId="392"/>
    <cellStyle name="2_HOSP_FIN" xfId="393"/>
    <cellStyle name="2_IMP_EXRAT" xfId="394"/>
    <cellStyle name="2_IPO" xfId="395"/>
    <cellStyle name="2_IRR" xfId="396"/>
    <cellStyle name="2_ISSUES" xfId="397"/>
    <cellStyle name="2_J" xfId="398"/>
    <cellStyle name="2_K" xfId="399"/>
    <cellStyle name="2_L" xfId="400"/>
    <cellStyle name="2_LBO" xfId="401"/>
    <cellStyle name="2_MACROS" xfId="402"/>
    <cellStyle name="2_MIDAS" xfId="403"/>
    <cellStyle name="2_MINIMERG" xfId="404"/>
    <cellStyle name="2_NAV" xfId="405"/>
    <cellStyle name="2_OFFERSENS" xfId="406"/>
    <cellStyle name="2_OTHER_FIN" xfId="407"/>
    <cellStyle name="2_PF_CONTRIB" xfId="408"/>
    <cellStyle name="2_PF_FIN" xfId="409"/>
    <cellStyle name="2_PROJSUM" xfId="410"/>
    <cellStyle name="2_RAYDCF" xfId="411"/>
    <cellStyle name="2_RAYPROJSUM" xfId="412"/>
    <cellStyle name="2_RAYVALSUM" xfId="413"/>
    <cellStyle name="2_SIDE" xfId="414"/>
    <cellStyle name="2_SNIFF_FIN" xfId="415"/>
    <cellStyle name="2_SNIFFASSM" xfId="416"/>
    <cellStyle name="2_SNIFFMO" xfId="417"/>
    <cellStyle name="2_SNIFFYR" xfId="418"/>
    <cellStyle name="2_SPRING_FIN" xfId="419"/>
    <cellStyle name="2_SUMEST" xfId="420"/>
    <cellStyle name="2_SUMSENS" xfId="421"/>
    <cellStyle name="2_TRANSLBO" xfId="422"/>
    <cellStyle name="2_TRANSMERG" xfId="423"/>
    <cellStyle name="2_VALMAT" xfId="424"/>
    <cellStyle name="2sp rt" xfId="425"/>
    <cellStyle name="3$" xfId="426"/>
    <cellStyle name="3/31" xfId="427"/>
    <cellStyle name="30" xfId="428"/>
    <cellStyle name="32s" xfId="429"/>
    <cellStyle name="32s 2" xfId="430"/>
    <cellStyle name="32s 2 2" xfId="431"/>
    <cellStyle name="32s 3" xfId="432"/>
    <cellStyle name="40% - Accent1 2" xfId="433"/>
    <cellStyle name="40% - Accent1 2 2" xfId="434"/>
    <cellStyle name="40% - Accent1 2 2 2" xfId="435"/>
    <cellStyle name="40% - Accent1 2 3" xfId="436"/>
    <cellStyle name="40% - Accent1 2 3 2" xfId="437"/>
    <cellStyle name="40% - Accent1 2 4" xfId="438"/>
    <cellStyle name="40% - Accent1 2 5" xfId="439"/>
    <cellStyle name="40% - Accent1 3" xfId="440"/>
    <cellStyle name="40% - Accent1 3 2" xfId="441"/>
    <cellStyle name="40% - Accent1 4" xfId="442"/>
    <cellStyle name="40% - Accent1 4 2" xfId="443"/>
    <cellStyle name="40% - Accent1 5" xfId="444"/>
    <cellStyle name="40% - Accent1 5 2" xfId="445"/>
    <cellStyle name="40% - Accent1 6" xfId="446"/>
    <cellStyle name="40% - Accent1 6 2" xfId="447"/>
    <cellStyle name="40% - Accent1 7" xfId="448"/>
    <cellStyle name="40% - Accent1 7 2" xfId="449"/>
    <cellStyle name="40% - Accent1 8" xfId="450"/>
    <cellStyle name="40% - Accent1 9" xfId="451"/>
    <cellStyle name="40% - Accent2 2" xfId="452"/>
    <cellStyle name="40% - Accent2 2 2" xfId="453"/>
    <cellStyle name="40% - Accent2 2 2 2" xfId="454"/>
    <cellStyle name="40% - Accent2 2 3" xfId="455"/>
    <cellStyle name="40% - Accent2 2 3 2" xfId="456"/>
    <cellStyle name="40% - Accent2 2 4" xfId="457"/>
    <cellStyle name="40% - Accent2 2 5" xfId="458"/>
    <cellStyle name="40% - Accent2 3" xfId="459"/>
    <cellStyle name="40% - Accent2 3 2" xfId="460"/>
    <cellStyle name="40% - Accent2 4" xfId="461"/>
    <cellStyle name="40% - Accent2 4 2" xfId="462"/>
    <cellStyle name="40% - Accent2 5" xfId="463"/>
    <cellStyle name="40% - Accent2 5 2" xfId="464"/>
    <cellStyle name="40% - Accent2 6" xfId="465"/>
    <cellStyle name="40% - Accent2 6 2" xfId="466"/>
    <cellStyle name="40% - Accent2 7" xfId="467"/>
    <cellStyle name="40% - Accent2 7 2" xfId="468"/>
    <cellStyle name="40% - Accent2 8" xfId="469"/>
    <cellStyle name="40% - Accent2 9" xfId="470"/>
    <cellStyle name="40% - Accent3 2" xfId="471"/>
    <cellStyle name="40% - Accent3 2 2" xfId="472"/>
    <cellStyle name="40% - Accent3 2 2 2" xfId="473"/>
    <cellStyle name="40% - Accent3 2 3" xfId="474"/>
    <cellStyle name="40% - Accent3 2 3 2" xfId="475"/>
    <cellStyle name="40% - Accent3 2 4" xfId="476"/>
    <cellStyle name="40% - Accent3 2 5" xfId="477"/>
    <cellStyle name="40% - Accent3 3" xfId="478"/>
    <cellStyle name="40% - Accent3 3 2" xfId="479"/>
    <cellStyle name="40% - Accent3 4" xfId="480"/>
    <cellStyle name="40% - Accent3 4 2" xfId="481"/>
    <cellStyle name="40% - Accent3 5" xfId="482"/>
    <cellStyle name="40% - Accent3 5 2" xfId="483"/>
    <cellStyle name="40% - Accent3 6" xfId="484"/>
    <cellStyle name="40% - Accent3 6 2" xfId="485"/>
    <cellStyle name="40% - Accent3 7" xfId="486"/>
    <cellStyle name="40% - Accent3 7 2" xfId="487"/>
    <cellStyle name="40% - Accent3 8" xfId="488"/>
    <cellStyle name="40% - Accent3 9" xfId="489"/>
    <cellStyle name="40% - Accent4 2" xfId="490"/>
    <cellStyle name="40% - Accent4 2 2" xfId="491"/>
    <cellStyle name="40% - Accent4 2 2 2" xfId="492"/>
    <cellStyle name="40% - Accent4 2 3" xfId="493"/>
    <cellStyle name="40% - Accent4 2 4" xfId="494"/>
    <cellStyle name="40% - Accent4 3" xfId="495"/>
    <cellStyle name="40% - Accent4 3 2" xfId="496"/>
    <cellStyle name="40% - Accent4 4" xfId="497"/>
    <cellStyle name="40% - Accent4 4 2" xfId="498"/>
    <cellStyle name="40% - Accent4 5" xfId="499"/>
    <cellStyle name="40% - Accent4 5 2" xfId="500"/>
    <cellStyle name="40% - Accent4 6" xfId="501"/>
    <cellStyle name="40% - Accent4 6 2" xfId="502"/>
    <cellStyle name="40% - Accent4 7" xfId="503"/>
    <cellStyle name="40% - Accent4 7 2" xfId="504"/>
    <cellStyle name="40% - Accent4 8" xfId="505"/>
    <cellStyle name="40% - Accent4 9" xfId="506"/>
    <cellStyle name="40% - Accent5 2" xfId="507"/>
    <cellStyle name="40% - Accent5 2 2" xfId="508"/>
    <cellStyle name="40% - Accent5 2 2 2" xfId="509"/>
    <cellStyle name="40% - Accent5 2 3" xfId="510"/>
    <cellStyle name="40% - Accent5 2 4" xfId="511"/>
    <cellStyle name="40% - Accent5 3" xfId="512"/>
    <cellStyle name="40% - Accent5 3 2" xfId="513"/>
    <cellStyle name="40% - Accent5 4" xfId="514"/>
    <cellStyle name="40% - Accent5 4 2" xfId="515"/>
    <cellStyle name="40% - Accent5 5" xfId="516"/>
    <cellStyle name="40% - Accent5 5 2" xfId="517"/>
    <cellStyle name="40% - Accent5 6" xfId="518"/>
    <cellStyle name="40% - Accent5 6 2" xfId="519"/>
    <cellStyle name="40% - Accent5 7" xfId="520"/>
    <cellStyle name="40% - Accent5 7 2" xfId="521"/>
    <cellStyle name="40% - Accent5 8" xfId="522"/>
    <cellStyle name="40% - Accent5 9" xfId="523"/>
    <cellStyle name="40% - Accent6 2" xfId="524"/>
    <cellStyle name="40% - Accent6 2 2" xfId="525"/>
    <cellStyle name="40% - Accent6 2 2 2" xfId="526"/>
    <cellStyle name="40% - Accent6 2 3" xfId="527"/>
    <cellStyle name="40% - Accent6 2 3 2" xfId="528"/>
    <cellStyle name="40% - Accent6 2 4" xfId="529"/>
    <cellStyle name="40% - Accent6 2 5" xfId="530"/>
    <cellStyle name="40% - Accent6 3" xfId="531"/>
    <cellStyle name="40% - Accent6 3 2" xfId="532"/>
    <cellStyle name="40% - Accent6 4" xfId="533"/>
    <cellStyle name="40% - Accent6 4 2" xfId="534"/>
    <cellStyle name="40% - Accent6 5" xfId="535"/>
    <cellStyle name="40% - Accent6 5 2" xfId="536"/>
    <cellStyle name="40% - Accent6 6" xfId="537"/>
    <cellStyle name="40% - Accent6 6 2" xfId="538"/>
    <cellStyle name="40% - Accent6 7" xfId="539"/>
    <cellStyle name="40% - Accent6 7 2" xfId="540"/>
    <cellStyle name="40% - Accent6 8" xfId="541"/>
    <cellStyle name="40% - Accent6 9" xfId="542"/>
    <cellStyle name="40% - Akzent1" xfId="543"/>
    <cellStyle name="40% - Akzent2" xfId="544"/>
    <cellStyle name="40% - Akzent3" xfId="545"/>
    <cellStyle name="40% - Akzent4" xfId="546"/>
    <cellStyle name="40% - Akzent5" xfId="547"/>
    <cellStyle name="40% - Akzent6" xfId="548"/>
    <cellStyle name="40 % - Accent1" xfId="549"/>
    <cellStyle name="40 % - Accent2" xfId="550"/>
    <cellStyle name="40 % - Accent3" xfId="551"/>
    <cellStyle name="40 % - Accent4" xfId="552"/>
    <cellStyle name="40 % - Accent5" xfId="553"/>
    <cellStyle name="40 % - Accent6" xfId="554"/>
    <cellStyle name="53RD" xfId="555"/>
    <cellStyle name="60% - Accent1 2" xfId="556"/>
    <cellStyle name="60% - Accent1 2 2" xfId="557"/>
    <cellStyle name="60% - Accent1 2 2 2" xfId="558"/>
    <cellStyle name="60% - Accent1 2 3" xfId="559"/>
    <cellStyle name="60% - Accent1 2 3 2" xfId="560"/>
    <cellStyle name="60% - Accent1 2 4" xfId="561"/>
    <cellStyle name="60% - Accent1 2 5" xfId="562"/>
    <cellStyle name="60% - Accent1 3" xfId="563"/>
    <cellStyle name="60% - Accent1 3 2" xfId="564"/>
    <cellStyle name="60% - Accent1 4" xfId="565"/>
    <cellStyle name="60% - Accent1 4 2" xfId="566"/>
    <cellStyle name="60% - Accent1 5" xfId="567"/>
    <cellStyle name="60% - Accent1 5 2" xfId="568"/>
    <cellStyle name="60% - Accent1 6" xfId="569"/>
    <cellStyle name="60% - Accent1 6 2" xfId="570"/>
    <cellStyle name="60% - Accent1 7" xfId="571"/>
    <cellStyle name="60% - Accent1 8" xfId="572"/>
    <cellStyle name="60% - Accent1 9" xfId="573"/>
    <cellStyle name="60% - Accent2 2" xfId="574"/>
    <cellStyle name="60% - Accent2 2 2" xfId="575"/>
    <cellStyle name="60% - Accent2 2 2 2" xfId="576"/>
    <cellStyle name="60% - Accent2 2 3" xfId="577"/>
    <cellStyle name="60% - Accent2 2 3 2" xfId="578"/>
    <cellStyle name="60% - Accent2 2 4" xfId="579"/>
    <cellStyle name="60% - Accent2 2 5" xfId="580"/>
    <cellStyle name="60% - Accent2 3" xfId="581"/>
    <cellStyle name="60% - Accent2 3 2" xfId="582"/>
    <cellStyle name="60% - Accent2 4" xfId="583"/>
    <cellStyle name="60% - Accent2 4 2" xfId="584"/>
    <cellStyle name="60% - Accent2 5" xfId="585"/>
    <cellStyle name="60% - Accent2 5 2" xfId="586"/>
    <cellStyle name="60% - Accent2 6" xfId="587"/>
    <cellStyle name="60% - Accent2 6 2" xfId="588"/>
    <cellStyle name="60% - Accent2 7" xfId="589"/>
    <cellStyle name="60% - Accent2 8" xfId="590"/>
    <cellStyle name="60% - Accent2 9" xfId="591"/>
    <cellStyle name="60% - Accent3 2" xfId="592"/>
    <cellStyle name="60% - Accent3 2 2" xfId="593"/>
    <cellStyle name="60% - Accent3 2 2 2" xfId="594"/>
    <cellStyle name="60% - Accent3 2 3" xfId="595"/>
    <cellStyle name="60% - Accent3 2 3 2" xfId="596"/>
    <cellStyle name="60% - Accent3 2 4" xfId="597"/>
    <cellStyle name="60% - Accent3 2 5" xfId="598"/>
    <cellStyle name="60% - Accent3 3" xfId="599"/>
    <cellStyle name="60% - Accent3 3 2" xfId="600"/>
    <cellStyle name="60% - Accent3 4" xfId="601"/>
    <cellStyle name="60% - Accent3 4 2" xfId="602"/>
    <cellStyle name="60% - Accent3 5" xfId="603"/>
    <cellStyle name="60% - Accent3 5 2" xfId="604"/>
    <cellStyle name="60% - Accent3 6" xfId="605"/>
    <cellStyle name="60% - Accent3 6 2" xfId="606"/>
    <cellStyle name="60% - Accent3 7" xfId="607"/>
    <cellStyle name="60% - Accent3 8" xfId="608"/>
    <cellStyle name="60% - Accent3 9" xfId="609"/>
    <cellStyle name="60% - Accent4 2" xfId="610"/>
    <cellStyle name="60% - Accent4 2 2" xfId="611"/>
    <cellStyle name="60% - Accent4 2 2 2" xfId="612"/>
    <cellStyle name="60% - Accent4 2 3" xfId="613"/>
    <cellStyle name="60% - Accent4 2 3 2" xfId="614"/>
    <cellStyle name="60% - Accent4 2 4" xfId="615"/>
    <cellStyle name="60% - Accent4 2 5" xfId="616"/>
    <cellStyle name="60% - Accent4 3" xfId="617"/>
    <cellStyle name="60% - Accent4 3 13" xfId="618"/>
    <cellStyle name="60% - Accent4 3 13 2" xfId="619"/>
    <cellStyle name="60% - Accent4 3 13 3" xfId="620"/>
    <cellStyle name="60% - Accent4 3 13 3 2" xfId="621"/>
    <cellStyle name="60% - Accent4 3 13 4" xfId="622"/>
    <cellStyle name="60% - Accent4 3 14" xfId="623"/>
    <cellStyle name="60% - Accent4 3 2" xfId="624"/>
    <cellStyle name="60% - Accent4 4" xfId="625"/>
    <cellStyle name="60% - Accent4 4 2" xfId="626"/>
    <cellStyle name="60% - Accent4 5" xfId="627"/>
    <cellStyle name="60% - Accent4 5 2" xfId="628"/>
    <cellStyle name="60% - Accent4 6" xfId="629"/>
    <cellStyle name="60% - Accent4 6 2" xfId="630"/>
    <cellStyle name="60% - Accent4 7" xfId="631"/>
    <cellStyle name="60% - Accent4 8" xfId="632"/>
    <cellStyle name="60% - Accent4 9" xfId="633"/>
    <cellStyle name="60% - Accent5 2" xfId="634"/>
    <cellStyle name="60% - Accent5 2 2" xfId="635"/>
    <cellStyle name="60% - Accent5 2 2 2" xfId="636"/>
    <cellStyle name="60% - Accent5 2 3" xfId="637"/>
    <cellStyle name="60% - Accent5 2 3 2" xfId="638"/>
    <cellStyle name="60% - Accent5 2 4" xfId="639"/>
    <cellStyle name="60% - Accent5 2 5" xfId="640"/>
    <cellStyle name="60% - Accent5 3" xfId="641"/>
    <cellStyle name="60% - Accent5 3 2" xfId="642"/>
    <cellStyle name="60% - Accent5 4" xfId="643"/>
    <cellStyle name="60% - Accent5 4 2" xfId="644"/>
    <cellStyle name="60% - Accent5 5" xfId="645"/>
    <cellStyle name="60% - Accent5 5 2" xfId="646"/>
    <cellStyle name="60% - Accent5 6" xfId="647"/>
    <cellStyle name="60% - Accent5 6 2" xfId="648"/>
    <cellStyle name="60% - Accent5 7" xfId="649"/>
    <cellStyle name="60% - Accent5 8" xfId="650"/>
    <cellStyle name="60% - Accent5 9" xfId="651"/>
    <cellStyle name="60% - Accent6 2" xfId="652"/>
    <cellStyle name="60% - Accent6 2 2" xfId="653"/>
    <cellStyle name="60% - Accent6 2 2 2" xfId="654"/>
    <cellStyle name="60% - Accent6 2 3" xfId="655"/>
    <cellStyle name="60% - Accent6 2 3 2" xfId="656"/>
    <cellStyle name="60% - Accent6 2 4" xfId="657"/>
    <cellStyle name="60% - Accent6 2 5" xfId="658"/>
    <cellStyle name="60% - Accent6 3" xfId="659"/>
    <cellStyle name="60% - Accent6 3 2" xfId="660"/>
    <cellStyle name="60% - Accent6 4" xfId="661"/>
    <cellStyle name="60% - Accent6 4 2" xfId="662"/>
    <cellStyle name="60% - Accent6 5" xfId="663"/>
    <cellStyle name="60% - Accent6 5 2" xfId="664"/>
    <cellStyle name="60% - Accent6 6" xfId="665"/>
    <cellStyle name="60% - Accent6 6 2" xfId="666"/>
    <cellStyle name="60% - Accent6 7" xfId="667"/>
    <cellStyle name="60% - Accent6 8" xfId="668"/>
    <cellStyle name="60% - Accent6 9" xfId="669"/>
    <cellStyle name="60% - Akzent1" xfId="670"/>
    <cellStyle name="60% - Akzent2" xfId="671"/>
    <cellStyle name="60% - Akzent3" xfId="672"/>
    <cellStyle name="60% - Akzent4" xfId="673"/>
    <cellStyle name="60% - Akzent5" xfId="674"/>
    <cellStyle name="60% - Akzent6" xfId="675"/>
    <cellStyle name="60 % - Accent1" xfId="676"/>
    <cellStyle name="60 % - Accent2" xfId="677"/>
    <cellStyle name="60 % - Accent3" xfId="678"/>
    <cellStyle name="60 % - Accent4" xfId="679"/>
    <cellStyle name="60 % - Accent5" xfId="680"/>
    <cellStyle name="60 % - Accent6" xfId="681"/>
    <cellStyle name="9" xfId="682"/>
    <cellStyle name="98-02 Available Changes" xfId="683"/>
    <cellStyle name="98-02 Available Changes 2" xfId="684"/>
    <cellStyle name="98-02 Available Changes 2 2" xfId="685"/>
    <cellStyle name="98-02 Available Changes 3" xfId="686"/>
    <cellStyle name="98-02 Available Changes 3 2" xfId="687"/>
    <cellStyle name="98-02 Available Changes 4" xfId="688"/>
    <cellStyle name="98-02 Available Changes_DBConfigColumn" xfId="689"/>
    <cellStyle name="98-02 C Exp" xfId="690"/>
    <cellStyle name="98-02 C Exp 2" xfId="691"/>
    <cellStyle name="98-02 C Exp 2 2" xfId="692"/>
    <cellStyle name="98-02 C Exp 3" xfId="693"/>
    <cellStyle name="98-02 C Exp 3 2" xfId="694"/>
    <cellStyle name="98-02 C Exp 4" xfId="695"/>
    <cellStyle name="98-02 C Exp_DBConfigColumn" xfId="696"/>
    <cellStyle name="98-02 C Rev" xfId="697"/>
    <cellStyle name="98-02 C Rev 2" xfId="698"/>
    <cellStyle name="98-02 C Rev 2 2" xfId="699"/>
    <cellStyle name="98-02 C Rev 3" xfId="700"/>
    <cellStyle name="98-02 C Rev 3 2" xfId="701"/>
    <cellStyle name="98-02 C Rev 4" xfId="702"/>
    <cellStyle name="98-02 C Rev_DBConfigColumn" xfId="703"/>
    <cellStyle name="98-02 FB Exp" xfId="704"/>
    <cellStyle name="98-02 FB Exp 2" xfId="705"/>
    <cellStyle name="98-02 FB Exp 2 2" xfId="706"/>
    <cellStyle name="98-02 FB Exp 3" xfId="707"/>
    <cellStyle name="98-02 FB Exp 3 2" xfId="708"/>
    <cellStyle name="98-02 FB Exp 4" xfId="709"/>
    <cellStyle name="98-02 FB Exp_DBConfigColumn" xfId="710"/>
    <cellStyle name="98-02 FB Rev" xfId="711"/>
    <cellStyle name="98-02 FB Rev 2" xfId="712"/>
    <cellStyle name="98-02 FB Rev 2 2" xfId="713"/>
    <cellStyle name="98-02 FB Rev 3" xfId="714"/>
    <cellStyle name="98-02 FB Rev 3 2" xfId="715"/>
    <cellStyle name="98-02 FB Rev 4" xfId="716"/>
    <cellStyle name="98-02 FB Rev_DBConfigColumn" xfId="717"/>
    <cellStyle name="98-02 R Exp" xfId="718"/>
    <cellStyle name="98-02 R Exp 2" xfId="719"/>
    <cellStyle name="98-02 R Exp 2 2" xfId="720"/>
    <cellStyle name="98-02 R Exp 3" xfId="721"/>
    <cellStyle name="98-02 R Exp 3 2" xfId="722"/>
    <cellStyle name="98-02 R Exp 4" xfId="723"/>
    <cellStyle name="98-02 R Exp_DBConfigColumn" xfId="724"/>
    <cellStyle name="98-02 R Rev" xfId="725"/>
    <cellStyle name="98-02 R Rev 2" xfId="726"/>
    <cellStyle name="98-02 R Rev 2 2" xfId="727"/>
    <cellStyle name="98-02 R Rev 3" xfId="728"/>
    <cellStyle name="98-02 R Rev 3 2" xfId="729"/>
    <cellStyle name="98-02 R Rev 4" xfId="730"/>
    <cellStyle name="98-02 R Rev_DBConfigColumn" xfId="731"/>
    <cellStyle name=";;;" xfId="732"/>
    <cellStyle name="=C:\WINDOWS\SYSTEM32\COMMAND.COM" xfId="733"/>
    <cellStyle name="=C:\WINDOWS\SYSTEM32\COMMAND.COM 2" xfId="734"/>
    <cellStyle name="=C:\WINDOWS\SYSTEM32\COMMAND.COM 2 2" xfId="735"/>
    <cellStyle name="=C:\WINDOWS\SYSTEM32\COMMAND.COM 3" xfId="736"/>
    <cellStyle name="=C:\WINDOWS\SYSTEM32\COMMAND.COM 3 2" xfId="737"/>
    <cellStyle name="=C:\WINDOWS\SYSTEM32\COMMAND.COM 4" xfId="738"/>
    <cellStyle name="=C:\WINDOWS\SYSTEM32\COMMAND.COM 4 2" xfId="739"/>
    <cellStyle name="=C:\WINDOWS\SYSTEM32\COMMAND.COM 5" xfId="740"/>
    <cellStyle name="=C:\WINNT35\SYSTEM32\COMMAND.COM" xfId="741"/>
    <cellStyle name="=C:\WINNT35\SYSTEM32\COMMAND.COM 2" xfId="742"/>
    <cellStyle name="=C:\WINNT35\SYSTEM32\COMMAND.COM 2 2" xfId="743"/>
    <cellStyle name="=C:\WINNT35\SYSTEM32\COMMAND.COM 3" xfId="744"/>
    <cellStyle name="=C:\WINNT35\SYSTEM32\COMMAND.COM 3 2" xfId="745"/>
    <cellStyle name="=C:\WINNT35\SYSTEM32\COMMAND.COM 4" xfId="746"/>
    <cellStyle name="=C:\WINNT35\SYSTEM32\COMMAND.COM 4 2" xfId="747"/>
    <cellStyle name="=C:\WINNT35\SYSTEM32\COMMAND.COM 5" xfId="748"/>
    <cellStyle name="=C:\WINNT35\SYSTEM32\COMMAND.COM 5 2" xfId="749"/>
    <cellStyle name="=C:\WINNT35\SYSTEM32\COMMAND.COM 6" xfId="750"/>
    <cellStyle name="=C:\WINNT\SYSTEM32\COMMAND.COM" xfId="751"/>
    <cellStyle name="=C:\WINNT\SYSTEM32\COMMAND.COM 2" xfId="752"/>
    <cellStyle name="=C:\WINNT\SYSTEM32\COMMAND.COM 2 2" xfId="753"/>
    <cellStyle name="=C:\WINNT\SYSTEM32\COMMAND.COM 3" xfId="754"/>
    <cellStyle name="=C:\WINNT\SYSTEM32\COMMAND.COM 3 2" xfId="755"/>
    <cellStyle name="=C:\WINNT\SYSTEM32\COMMAND.COM 4" xfId="756"/>
    <cellStyle name="=C:\WINNT\SYSTEM32\COMMAND.COM 4 2" xfId="757"/>
    <cellStyle name="=C:\WINNT\SYSTEM32\COMMAND.COM 5" xfId="758"/>
    <cellStyle name="=C:\WINNT\SYSTEM32\COMMAND.COM 5 2" xfId="759"/>
    <cellStyle name="=C:\WINNT\SYSTEM32\COMMAND.COM 6" xfId="760"/>
    <cellStyle name="??" xfId="761"/>
    <cellStyle name="?? [0.00]_PERSONAL" xfId="762"/>
    <cellStyle name="?? [0]_??" xfId="763"/>
    <cellStyle name="??/64" xfId="764"/>
    <cellStyle name="??/64 2" xfId="765"/>
    <cellStyle name="??/64 3" xfId="766"/>
    <cellStyle name="??/64 4" xfId="767"/>
    <cellStyle name="??/64 5" xfId="768"/>
    <cellStyle name="??/64 5 2" xfId="769"/>
    <cellStyle name="??/64 6" xfId="770"/>
    <cellStyle name="??/64 6 2" xfId="771"/>
    <cellStyle name="??/64 7" xfId="772"/>
    <cellStyle name="???? [0.00]_Loan Pool 2000" xfId="773"/>
    <cellStyle name="???????????" xfId="774"/>
    <cellStyle name="????????????? ???????????" xfId="775"/>
    <cellStyle name="??????????_Employee housing" xfId="776"/>
    <cellStyle name="????????_Employee housing" xfId="777"/>
    <cellStyle name="???????_Salaryfebmarchfinal" xfId="778"/>
    <cellStyle name="?????_VERA" xfId="779"/>
    <cellStyle name="????_Loan Pool 2000" xfId="780"/>
    <cellStyle name="???[0]_~ME0858" xfId="781"/>
    <cellStyle name="???_~ME0858" xfId="782"/>
    <cellStyle name="??_?.????" xfId="783"/>
    <cellStyle name="]_EUARNEW5_EMF Reports - Shipments" xfId="784"/>
    <cellStyle name="]_Labour Efficiency" xfId="785"/>
    <cellStyle name="^February 1992" xfId="786"/>
    <cellStyle name="_ heading$" xfId="787"/>
    <cellStyle name="_ heading%" xfId="788"/>
    <cellStyle name="_ headingx" xfId="789"/>
    <cellStyle name="_ heading£" xfId="790"/>
    <cellStyle name="_ heading¥" xfId="791"/>
    <cellStyle name="_ heading€" xfId="792"/>
    <cellStyle name="_$accounting" xfId="793"/>
    <cellStyle name="_$accounting_PNC_merger_plan_divestitures_05" xfId="794"/>
    <cellStyle name="_%(SignOnly)" xfId="795"/>
    <cellStyle name="_%(SignOnly) 2" xfId="796"/>
    <cellStyle name="_%(SignOnly) 3" xfId="797"/>
    <cellStyle name="_%(SignOnly) 4" xfId="798"/>
    <cellStyle name="_%(SignOnly) 5" xfId="799"/>
    <cellStyle name="_%(SignOnly) 5 2" xfId="800"/>
    <cellStyle name="_%(SignOnly) 6" xfId="801"/>
    <cellStyle name="_%(SignOnly) 6 2" xfId="802"/>
    <cellStyle name="_%(SignOnly) 7" xfId="803"/>
    <cellStyle name="_%(SignOnly)_01 model" xfId="804"/>
    <cellStyle name="_%(SignOnly)_02 Potential Partner Ability to Pay Analysis2" xfId="805"/>
    <cellStyle name="_%(SignOnly)_12 Merger Plans" xfId="806"/>
    <cellStyle name="_%(SignOnly)_AVP - prev. 06 financials" xfId="807"/>
    <cellStyle name="_%(SignOnly)_bank_csc_Q2_2001_c1" xfId="808"/>
    <cellStyle name="_%(SignOnly)_Columbia Entertainment Model FINAL" xfId="809"/>
    <cellStyle name="_%(SignOnly)_FigTech Merger Model_02" xfId="810"/>
    <cellStyle name="_%(SignOnly)_Football Field" xfId="811"/>
    <cellStyle name="_%(SignOnly)_Meadowsv3" xfId="812"/>
    <cellStyle name="_%(SignOnly)_PNC_merger_plan_divestitures_05" xfId="813"/>
    <cellStyle name="_%(SignOnly)_Summary Valuation Analysis" xfId="814"/>
    <cellStyle name="_%(SignOnly)_Synergies" xfId="815"/>
    <cellStyle name="_%(SignSpaceOnly)" xfId="816"/>
    <cellStyle name="_%(SignSpaceOnly) 2" xfId="817"/>
    <cellStyle name="_%(SignSpaceOnly) 3" xfId="818"/>
    <cellStyle name="_%(SignSpaceOnly) 4" xfId="819"/>
    <cellStyle name="_%(SignSpaceOnly) 5" xfId="820"/>
    <cellStyle name="_%(SignSpaceOnly) 5 2" xfId="821"/>
    <cellStyle name="_%(SignSpaceOnly) 6" xfId="822"/>
    <cellStyle name="_%(SignSpaceOnly) 6 2" xfId="823"/>
    <cellStyle name="_%(SignSpaceOnly) 7" xfId="824"/>
    <cellStyle name="_%(SignSpaceOnly)_01 model" xfId="825"/>
    <cellStyle name="_%(SignSpaceOnly)_02 Potential Partner Ability to Pay Analysis2" xfId="826"/>
    <cellStyle name="_%(SignSpaceOnly)_12 Merger Plans" xfId="827"/>
    <cellStyle name="_%(SignSpaceOnly)_AVP - prev. 06 financials" xfId="828"/>
    <cellStyle name="_%(SignSpaceOnly)_bank_csc_Q2_2001_c1" xfId="829"/>
    <cellStyle name="_%(SignSpaceOnly)_Columbia Entertainment Model FINAL" xfId="830"/>
    <cellStyle name="_%(SignSpaceOnly)_FigTech Merger Model_02" xfId="831"/>
    <cellStyle name="_%(SignSpaceOnly)_Football Field" xfId="832"/>
    <cellStyle name="_%(SignSpaceOnly)_Meadowsv3" xfId="833"/>
    <cellStyle name="_%(SignSpaceOnly)_PNC_merger_plan_divestitures_05" xfId="834"/>
    <cellStyle name="_%(SignSpaceOnly)_Summary Valuation Analysis" xfId="835"/>
    <cellStyle name="_%(SignSpaceOnly)_Synergies" xfId="836"/>
    <cellStyle name="_0.00[1space]" xfId="837"/>
    <cellStyle name="_0.00[2space]" xfId="838"/>
    <cellStyle name="_0.00[3space]" xfId="839"/>
    <cellStyle name="_0.00[4space]" xfId="840"/>
    <cellStyle name="_0.0[1space]" xfId="841"/>
    <cellStyle name="_0.0[2space]" xfId="842"/>
    <cellStyle name="_0.0[3space]" xfId="843"/>
    <cellStyle name="_0.0[4space]" xfId="844"/>
    <cellStyle name="_08 Altar Model" xfId="845"/>
    <cellStyle name="_0[1space]" xfId="846"/>
    <cellStyle name="_0[2space]" xfId="847"/>
    <cellStyle name="_0[3space]" xfId="848"/>
    <cellStyle name="_0[4space]" xfId="849"/>
    <cellStyle name="_2005" xfId="850"/>
    <cellStyle name="_2005_DBConfigColumn" xfId="851"/>
    <cellStyle name="_2005_DBConfigTape" xfId="852"/>
    <cellStyle name="_2005_DBConfigTape_1" xfId="853"/>
    <cellStyle name="_2005_MATRIX" xfId="854"/>
    <cellStyle name="_2005_QUERIES_2" xfId="855"/>
    <cellStyle name="_2005_QUERIES_3" xfId="856"/>
    <cellStyle name="_2005_Screens" xfId="857"/>
    <cellStyle name="_2005_Screens 2" xfId="858"/>
    <cellStyle name="_2005_Screens 3" xfId="859"/>
    <cellStyle name="_2005_Screens 4" xfId="860"/>
    <cellStyle name="_2005_Sheet1" xfId="861"/>
    <cellStyle name="_2005_TaxLotsCons" xfId="862"/>
    <cellStyle name="_2005_Users" xfId="863"/>
    <cellStyle name="_2005_Users 2" xfId="864"/>
    <cellStyle name="_2005_Users 3" xfId="865"/>
    <cellStyle name="_2005_Users 4" xfId="866"/>
    <cellStyle name="_2005_UserSchemas" xfId="867"/>
    <cellStyle name="_2005_UserSchemas 2" xfId="868"/>
    <cellStyle name="_2005_UserSchemas 3" xfId="869"/>
    <cellStyle name="_2005_UserSchemas 4" xfId="870"/>
    <cellStyle name="_2007" xfId="871"/>
    <cellStyle name="_2007_DBConfigColumn" xfId="872"/>
    <cellStyle name="_2007_DBConfigTape" xfId="873"/>
    <cellStyle name="_2007_DBConfigTape_1" xfId="874"/>
    <cellStyle name="_2007_MATRIX" xfId="875"/>
    <cellStyle name="_2007_QUERIES_2" xfId="876"/>
    <cellStyle name="_2007_QUERIES_3" xfId="877"/>
    <cellStyle name="_2007_Screens" xfId="878"/>
    <cellStyle name="_2007_Screens 2" xfId="879"/>
    <cellStyle name="_2007_Screens 3" xfId="880"/>
    <cellStyle name="_2007_Screens 4" xfId="881"/>
    <cellStyle name="_2007_Sheet1" xfId="882"/>
    <cellStyle name="_2007_TaxLotsCons" xfId="883"/>
    <cellStyle name="_2007_Users" xfId="884"/>
    <cellStyle name="_2007_Users 2" xfId="885"/>
    <cellStyle name="_2007_Users 3" xfId="886"/>
    <cellStyle name="_2007_Users 4" xfId="887"/>
    <cellStyle name="_2007_UserSchemas" xfId="888"/>
    <cellStyle name="_2007_UserSchemas 2" xfId="889"/>
    <cellStyle name="_2007_UserSchemas 3" xfId="890"/>
    <cellStyle name="_2007_UserSchemas 4" xfId="891"/>
    <cellStyle name="_6 Portfolios to Archeus (07-29-04)" xfId="892"/>
    <cellStyle name="_6 Portfolios to Archeus (07-29-04) 2" xfId="893"/>
    <cellStyle name="_6 Portfolios to Archeus (07-29-04) 3" xfId="894"/>
    <cellStyle name="_6 Portfolios to Archeus (07-29-04) 4" xfId="895"/>
    <cellStyle name="_6 Portfolios to Archeus (07-29-04) 5" xfId="896"/>
    <cellStyle name="_6 Portfolios to Archeus (07-29-04) 5 2" xfId="897"/>
    <cellStyle name="_6 Portfolios to Archeus (07-29-04) 6" xfId="898"/>
    <cellStyle name="_6 Portfolios to Archeus (07-29-04) 6 2" xfId="899"/>
    <cellStyle name="_6 Portfolios to Archeus (07-29-04) 7" xfId="900"/>
    <cellStyle name="_ACA" xfId="901"/>
    <cellStyle name="_ACA 2" xfId="902"/>
    <cellStyle name="_ACA 3" xfId="903"/>
    <cellStyle name="_ACA 4" xfId="904"/>
    <cellStyle name="_ACA 5" xfId="905"/>
    <cellStyle name="_ACA 5 2" xfId="906"/>
    <cellStyle name="_ACA 6" xfId="907"/>
    <cellStyle name="_ACA 6 2" xfId="908"/>
    <cellStyle name="_ACA 7" xfId="909"/>
    <cellStyle name="_ACA_ARM_BB+" xfId="910"/>
    <cellStyle name="_ACA_ARM_BB+ (Mod)" xfId="911"/>
    <cellStyle name="_ACA_ARM_BB+ (Mod) 2" xfId="912"/>
    <cellStyle name="_ACA_ARM_BB+ (Mod) 3" xfId="913"/>
    <cellStyle name="_ACA_ARM_BB+ (Mod) 4" xfId="914"/>
    <cellStyle name="_ACA_ARM_BB+ (Mod)_Screens" xfId="915"/>
    <cellStyle name="_ACA_ARM_BB+ (Mod)_Users" xfId="916"/>
    <cellStyle name="_ACA_ARM_BB+ (Mod)_UserSchemas" xfId="917"/>
    <cellStyle name="_ACA_ARM_BB+ 10" xfId="918"/>
    <cellStyle name="_ACA_ARM_BB+ 11" xfId="919"/>
    <cellStyle name="_ACA_ARM_BB+ 12" xfId="920"/>
    <cellStyle name="_ACA_ARM_BB+ 13" xfId="921"/>
    <cellStyle name="_ACA_ARM_BB+ 14" xfId="922"/>
    <cellStyle name="_ACA_ARM_BB+ 15" xfId="923"/>
    <cellStyle name="_ACA_ARM_BB+ 16" xfId="924"/>
    <cellStyle name="_ACA_ARM_BB+ 17" xfId="925"/>
    <cellStyle name="_ACA_ARM_BB+ 18" xfId="926"/>
    <cellStyle name="_ACA_ARM_BB+ 19" xfId="927"/>
    <cellStyle name="_ACA_ARM_BB+ 2" xfId="928"/>
    <cellStyle name="_ACA_ARM_BB+ 20" xfId="929"/>
    <cellStyle name="_ACA_ARM_BB+ 21" xfId="930"/>
    <cellStyle name="_ACA_ARM_BB+ 3" xfId="931"/>
    <cellStyle name="_ACA_ARM_BB+ 4" xfId="932"/>
    <cellStyle name="_ACA_ARM_BB+ 5" xfId="933"/>
    <cellStyle name="_ACA_ARM_BB+ 6" xfId="934"/>
    <cellStyle name="_ACA_ARM_BB+ 7" xfId="935"/>
    <cellStyle name="_ACA_ARM_BB+ 8" xfId="936"/>
    <cellStyle name="_ACA_ARM_BB+ 9" xfId="937"/>
    <cellStyle name="_ACA_ARM_BB+_Screens" xfId="938"/>
    <cellStyle name="_ACA_ARM_BB+_Users" xfId="939"/>
    <cellStyle name="_ACA_ARM_BB+_UserSchemas" xfId="940"/>
    <cellStyle name="_ACA_ARM_BBB-" xfId="941"/>
    <cellStyle name="_ACA_ARM_BBB- (2)" xfId="942"/>
    <cellStyle name="_ACA_ARM_BBB- (2) 2" xfId="943"/>
    <cellStyle name="_ACA_ARM_BBB- (2) 3" xfId="944"/>
    <cellStyle name="_ACA_ARM_BBB- (2) 4" xfId="945"/>
    <cellStyle name="_ACA_ARM_BBB- (2)_Screens" xfId="946"/>
    <cellStyle name="_ACA_ARM_BBB- (2)_Users" xfId="947"/>
    <cellStyle name="_ACA_ARM_BBB- (2)_UserSchemas" xfId="948"/>
    <cellStyle name="_ACA_ARM_BBB- (Mod)" xfId="949"/>
    <cellStyle name="_ACA_ARM_BBB- (Mod) 2" xfId="950"/>
    <cellStyle name="_ACA_ARM_BBB- (Mod) 3" xfId="951"/>
    <cellStyle name="_ACA_ARM_BBB- (Mod) 4" xfId="952"/>
    <cellStyle name="_ACA_ARM_BBB- (Mod)_Screens" xfId="953"/>
    <cellStyle name="_ACA_ARM_BBB- (Mod)_Users" xfId="954"/>
    <cellStyle name="_ACA_ARM_BBB- (Mod)_UserSchemas" xfId="955"/>
    <cellStyle name="_ACA_ARM_BBB- 10" xfId="956"/>
    <cellStyle name="_ACA_ARM_BBB- 11" xfId="957"/>
    <cellStyle name="_ACA_ARM_BBB- 12" xfId="958"/>
    <cellStyle name="_ACA_ARM_BBB- 13" xfId="959"/>
    <cellStyle name="_ACA_ARM_BBB- 14" xfId="960"/>
    <cellStyle name="_ACA_ARM_BBB- 15" xfId="961"/>
    <cellStyle name="_ACA_ARM_BBB- 16" xfId="962"/>
    <cellStyle name="_ACA_ARM_BBB- 17" xfId="963"/>
    <cellStyle name="_ACA_ARM_BBB- 18" xfId="964"/>
    <cellStyle name="_ACA_ARM_BBB- 19" xfId="965"/>
    <cellStyle name="_ACA_ARM_BBB- 2" xfId="966"/>
    <cellStyle name="_ACA_ARM_BBB- 20" xfId="967"/>
    <cellStyle name="_ACA_ARM_BBB- 3" xfId="968"/>
    <cellStyle name="_ACA_ARM_BBB- 4" xfId="969"/>
    <cellStyle name="_ACA_ARM_BBB- 5" xfId="970"/>
    <cellStyle name="_ACA_ARM_BBB- 6" xfId="971"/>
    <cellStyle name="_ACA_ARM_BBB- 7" xfId="972"/>
    <cellStyle name="_ACA_ARM_BBB- 8" xfId="973"/>
    <cellStyle name="_ACA_ARM_BBB- 9" xfId="974"/>
    <cellStyle name="_ACA_ARM_BBB-_Screens" xfId="975"/>
    <cellStyle name="_ACA_ARM_BBB-_Users" xfId="976"/>
    <cellStyle name="_ACA_ARM_BBB-_UserSchemas" xfId="977"/>
    <cellStyle name="_ACA_Sheet1" xfId="978"/>
    <cellStyle name="_ACA_Sheet1 2" xfId="979"/>
    <cellStyle name="_ACA_Sheet1 3" xfId="980"/>
    <cellStyle name="_ACA_Sheet1 4" xfId="981"/>
    <cellStyle name="_ACA_Sheet1_Screens" xfId="982"/>
    <cellStyle name="_ACA_Sheet1_Users" xfId="983"/>
    <cellStyle name="_ACA_Sheet1_UserSchemas" xfId="984"/>
    <cellStyle name="_ACA_Sheet2" xfId="985"/>
    <cellStyle name="_ACA_Sheet2 2" xfId="986"/>
    <cellStyle name="_ACA_Sheet2 3" xfId="987"/>
    <cellStyle name="_ACA_Sheet2 4" xfId="988"/>
    <cellStyle name="_ACA_Sheet2_Screens" xfId="989"/>
    <cellStyle name="_ACA_Sheet2_Users" xfId="990"/>
    <cellStyle name="_ACA_Sheet2_UserSchemas" xfId="991"/>
    <cellStyle name="_ACA_Sheet3" xfId="992"/>
    <cellStyle name="_ACA_Sheet3 2" xfId="993"/>
    <cellStyle name="_ACA_Sheet3 3" xfId="994"/>
    <cellStyle name="_ACA_Sheet3 4" xfId="995"/>
    <cellStyle name="_ACA_Sheet3_Screens" xfId="996"/>
    <cellStyle name="_ACA_Sheet3_Users" xfId="997"/>
    <cellStyle name="_ACA_Sheet3_UserSchemas" xfId="998"/>
    <cellStyle name="_ACA_Sizing" xfId="999"/>
    <cellStyle name="_ACA_Sizing 2" xfId="1000"/>
    <cellStyle name="_ACA_Sizing 3" xfId="1001"/>
    <cellStyle name="_ACA_Sizing 4" xfId="1002"/>
    <cellStyle name="_ACA_Sizing_Screens" xfId="1003"/>
    <cellStyle name="_ACA_Sizing_Users" xfId="1004"/>
    <cellStyle name="_ACA_Sizing_UserSchemas" xfId="1005"/>
    <cellStyle name="_accounting_monet_final_w_output" xfId="1006"/>
    <cellStyle name="_Agent Confirms MIS_2006" xfId="1007"/>
    <cellStyle name="_Agent Confirms MIS_2006 2" xfId="1008"/>
    <cellStyle name="_Agent Confirms MIS_2006 3" xfId="1009"/>
    <cellStyle name="_Agent Confirms MIS_2006 4" xfId="1010"/>
    <cellStyle name="_Agent Confirms MIS_2006 5" xfId="1011"/>
    <cellStyle name="_Agent Confirms MIS_2006 5 2" xfId="1012"/>
    <cellStyle name="_Agent Confirms MIS_2006 6" xfId="1013"/>
    <cellStyle name="_Agent Confirms MIS_2006 6 2" xfId="1014"/>
    <cellStyle name="_Agent Confirms MIS_2006 7" xfId="1015"/>
    <cellStyle name="_All Positions" xfId="1016"/>
    <cellStyle name="_All Positions_DBConfigColumn" xfId="1017"/>
    <cellStyle name="_All Positions_DBConfigTape" xfId="1018"/>
    <cellStyle name="_All Positions_DBConfigTape_1" xfId="1019"/>
    <cellStyle name="_All Positions_MATRIX" xfId="1020"/>
    <cellStyle name="_All Positions_QUERIES_2" xfId="1021"/>
    <cellStyle name="_All Positions_QUERIES_3" xfId="1022"/>
    <cellStyle name="_All Positions_Screens" xfId="1023"/>
    <cellStyle name="_All Positions_Screens 2" xfId="1024"/>
    <cellStyle name="_All Positions_Screens 3" xfId="1025"/>
    <cellStyle name="_All Positions_Screens 4" xfId="1026"/>
    <cellStyle name="_All Positions_Sheet1" xfId="1027"/>
    <cellStyle name="_All Positions_TaxLotsCons" xfId="1028"/>
    <cellStyle name="_All Positions_Users" xfId="1029"/>
    <cellStyle name="_All Positions_Users 2" xfId="1030"/>
    <cellStyle name="_All Positions_Users 3" xfId="1031"/>
    <cellStyle name="_All Positions_Users 4" xfId="1032"/>
    <cellStyle name="_All Positions_UserSchemas" xfId="1033"/>
    <cellStyle name="_All Positions_UserSchemas 2" xfId="1034"/>
    <cellStyle name="_All Positions_UserSchemas 3" xfId="1035"/>
    <cellStyle name="_All Positions_UserSchemas 4" xfId="1036"/>
    <cellStyle name="_AMC" xfId="1037"/>
    <cellStyle name="_AMC_DBConfigColumn" xfId="1038"/>
    <cellStyle name="_AMC_DBConfigTape" xfId="1039"/>
    <cellStyle name="_AMC_DBConfigTape_1" xfId="1040"/>
    <cellStyle name="_AMC_MATRIX" xfId="1041"/>
    <cellStyle name="_AMC_QUERIES_2" xfId="1042"/>
    <cellStyle name="_AMC_QUERIES_3" xfId="1043"/>
    <cellStyle name="_AMC_Sheet1" xfId="1044"/>
    <cellStyle name="_AMC_TaxLotsCons" xfId="1045"/>
    <cellStyle name="_ARM_BB+" xfId="1046"/>
    <cellStyle name="_ARM_BB+ (Mod)" xfId="1047"/>
    <cellStyle name="_ARM_BBB-" xfId="1048"/>
    <cellStyle name="_ARM_BBB- (2)" xfId="1049"/>
    <cellStyle name="_ARM_BBB- (Mod)" xfId="1050"/>
    <cellStyle name="_Assets" xfId="1051"/>
    <cellStyle name="_Assets 2" xfId="1052"/>
    <cellStyle name="_Assets 3" xfId="1053"/>
    <cellStyle name="_Assets 4" xfId="1054"/>
    <cellStyle name="_Assets 5" xfId="1055"/>
    <cellStyle name="_Assets 5 2" xfId="1056"/>
    <cellStyle name="_Assets 6" xfId="1057"/>
    <cellStyle name="_Assets 6 2" xfId="1058"/>
    <cellStyle name="_Assets 7" xfId="1059"/>
    <cellStyle name="_Baa2BBB" xfId="1060"/>
    <cellStyle name="_Baa2BBB 2" xfId="1061"/>
    <cellStyle name="_Baa2BBB 3" xfId="1062"/>
    <cellStyle name="_Baa2BBB 4" xfId="1063"/>
    <cellStyle name="_Baa2BBB 5" xfId="1064"/>
    <cellStyle name="_Baa2BBB 5 2" xfId="1065"/>
    <cellStyle name="_Baa2BBB 6" xfId="1066"/>
    <cellStyle name="_Baa2BBB 6 2" xfId="1067"/>
    <cellStyle name="_Baa2BBB 7" xfId="1068"/>
    <cellStyle name="_BasketPricerAddin" xfId="1069"/>
    <cellStyle name="_BasketPricerAddin 2" xfId="1070"/>
    <cellStyle name="_BasketPricerAddin 3" xfId="1071"/>
    <cellStyle name="_BasketPricerAddin 4" xfId="1072"/>
    <cellStyle name="_BasketPricerAddin 5" xfId="1073"/>
    <cellStyle name="_BasketPricerAddin 5 2" xfId="1074"/>
    <cellStyle name="_BasketPricerAddin 6" xfId="1075"/>
    <cellStyle name="_BasketPricerAddin 6 2" xfId="1076"/>
    <cellStyle name="_BasketPricerAddin 7" xfId="1077"/>
    <cellStyle name="_BBGFormat" xfId="1078"/>
    <cellStyle name="_BBGFormat 2" xfId="1079"/>
    <cellStyle name="_BBGFormat 3" xfId="1080"/>
    <cellStyle name="_BBGFormat 4" xfId="1081"/>
    <cellStyle name="_BBGFormat 5" xfId="1082"/>
    <cellStyle name="_BBGFormat 5 2" xfId="1083"/>
    <cellStyle name="_BBGFormat 6" xfId="1084"/>
    <cellStyle name="_BBGFormat 6 2" xfId="1085"/>
    <cellStyle name="_BBGFormat 7" xfId="1086"/>
    <cellStyle name="_BE Calculation" xfId="1087"/>
    <cellStyle name="_BE Calculation 2" xfId="1088"/>
    <cellStyle name="_BE Calculation 3" xfId="1089"/>
    <cellStyle name="_BE Calculation 4" xfId="1090"/>
    <cellStyle name="_BE Calculation 5" xfId="1091"/>
    <cellStyle name="_BE Calculation 5 2" xfId="1092"/>
    <cellStyle name="_BE Calculation 6" xfId="1093"/>
    <cellStyle name="_BE Calculation 6 2" xfId="1094"/>
    <cellStyle name="_BE Calculation 7" xfId="1095"/>
    <cellStyle name="_Bids" xfId="1096"/>
    <cellStyle name="_Bids 2" xfId="1097"/>
    <cellStyle name="_Bids 3" xfId="1098"/>
    <cellStyle name="_Bids 4" xfId="1099"/>
    <cellStyle name="_Bids 5" xfId="1100"/>
    <cellStyle name="_Bids 5 2" xfId="1101"/>
    <cellStyle name="_Bids 6" xfId="1102"/>
    <cellStyle name="_Bids 6 2" xfId="1103"/>
    <cellStyle name="_Bids 7" xfId="1104"/>
    <cellStyle name="_BM#1" xfId="1105"/>
    <cellStyle name="_BM#2" xfId="1106"/>
    <cellStyle name="_BM#2 2" xfId="1107"/>
    <cellStyle name="_BM#2 3" xfId="1108"/>
    <cellStyle name="_BM#2 4" xfId="1109"/>
    <cellStyle name="_BM#2 5" xfId="1110"/>
    <cellStyle name="_BM#2 5 2" xfId="1111"/>
    <cellStyle name="_BM#2 6" xfId="1112"/>
    <cellStyle name="_BM#2 6 2" xfId="1113"/>
    <cellStyle name="_BM#2 7" xfId="1114"/>
    <cellStyle name="_BM#2_BasketPricer" xfId="1115"/>
    <cellStyle name="_BM#2_BasketPricer 2" xfId="1116"/>
    <cellStyle name="_BM#2_BasketPricer 3" xfId="1117"/>
    <cellStyle name="_BM#2_BasketPricer 4" xfId="1118"/>
    <cellStyle name="_BM#2_BasketPricer 5" xfId="1119"/>
    <cellStyle name="_BM#2_BasketPricer 5 2" xfId="1120"/>
    <cellStyle name="_BM#2_BasketPricer 6" xfId="1121"/>
    <cellStyle name="_BM#2_BasketPricer 6 2" xfId="1122"/>
    <cellStyle name="_BM#2_BasketPricer 7" xfId="1123"/>
    <cellStyle name="_BM#2_BasketPricer0627" xfId="1124"/>
    <cellStyle name="_BM#2_BasketPricer0627 2" xfId="1125"/>
    <cellStyle name="_BM#2_BasketPricer0627 3" xfId="1126"/>
    <cellStyle name="_BM#2_BasketPricer0627 4" xfId="1127"/>
    <cellStyle name="_BM#2_BasketPricer0627 5" xfId="1128"/>
    <cellStyle name="_BM#2_BasketPricer0627 5 2" xfId="1129"/>
    <cellStyle name="_BM#2_BasketPricer0627 6" xfId="1130"/>
    <cellStyle name="_BM#2_BasketPricer0627 6 2" xfId="1131"/>
    <cellStyle name="_BM#2_BasketPricer0627 7" xfId="1132"/>
    <cellStyle name="_BM#2_BasketPricerAddin" xfId="1133"/>
    <cellStyle name="_BM#2_BasketPricerTemplate_CDO" xfId="1134"/>
    <cellStyle name="_BM#2_BasketPricerTemplate_CDO_blank" xfId="1135"/>
    <cellStyle name="_BM#2_BasketPricerTemplate_CDS" xfId="1136"/>
    <cellStyle name="_BM#2_BasketPricerTemplate_DefaultPV" xfId="1137"/>
    <cellStyle name="_BM#2_Copy of BasketPricerAddin" xfId="1138"/>
    <cellStyle name="_BM#2_Copy of BasketPricerAddin_13_07_05" xfId="1139"/>
    <cellStyle name="_BM#2_Correlation" xfId="1140"/>
    <cellStyle name="_BM#2_Correlation 2" xfId="1141"/>
    <cellStyle name="_BM#2_Correlation 3" xfId="1142"/>
    <cellStyle name="_BM#2_Correlation 4" xfId="1143"/>
    <cellStyle name="_BM#2_Correlation 5" xfId="1144"/>
    <cellStyle name="_BM#2_Correlation 5 2" xfId="1145"/>
    <cellStyle name="_BM#2_Correlation 6" xfId="1146"/>
    <cellStyle name="_BM#2_Correlation 6 2" xfId="1147"/>
    <cellStyle name="_BM#2_Correlation 7" xfId="1148"/>
    <cellStyle name="_BM#2_New BasketPricerAddin" xfId="1149"/>
    <cellStyle name="_BM#2_ReadOnly-0-Rev-26-BasketPricer" xfId="1150"/>
    <cellStyle name="_BM#2_ReadOnly-0-Rev-26-BasketPricer 2" xfId="1151"/>
    <cellStyle name="_BM#2_ReadOnly-0-Rev-26-BasketPricer 3" xfId="1152"/>
    <cellStyle name="_BM#2_ReadOnly-0-Rev-26-BasketPricer 4" xfId="1153"/>
    <cellStyle name="_BM#2_ReadOnly-0-Rev-26-BasketPricer 5" xfId="1154"/>
    <cellStyle name="_BM#2_ReadOnly-0-Rev-26-BasketPricer 5 2" xfId="1155"/>
    <cellStyle name="_BM#2_ReadOnly-0-Rev-26-BasketPricer 6" xfId="1156"/>
    <cellStyle name="_BM#2_ReadOnly-0-Rev-26-BasketPricer 6 2" xfId="1157"/>
    <cellStyle name="_BM#2_ReadOnly-0-Rev-26-BasketPricer 7" xfId="1158"/>
    <cellStyle name="_BondSizer" xfId="1159"/>
    <cellStyle name="_Book2" xfId="1160"/>
    <cellStyle name="_Book2_Carlton House Retail Projections" xfId="1161"/>
    <cellStyle name="_Book2_Carlton House Scenario 1 Condo Conversion 10 February 2010 v1" xfId="1162"/>
    <cellStyle name="_Breaks" xfId="1163"/>
    <cellStyle name="_Breaks 2" xfId="1164"/>
    <cellStyle name="_Breaks 3" xfId="1165"/>
    <cellStyle name="_Breaks 4" xfId="1166"/>
    <cellStyle name="_Breaks 5" xfId="1167"/>
    <cellStyle name="_Breaks 5 2" xfId="1168"/>
    <cellStyle name="_Breaks 6" xfId="1169"/>
    <cellStyle name="_Breaks 6 2" xfId="1170"/>
    <cellStyle name="_Breaks 7" xfId="1171"/>
    <cellStyle name="_Capital Partners" xfId="1172"/>
    <cellStyle name="_Capital Partners 2" xfId="1173"/>
    <cellStyle name="_Capital Partners 3" xfId="1174"/>
    <cellStyle name="_Capital Partners 4" xfId="1175"/>
    <cellStyle name="_Capital Partners 5" xfId="1176"/>
    <cellStyle name="_Capital Partners 6" xfId="1177"/>
    <cellStyle name="_Capital Partners 7" xfId="1178"/>
    <cellStyle name="_Capital Partners 7 2" xfId="1179"/>
    <cellStyle name="_Capital Partners 8" xfId="1180"/>
    <cellStyle name="_Capital Partners 8 2" xfId="1181"/>
    <cellStyle name="_Capital Partners 9" xfId="1182"/>
    <cellStyle name="_Capital Partners_DBConfigTape" xfId="1183"/>
    <cellStyle name="_Cashflow Projection for Ares ELIS_Request to JPMorgan Chase 2004-0802" xfId="1184"/>
    <cellStyle name="_cdo2oneplus" xfId="1185"/>
    <cellStyle name="_CDS1" xfId="1186"/>
    <cellStyle name="_CDS1_1" xfId="1187"/>
    <cellStyle name="_CDS1_1 2" xfId="1188"/>
    <cellStyle name="_CDS1_1 3" xfId="1189"/>
    <cellStyle name="_CDS1_1 4" xfId="1190"/>
    <cellStyle name="_CDS1_1 5" xfId="1191"/>
    <cellStyle name="_CDS1_1 5 2" xfId="1192"/>
    <cellStyle name="_CDS1_1 6" xfId="1193"/>
    <cellStyle name="_CDS1_1 6 2" xfId="1194"/>
    <cellStyle name="_CDS1_1 7" xfId="1195"/>
    <cellStyle name="_CDS1_1_DBConfigColumn" xfId="1196"/>
    <cellStyle name="_CDS1_1_DBConfigColumn 2" xfId="1197"/>
    <cellStyle name="_CDS1_1_DBConfigColumn 3" xfId="1198"/>
    <cellStyle name="_CDS1_1_DBConfigColumn 4" xfId="1199"/>
    <cellStyle name="_CDS1_1_DBConfigColumn 5" xfId="1200"/>
    <cellStyle name="_CDS1_1_DBConfigColumn 5 2" xfId="1201"/>
    <cellStyle name="_CDS1_1_DBConfigColumn 6" xfId="1202"/>
    <cellStyle name="_CDS1_1_DBConfigColumn 6 2" xfId="1203"/>
    <cellStyle name="_CDS1_1_DBConfigColumn 7" xfId="1204"/>
    <cellStyle name="_CDS1_1_DBConfigTape" xfId="1205"/>
    <cellStyle name="_CDS1_1_DBConfigTape 2" xfId="1206"/>
    <cellStyle name="_CDS1_1_DBConfigTape 3" xfId="1207"/>
    <cellStyle name="_CDS1_1_DBConfigTape 4" xfId="1208"/>
    <cellStyle name="_CDS1_1_DBConfigTape 5" xfId="1209"/>
    <cellStyle name="_CDS1_1_DBConfigTape 5 2" xfId="1210"/>
    <cellStyle name="_CDS1_1_DBConfigTape 6" xfId="1211"/>
    <cellStyle name="_CDS1_1_DBConfigTape 6 2" xfId="1212"/>
    <cellStyle name="_CDS1_1_DBConfigTape 7" xfId="1213"/>
    <cellStyle name="_CDS1_1_DBConfigTape_1" xfId="1214"/>
    <cellStyle name="_CDS1_1_DBConfigTape_1 2" xfId="1215"/>
    <cellStyle name="_CDS1_1_DBConfigTape_1 3" xfId="1216"/>
    <cellStyle name="_CDS1_1_DBConfigTape_1 4" xfId="1217"/>
    <cellStyle name="_CDS1_1_DBConfigTape_1 5" xfId="1218"/>
    <cellStyle name="_CDS1_1_DBConfigTape_1 5 2" xfId="1219"/>
    <cellStyle name="_CDS1_1_DBConfigTape_1 6" xfId="1220"/>
    <cellStyle name="_CDS1_1_DBConfigTape_1 6 2" xfId="1221"/>
    <cellStyle name="_CDS1_1_DBConfigTape_1 7" xfId="1222"/>
    <cellStyle name="_CDS1_1_MATRIX" xfId="1223"/>
    <cellStyle name="_CDS1_1_MATRIX 2" xfId="1224"/>
    <cellStyle name="_CDS1_1_MATRIX 3" xfId="1225"/>
    <cellStyle name="_CDS1_1_MATRIX 4" xfId="1226"/>
    <cellStyle name="_CDS1_1_MATRIX 5" xfId="1227"/>
    <cellStyle name="_CDS1_1_MATRIX 5 2" xfId="1228"/>
    <cellStyle name="_CDS1_1_MATRIX 6" xfId="1229"/>
    <cellStyle name="_CDS1_1_MATRIX 6 2" xfId="1230"/>
    <cellStyle name="_CDS1_1_MATRIX 7" xfId="1231"/>
    <cellStyle name="_CDS1_1_QUERIES_2" xfId="1232"/>
    <cellStyle name="_CDS1_1_QUERIES_2 2" xfId="1233"/>
    <cellStyle name="_CDS1_1_QUERIES_2 3" xfId="1234"/>
    <cellStyle name="_CDS1_1_QUERIES_2 4" xfId="1235"/>
    <cellStyle name="_CDS1_1_QUERIES_2 5" xfId="1236"/>
    <cellStyle name="_CDS1_1_QUERIES_2 5 2" xfId="1237"/>
    <cellStyle name="_CDS1_1_QUERIES_2 6" xfId="1238"/>
    <cellStyle name="_CDS1_1_QUERIES_2 6 2" xfId="1239"/>
    <cellStyle name="_CDS1_1_QUERIES_2 7" xfId="1240"/>
    <cellStyle name="_CDS1_1_QUERIES_3" xfId="1241"/>
    <cellStyle name="_CDS1_1_QUERIES_3 2" xfId="1242"/>
    <cellStyle name="_CDS1_1_QUERIES_3 3" xfId="1243"/>
    <cellStyle name="_CDS1_1_QUERIES_3 4" xfId="1244"/>
    <cellStyle name="_CDS1_1_QUERIES_3 5" xfId="1245"/>
    <cellStyle name="_CDS1_1_QUERIES_3 5 2" xfId="1246"/>
    <cellStyle name="_CDS1_1_QUERIES_3 6" xfId="1247"/>
    <cellStyle name="_CDS1_1_QUERIES_3 6 2" xfId="1248"/>
    <cellStyle name="_CDS1_1_QUERIES_3 7" xfId="1249"/>
    <cellStyle name="_CDS1_1_Screens" xfId="1250"/>
    <cellStyle name="_CDS1_1_Screens 2" xfId="1251"/>
    <cellStyle name="_CDS1_1_Screens 3" xfId="1252"/>
    <cellStyle name="_CDS1_1_Screens 4" xfId="1253"/>
    <cellStyle name="_CDS1_1_Screens 5" xfId="1254"/>
    <cellStyle name="_CDS1_1_Screens 5 2" xfId="1255"/>
    <cellStyle name="_CDS1_1_Screens 6" xfId="1256"/>
    <cellStyle name="_CDS1_1_Screens 6 2" xfId="1257"/>
    <cellStyle name="_CDS1_1_Screens 7" xfId="1258"/>
    <cellStyle name="_CDS1_1_Sheet1" xfId="1259"/>
    <cellStyle name="_CDS1_1_Sheet1 2" xfId="1260"/>
    <cellStyle name="_CDS1_1_Sheet1 3" xfId="1261"/>
    <cellStyle name="_CDS1_1_Sheet1 4" xfId="1262"/>
    <cellStyle name="_CDS1_1_Sheet1 5" xfId="1263"/>
    <cellStyle name="_CDS1_1_Sheet1 5 2" xfId="1264"/>
    <cellStyle name="_CDS1_1_Sheet1 6" xfId="1265"/>
    <cellStyle name="_CDS1_1_Sheet1 6 2" xfId="1266"/>
    <cellStyle name="_CDS1_1_Sheet1 7" xfId="1267"/>
    <cellStyle name="_CDS1_1_TaxLotsCons" xfId="1268"/>
    <cellStyle name="_CDS1_1_TaxLotsCons 2" xfId="1269"/>
    <cellStyle name="_CDS1_1_TaxLotsCons 3" xfId="1270"/>
    <cellStyle name="_CDS1_1_TaxLotsCons 4" xfId="1271"/>
    <cellStyle name="_CDS1_1_TaxLotsCons 5" xfId="1272"/>
    <cellStyle name="_CDS1_1_TaxLotsCons 5 2" xfId="1273"/>
    <cellStyle name="_CDS1_1_TaxLotsCons 6" xfId="1274"/>
    <cellStyle name="_CDS1_1_TaxLotsCons 6 2" xfId="1275"/>
    <cellStyle name="_CDS1_1_TaxLotsCons 7" xfId="1276"/>
    <cellStyle name="_CDS1_1_Users" xfId="1277"/>
    <cellStyle name="_CDS1_1_Users 2" xfId="1278"/>
    <cellStyle name="_CDS1_1_Users 3" xfId="1279"/>
    <cellStyle name="_CDS1_1_Users 4" xfId="1280"/>
    <cellStyle name="_CDS1_1_Users 5" xfId="1281"/>
    <cellStyle name="_CDS1_1_Users 5 2" xfId="1282"/>
    <cellStyle name="_CDS1_1_Users 6" xfId="1283"/>
    <cellStyle name="_CDS1_1_Users 6 2" xfId="1284"/>
    <cellStyle name="_CDS1_1_Users 7" xfId="1285"/>
    <cellStyle name="_CDS1_1_UserSchemas" xfId="1286"/>
    <cellStyle name="_CDS1_1_UserSchemas 2" xfId="1287"/>
    <cellStyle name="_CDS1_1_UserSchemas 3" xfId="1288"/>
    <cellStyle name="_CDS1_1_UserSchemas 4" xfId="1289"/>
    <cellStyle name="_CDS1_1_UserSchemas 5" xfId="1290"/>
    <cellStyle name="_CDS1_1_UserSchemas 5 2" xfId="1291"/>
    <cellStyle name="_CDS1_1_UserSchemas 6" xfId="1292"/>
    <cellStyle name="_CDS1_1_UserSchemas 6 2" xfId="1293"/>
    <cellStyle name="_CDS1_1_UserSchemas 7" xfId="1294"/>
    <cellStyle name="_CDX" xfId="1295"/>
    <cellStyle name="_CDXH" xfId="1296"/>
    <cellStyle name="_CDXL" xfId="1297"/>
    <cellStyle name="_CMBS - Price Update File 9.30.07 (JV COPY)" xfId="1298"/>
    <cellStyle name="_CMBS - Price Update File 9.30.07 (JV COPY) 2" xfId="1299"/>
    <cellStyle name="_CMBS - Price Update File 9.30.07 (JV COPY) 3" xfId="1300"/>
    <cellStyle name="_CMBS - Price Update File 9.30.07 (JV COPY) 4" xfId="1301"/>
    <cellStyle name="_CMBS - Price Update File 9.30.07 (JV COPY) 5" xfId="1302"/>
    <cellStyle name="_CMBS - Price Update File 9.30.07 (JV COPY) 5 2" xfId="1303"/>
    <cellStyle name="_CMBS - Price Update File 9.30.07 (JV COPY) 6" xfId="1304"/>
    <cellStyle name="_CMBS - Price Update File 9.30.07 (JV COPY) 6 2" xfId="1305"/>
    <cellStyle name="_CMBS - Price Update File 9.30.07 (JV COPY) 7" xfId="1306"/>
    <cellStyle name="_CMBS - Price Update File 9.30.07 (JV COPY)_12.31.09 tax lots, lev analysis, SOI_V" xfId="1307"/>
    <cellStyle name="_CMBS_Monthly_Marks" xfId="1308"/>
    <cellStyle name="_CMBS_Monthly_Marks 2" xfId="1309"/>
    <cellStyle name="_CMBS_Monthly_Marks 3" xfId="1310"/>
    <cellStyle name="_CMBS_Monthly_Marks 4" xfId="1311"/>
    <cellStyle name="_CMBS_Monthly_Marks 5" xfId="1312"/>
    <cellStyle name="_CMBS_Monthly_Marks 5 2" xfId="1313"/>
    <cellStyle name="_CMBS_Monthly_Marks 6" xfId="1314"/>
    <cellStyle name="_CMBS_Monthly_Marks 6 2" xfId="1315"/>
    <cellStyle name="_CMBS_Monthly_Marks 7" xfId="1316"/>
    <cellStyle name="_CMBS_Monthly_Marks_12.31.09 tax lots, lev analysis, SOI_V" xfId="1317"/>
    <cellStyle name="_CMBS_Monthly_Marks_Dec_2007_F (2)" xfId="1318"/>
    <cellStyle name="_CMBS_Monthly_Marks_Dec_2007_F (2) 2" xfId="1319"/>
    <cellStyle name="_CMBS_Monthly_Marks_Dec_2007_F (2) 3" xfId="1320"/>
    <cellStyle name="_CMBS_Monthly_Marks_Dec_2007_F (2) 4" xfId="1321"/>
    <cellStyle name="_CMBS_Monthly_Marks_Dec_2007_F (2) 5" xfId="1322"/>
    <cellStyle name="_CMBS_Monthly_Marks_Dec_2007_F (2) 5 2" xfId="1323"/>
    <cellStyle name="_CMBS_Monthly_Marks_Dec_2007_F (2) 6" xfId="1324"/>
    <cellStyle name="_CMBS_Monthly_Marks_Dec_2007_F (2) 6 2" xfId="1325"/>
    <cellStyle name="_CMBS_Monthly_Marks_Dec_2007_F (2) 7" xfId="1326"/>
    <cellStyle name="_CMBS_Monthly_Marks_Dec_2007_F (2)_12.31.09 tax lots, lev analysis, SOI_V" xfId="1327"/>
    <cellStyle name="_Collateral" xfId="1328"/>
    <cellStyle name="_Collateral 2" xfId="1329"/>
    <cellStyle name="_Collateral 3" xfId="1330"/>
    <cellStyle name="_Collateral 4" xfId="1331"/>
    <cellStyle name="_Collateral 5" xfId="1332"/>
    <cellStyle name="_Collateral 5 2" xfId="1333"/>
    <cellStyle name="_Collateral 6" xfId="1334"/>
    <cellStyle name="_Collateral 6 2" xfId="1335"/>
    <cellStyle name="_Collateral 7" xfId="1336"/>
    <cellStyle name="_Collateral_DBConfigColumn" xfId="1337"/>
    <cellStyle name="_Collateral_DBConfigColumn 2" xfId="1338"/>
    <cellStyle name="_Collateral_DBConfigColumn 3" xfId="1339"/>
    <cellStyle name="_Collateral_DBConfigColumn 4" xfId="1340"/>
    <cellStyle name="_Collateral_DBConfigColumn 5" xfId="1341"/>
    <cellStyle name="_Collateral_DBConfigColumn 5 2" xfId="1342"/>
    <cellStyle name="_Collateral_DBConfigColumn 6" xfId="1343"/>
    <cellStyle name="_Collateral_DBConfigColumn 6 2" xfId="1344"/>
    <cellStyle name="_Collateral_DBConfigColumn 7" xfId="1345"/>
    <cellStyle name="_Collateral_DBConfigTape" xfId="1346"/>
    <cellStyle name="_Collateral_DBConfigTape 2" xfId="1347"/>
    <cellStyle name="_Collateral_DBConfigTape 3" xfId="1348"/>
    <cellStyle name="_Collateral_DBConfigTape 4" xfId="1349"/>
    <cellStyle name="_Collateral_DBConfigTape 5" xfId="1350"/>
    <cellStyle name="_Collateral_DBConfigTape 5 2" xfId="1351"/>
    <cellStyle name="_Collateral_DBConfigTape 6" xfId="1352"/>
    <cellStyle name="_Collateral_DBConfigTape 6 2" xfId="1353"/>
    <cellStyle name="_Collateral_DBConfigTape 7" xfId="1354"/>
    <cellStyle name="_Collateral_DBConfigTape_1" xfId="1355"/>
    <cellStyle name="_Collateral_DBConfigTape_1 2" xfId="1356"/>
    <cellStyle name="_Collateral_DBConfigTape_1 3" xfId="1357"/>
    <cellStyle name="_Collateral_DBConfigTape_1 4" xfId="1358"/>
    <cellStyle name="_Collateral_DBConfigTape_1 5" xfId="1359"/>
    <cellStyle name="_Collateral_DBConfigTape_1 5 2" xfId="1360"/>
    <cellStyle name="_Collateral_DBConfigTape_1 6" xfId="1361"/>
    <cellStyle name="_Collateral_DBConfigTape_1 6 2" xfId="1362"/>
    <cellStyle name="_Collateral_DBConfigTape_1 7" xfId="1363"/>
    <cellStyle name="_Collateral_MATRIX" xfId="1364"/>
    <cellStyle name="_Collateral_MATRIX 2" xfId="1365"/>
    <cellStyle name="_Collateral_MATRIX 3" xfId="1366"/>
    <cellStyle name="_Collateral_MATRIX 4" xfId="1367"/>
    <cellStyle name="_Collateral_MATRIX 5" xfId="1368"/>
    <cellStyle name="_Collateral_MATRIX 5 2" xfId="1369"/>
    <cellStyle name="_Collateral_MATRIX 6" xfId="1370"/>
    <cellStyle name="_Collateral_MATRIX 6 2" xfId="1371"/>
    <cellStyle name="_Collateral_MATRIX 7" xfId="1372"/>
    <cellStyle name="_Collateral_QUERIES_2" xfId="1373"/>
    <cellStyle name="_Collateral_QUERIES_2 2" xfId="1374"/>
    <cellStyle name="_Collateral_QUERIES_2 3" xfId="1375"/>
    <cellStyle name="_Collateral_QUERIES_2 4" xfId="1376"/>
    <cellStyle name="_Collateral_QUERIES_2 5" xfId="1377"/>
    <cellStyle name="_Collateral_QUERIES_2 5 2" xfId="1378"/>
    <cellStyle name="_Collateral_QUERIES_2 6" xfId="1379"/>
    <cellStyle name="_Collateral_QUERIES_2 6 2" xfId="1380"/>
    <cellStyle name="_Collateral_QUERIES_2 7" xfId="1381"/>
    <cellStyle name="_Collateral_QUERIES_3" xfId="1382"/>
    <cellStyle name="_Collateral_QUERIES_3 2" xfId="1383"/>
    <cellStyle name="_Collateral_QUERIES_3 3" xfId="1384"/>
    <cellStyle name="_Collateral_QUERIES_3 4" xfId="1385"/>
    <cellStyle name="_Collateral_QUERIES_3 5" xfId="1386"/>
    <cellStyle name="_Collateral_QUERIES_3 5 2" xfId="1387"/>
    <cellStyle name="_Collateral_QUERIES_3 6" xfId="1388"/>
    <cellStyle name="_Collateral_QUERIES_3 6 2" xfId="1389"/>
    <cellStyle name="_Collateral_QUERIES_3 7" xfId="1390"/>
    <cellStyle name="_Collateral_Screens" xfId="1391"/>
    <cellStyle name="_Collateral_Screens 2" xfId="1392"/>
    <cellStyle name="_Collateral_Screens 3" xfId="1393"/>
    <cellStyle name="_Collateral_Screens 4" xfId="1394"/>
    <cellStyle name="_Collateral_Screens 5" xfId="1395"/>
    <cellStyle name="_Collateral_Screens 5 2" xfId="1396"/>
    <cellStyle name="_Collateral_Screens 6" xfId="1397"/>
    <cellStyle name="_Collateral_Screens 6 2" xfId="1398"/>
    <cellStyle name="_Collateral_Screens 7" xfId="1399"/>
    <cellStyle name="_Collateral_Sheet1" xfId="1400"/>
    <cellStyle name="_Collateral_Sheet1 2" xfId="1401"/>
    <cellStyle name="_Collateral_Sheet1 3" xfId="1402"/>
    <cellStyle name="_Collateral_Sheet1 4" xfId="1403"/>
    <cellStyle name="_Collateral_Sheet1 5" xfId="1404"/>
    <cellStyle name="_Collateral_Sheet1 5 2" xfId="1405"/>
    <cellStyle name="_Collateral_Sheet1 6" xfId="1406"/>
    <cellStyle name="_Collateral_Sheet1 6 2" xfId="1407"/>
    <cellStyle name="_Collateral_Sheet1 7" xfId="1408"/>
    <cellStyle name="_Collateral_TaxLotsCons" xfId="1409"/>
    <cellStyle name="_Collateral_TaxLotsCons 2" xfId="1410"/>
    <cellStyle name="_Collateral_TaxLotsCons 3" xfId="1411"/>
    <cellStyle name="_Collateral_TaxLotsCons 4" xfId="1412"/>
    <cellStyle name="_Collateral_TaxLotsCons 5" xfId="1413"/>
    <cellStyle name="_Collateral_TaxLotsCons 5 2" xfId="1414"/>
    <cellStyle name="_Collateral_TaxLotsCons 6" xfId="1415"/>
    <cellStyle name="_Collateral_TaxLotsCons 6 2" xfId="1416"/>
    <cellStyle name="_Collateral_TaxLotsCons 7" xfId="1417"/>
    <cellStyle name="_Collateral_Users" xfId="1418"/>
    <cellStyle name="_Collateral_Users 2" xfId="1419"/>
    <cellStyle name="_Collateral_Users 3" xfId="1420"/>
    <cellStyle name="_Collateral_Users 4" xfId="1421"/>
    <cellStyle name="_Collateral_Users 5" xfId="1422"/>
    <cellStyle name="_Collateral_Users 5 2" xfId="1423"/>
    <cellStyle name="_Collateral_Users 6" xfId="1424"/>
    <cellStyle name="_Collateral_Users 6 2" xfId="1425"/>
    <cellStyle name="_Collateral_Users 7" xfId="1426"/>
    <cellStyle name="_Collateral_UserSchemas" xfId="1427"/>
    <cellStyle name="_Collateral_UserSchemas 2" xfId="1428"/>
    <cellStyle name="_Collateral_UserSchemas 3" xfId="1429"/>
    <cellStyle name="_Collateral_UserSchemas 4" xfId="1430"/>
    <cellStyle name="_Collateral_UserSchemas 5" xfId="1431"/>
    <cellStyle name="_Collateral_UserSchemas 5 2" xfId="1432"/>
    <cellStyle name="_Collateral_UserSchemas 6" xfId="1433"/>
    <cellStyle name="_Collateral_UserSchemas 6 2" xfId="1434"/>
    <cellStyle name="_Collateral_UserSchemas 7" xfId="1435"/>
    <cellStyle name="_Comma" xfId="1436"/>
    <cellStyle name="_Comma 2" xfId="1437"/>
    <cellStyle name="_Comma 3" xfId="1438"/>
    <cellStyle name="_Comma 4" xfId="1439"/>
    <cellStyle name="_Comma 5" xfId="1440"/>
    <cellStyle name="_Comma 5 2" xfId="1441"/>
    <cellStyle name="_Comma 6" xfId="1442"/>
    <cellStyle name="_Comma 6 2" xfId="1443"/>
    <cellStyle name="_Comma 7" xfId="1444"/>
    <cellStyle name="_Comma[0]" xfId="1445"/>
    <cellStyle name="_Comma_01 Detailed Financial Model" xfId="1446"/>
    <cellStyle name="_Comma_01 Fig Tech CSC 1Q03" xfId="1447"/>
    <cellStyle name="_Comma_02 Potential Partner Ability to Pay Analysis2" xfId="1448"/>
    <cellStyle name="_Comma_04 CPJ Merger Model" xfId="1449"/>
    <cellStyle name="_Comma_04 Subsidiary Overview" xfId="1450"/>
    <cellStyle name="_Comma_08 Altar Model" xfId="1451"/>
    <cellStyle name="_Comma_12 Merger Plans" xfId="1452"/>
    <cellStyle name="_Comma_15 CPW Model v42" xfId="1453"/>
    <cellStyle name="_Comma_15 CPW Model v45" xfId="1454"/>
    <cellStyle name="_Comma_2004 Depreciation Expense" xfId="1455"/>
    <cellStyle name="_Comma_250 Montgomery v31 - LC" xfId="1456"/>
    <cellStyle name="_Comma_704b" xfId="1457"/>
    <cellStyle name="_Comma__ListMappings_" xfId="1458"/>
    <cellStyle name="_Comma__SchemaMappings_" xfId="1459"/>
    <cellStyle name="_Comma__UpgradesErrors_" xfId="1460"/>
    <cellStyle name="_Comma__Variables_" xfId="1461"/>
    <cellStyle name="_Comma_accretion dilution analysis" xfId="1462"/>
    <cellStyle name="_Comma_Acquisition Ops 3" xfId="1463"/>
    <cellStyle name="_Comma_ADLAC Capital Structure Model-v2" xfId="1464"/>
    <cellStyle name="_Comma_AVP" xfId="1465"/>
    <cellStyle name="_Comma_B_note Summary" xfId="1466"/>
    <cellStyle name="_Comma_Big Rock SOMA Refinance UW" xfId="1467"/>
    <cellStyle name="_Comma_Book1" xfId="1468"/>
    <cellStyle name="_Comma_Book1_04 CPJ Merger Model" xfId="1469"/>
    <cellStyle name="_Comma_Book1_08 Altar Model" xfId="1470"/>
    <cellStyle name="_Comma_Book2" xfId="1471"/>
    <cellStyle name="_Comma_buyer_analysis" xfId="1472"/>
    <cellStyle name="_Comma_Catherine Historical Financials ('94 - '06)" xfId="1473"/>
    <cellStyle name="_Comma_CC Tracking Model 10-feb (nov results)" xfId="1474"/>
    <cellStyle name="_Comma_CC Tracking Model 13-feb (dec results)" xfId="1475"/>
    <cellStyle name="_Comma_CD Merger Model 01" xfId="1476"/>
    <cellStyle name="_Comma_Chart LBO model 07-24-03" xfId="1477"/>
    <cellStyle name="_Comma_Columbia Entertainment Model FINAL" xfId="1478"/>
    <cellStyle name="_Comma_Comparative Balance Sheets" xfId="1479"/>
    <cellStyle name="_Comma_Comparison" xfId="1480"/>
    <cellStyle name="_Comma_compress list" xfId="1481"/>
    <cellStyle name="_Comma_contribution_analysis" xfId="1482"/>
    <cellStyle name="_Comma_CSC with WACC" xfId="1483"/>
    <cellStyle name="_Comma_CVTEABF (version 1)" xfId="1484"/>
    <cellStyle name="_Comma_DBConfigColumn" xfId="1485"/>
    <cellStyle name="_Comma_DBConfigColumn 2" xfId="1486"/>
    <cellStyle name="_Comma_DBConfigColumn 3" xfId="1487"/>
    <cellStyle name="_Comma_DBConfigColumn 4" xfId="1488"/>
    <cellStyle name="_Comma_DBConfigTape" xfId="1489"/>
    <cellStyle name="_Comma_DBConfigTape 2" xfId="1490"/>
    <cellStyle name="_Comma_DBConfigTape 3" xfId="1491"/>
    <cellStyle name="_Comma_DBConfigTape 4" xfId="1492"/>
    <cellStyle name="_Comma_DCF Analysis" xfId="1493"/>
    <cellStyle name="_Comma_Debt" xfId="1494"/>
    <cellStyle name="_Comma_Debt Allocation Analysis - 12.08.03  v.1" xfId="1495"/>
    <cellStyle name="_Comma_Debt Allocation Schedules" xfId="1496"/>
    <cellStyle name="_Comma_Debt Balances" xfId="1497"/>
    <cellStyle name="_Comma_Debt Stacks" xfId="1498"/>
    <cellStyle name="_Comma_Depreciation Expense Forecast - Totals" xfId="1499"/>
    <cellStyle name="_Comma_Eagle Ridge Cash Flow 01-10-02_GS" xfId="1500"/>
    <cellStyle name="_Comma_Final Canadian Bank Comp (sent to IBD)FORM" xfId="1501"/>
    <cellStyle name="_Comma_Financial Comp to Mgmt Projections 02" xfId="1502"/>
    <cellStyle name="_Comma_Financials" xfId="1503"/>
    <cellStyle name="_Comma_Financials from OM" xfId="1504"/>
    <cellStyle name="_Comma_Financials From OM and Audited Financials" xfId="1505"/>
    <cellStyle name="_Comma_FinRemits" xfId="1506"/>
    <cellStyle name="_Comma_FinRemits 2" xfId="1507"/>
    <cellStyle name="_Comma_FinRemits 3" xfId="1508"/>
    <cellStyle name="_Comma_FinRemits 4" xfId="1509"/>
    <cellStyle name="_Comma_FinRemits 5" xfId="1510"/>
    <cellStyle name="_Comma_FinRemits 5 2" xfId="1511"/>
    <cellStyle name="_Comma_FinRemits 6" xfId="1512"/>
    <cellStyle name="_Comma_FinRemits 6 2" xfId="1513"/>
    <cellStyle name="_Comma_FinRemits 7" xfId="1514"/>
    <cellStyle name="_Comma_Football Field" xfId="1515"/>
    <cellStyle name="_Comma_Grizzly Sources and Uses" xfId="1516"/>
    <cellStyle name="_Comma_GS research model" xfId="1517"/>
    <cellStyle name="_Comma_HMSModel 8.30.01_b" xfId="1518"/>
    <cellStyle name="_Comma_IBES_EPS_Estimates" xfId="1519"/>
    <cellStyle name="_Comma_Income Allocation 3-3-04" xfId="1520"/>
    <cellStyle name="_Comma_Initial Build" xfId="1521"/>
    <cellStyle name="_Comma_Input" xfId="1522"/>
    <cellStyle name="_Comma_IPO Capital Account Analysis - Revised A Pool Distributed without DC and East Side" xfId="1523"/>
    <cellStyle name="_Comma_IPO Model Balance SHeet -EAST SIDE EXCLUDED" xfId="1524"/>
    <cellStyle name="_Comma_Keystone Cap Structure Summary" xfId="1525"/>
    <cellStyle name="_Comma_LBO (Post IM)" xfId="1526"/>
    <cellStyle name="_Comma_Master_Telecom_Equipment_CSCb" xfId="1527"/>
    <cellStyle name="_Comma_Meadowsv3" xfId="1528"/>
    <cellStyle name="_Comma_Merger Model - Exec" xfId="1529"/>
    <cellStyle name="_Comma_merger plans" xfId="1530"/>
    <cellStyle name="_Comma_merger_plans_lasalle" xfId="1531"/>
    <cellStyle name="_Comma_MotLion Projections may" xfId="1532"/>
    <cellStyle name="_Comma_New MODEL_5" xfId="1533"/>
    <cellStyle name="_Comma_New MODEL_6_WBM" xfId="1534"/>
    <cellStyle name="_Comma_NOI REVPAR GROWTH FOR PRESENTATION" xfId="1535"/>
    <cellStyle name="_Comma_Old Life CSC" xfId="1536"/>
    <cellStyle name="_Comma_Options Plan (2)" xfId="1537"/>
    <cellStyle name="_Comma_pace_merger plans" xfId="1538"/>
    <cellStyle name="_Comma_Palm Model 10_05" xfId="1539"/>
    <cellStyle name="_Comma_Paramount v15 - higher bid" xfId="1540"/>
    <cellStyle name="_Comma_Paramount v5" xfId="1541"/>
    <cellStyle name="_Comma_Phantom Interests Calculation" xfId="1542"/>
    <cellStyle name="_Comma_PNC_PF_2Q_update" xfId="1543"/>
    <cellStyle name="_Comma_Potential Strategic Partners" xfId="1544"/>
    <cellStyle name="_Comma_Prepaid_Lease_Model_for_AAT_04(1)" xfId="1545"/>
    <cellStyle name="_Comma_promote model" xfId="1546"/>
    <cellStyle name="_Comma_QVC LBO Model 2-12-03 v3" xfId="1547"/>
    <cellStyle name="_Comma_Red Roof v16" xfId="1548"/>
    <cellStyle name="_Comma_RJB Long LBO LTM" xfId="1549"/>
    <cellStyle name="_Comma_RJB Long LBO LTM_Columbia Entertainment Model FINAL" xfId="1550"/>
    <cellStyle name="_Comma_Semperit AVP 14-Nov-2002" xfId="1551"/>
    <cellStyle name="_Comma_SHC 2003 Cashflows" xfId="1552"/>
    <cellStyle name="_Comma_SHC IPO-Revised_Valuation_Writedown" xfId="1553"/>
    <cellStyle name="_Comma_SHC Operating Stats" xfId="1554"/>
    <cellStyle name="_Comma_Sheet10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C6D9F1"/>
      <rgbColor rgb="FF731D11"/>
      <rgbColor rgb="FF006100"/>
      <rgbColor rgb="FF0B1F3A"/>
      <rgbColor rgb="FFB88A2A"/>
      <rgbColor rgb="FF800080"/>
      <rgbColor rgb="FF1B5E20"/>
      <rgbColor rgb="FFBFBFBF"/>
      <rgbColor rgb="FFE6B9B8"/>
      <rgbColor rgb="FFCCC1DA"/>
      <rgbColor rgb="FFF2DCDB"/>
      <rgbColor rgb="FFFFFFCC"/>
      <rgbColor rgb="FFCCFFFF"/>
      <rgbColor rgb="FFEFEFEF"/>
      <rgbColor rgb="FFFF8080"/>
      <rgbColor rgb="FF0166D9"/>
      <rgbColor rgb="FFCCCCFF"/>
      <rgbColor rgb="FFFFF3CF"/>
      <rgbColor rgb="FFFDEADA"/>
      <rgbColor rgb="FFFCD5B5"/>
      <rgbColor rgb="FFCDD6E1"/>
      <rgbColor rgb="FFEBF1DE"/>
      <rgbColor rgb="FFEFF1EC"/>
      <rgbColor rgb="FF1E5631"/>
      <rgbColor rgb="FFF2F2F2"/>
      <rgbColor rgb="FFB7DEE8"/>
      <rgbColor rgb="FFDBEEF4"/>
      <rgbColor rgb="FFCCFFCC"/>
      <rgbColor rgb="FFFFFF99"/>
      <rgbColor rgb="FF99CCFF"/>
      <rgbColor rgb="FFFF99CC"/>
      <rgbColor rgb="FFCC99FF"/>
      <rgbColor rgb="FFFFCC99"/>
      <rgbColor rgb="FFB9CDE5"/>
      <rgbColor rgb="FF33CCCC"/>
      <rgbColor rgb="FFD7E4BD"/>
      <rgbColor rgb="FFFFCC00"/>
      <rgbColor rgb="FFFF9900"/>
      <rgbColor rgb="FFFD6402"/>
      <rgbColor rgb="FF666666"/>
      <rgbColor rgb="FF96917D"/>
      <rgbColor rgb="FF16324F"/>
      <rgbColor rgb="FF388E76"/>
      <rgbColor rgb="FF102231"/>
      <rgbColor rgb="FF1B1B1B"/>
      <rgbColor rgb="FFDCE6F2"/>
      <rgbColor rgb="FFE6E0EC"/>
      <rgbColor rgb="FF172E4D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externalLink" Target="externalLinks/externalLink1.xml"/><Relationship Id="rId20" Type="http://schemas.openxmlformats.org/officeDocument/2006/relationships/externalLink" Target="externalLinks/externalLink2.xml"/><Relationship Id="rId21" Type="http://schemas.openxmlformats.org/officeDocument/2006/relationships/externalLink" Target="externalLinks/externalLink3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Rent Index - Cignal cycle-adjusted vs. naive flat 3%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'Cignal Market Read'!C53</c:f>
              <c:strCache>
                <c:ptCount val="1"/>
                <c:pt idx="0">
                  <c:v>Cignal (cycle-adj)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'Cignal Market Read'!$B$54:$B$59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'Cignal Market Read'!$C$54:$C$59</c:f>
              <c:numCache>
                <c:formatCode>0.0</c:formatCode>
                <c:ptCount val="6"/>
                <c:pt idx="0">
                  <c:v>100</c:v>
                </c:pt>
                <c:pt idx="1">
                  <c:v>100.66</c:v>
                </c:pt>
                <c:pt idx="2">
                  <c:v>103.941516</c:v>
                </c:pt>
                <c:pt idx="3">
                  <c:v>107.05976148</c:v>
                </c:pt>
                <c:pt idx="4">
                  <c:v>110.2715543244</c:v>
                </c:pt>
                <c:pt idx="5">
                  <c:v>113.579700954132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'Cignal Market Read'!D53</c:f>
              <c:strCache>
                <c:ptCount val="1"/>
                <c:pt idx="0">
                  <c:v>Naive flat 3%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'Cignal Market Read'!$B$54:$B$59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'Cignal Market Read'!$D$54:$D$59</c:f>
              <c:numCache>
                <c:formatCode>0.0</c:formatCode>
                <c:ptCount val="6"/>
                <c:pt idx="0">
                  <c:v>100</c:v>
                </c:pt>
                <c:pt idx="1">
                  <c:v>103</c:v>
                </c:pt>
                <c:pt idx="2">
                  <c:v>106.09</c:v>
                </c:pt>
                <c:pt idx="3">
                  <c:v>109.2727</c:v>
                </c:pt>
                <c:pt idx="4">
                  <c:v>112.550881</c:v>
                </c:pt>
                <c:pt idx="5">
                  <c:v>115.92740743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764298"/>
        <c:axId val="44021145"/>
      </c:lineChart>
      <c:catAx>
        <c:axId val="807642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Hold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21145"/>
        <c:crosses val="autoZero"/>
        <c:auto val="1"/>
        <c:lblAlgn val="ctr"/>
        <c:lblOffset val="100"/>
        <c:noMultiLvlLbl val="0"/>
      </c:catAx>
      <c:valAx>
        <c:axId val="44021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Rent Index (Yr0=100)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642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9</xdr:row>
      <xdr:rowOff>0</xdr:rowOff>
    </xdr:from>
    <xdr:to>
      <xdr:col>14</xdr:col>
      <xdr:colOff>320040</xdr:colOff>
      <xdr:row>22</xdr:row>
      <xdr:rowOff>184320</xdr:rowOff>
    </xdr:to>
    <xdr:graphicFrame>
      <xdr:nvGraphicFramePr>
        <xdr:cNvPr id="0" name="Chart 1"/>
        <xdr:cNvGraphicFramePr/>
      </xdr:nvGraphicFramePr>
      <xdr:xfrm>
        <a:off x="9021960" y="1857240"/>
        <a:ext cx="5398920" cy="26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C:/Users/Cade/Dropbox/CapStack%20Partners/CRE/Ben%20Inman%20(Nashville%20Portfolio%20-%20Nashville,%20TN)/CSP-Inman/Principal%20Investments/Atlanta%20Properties/Autumn%20Vista%20-%20Duluth,%20GA/AutumnVista-UW-DeepDive%20copy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C:/Users/Cade/Dropbox/CapStack%20Partners/CRE/Ben%20Inman%20(Nashville%20Portfolio%20-%20Nashville,%20TN)/Downloads/AutumnVista-UW-DeepDive%20copy%20(1)%20(3).xlsm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C:/Users/Cade/Dropbox/CapStack%20Partners/CRE/Ben%20Inman%20(Nashville%20Portfolio%20-%20Nashville,%20TN)/AutumnVista-UW-DeepDive%20copy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ecutive Summary"/>
      <sheetName val="Operating Inputs"/>
      <sheetName val="T-3 Worksheet"/>
      <sheetName val="Unit Mix &amp; Market"/>
      <sheetName val="Renovation Plan"/>
      <sheetName val="Cash Flows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xecutive Summary"/>
      <sheetName val="Operating Inputs"/>
      <sheetName val="T-3 Worksheet"/>
      <sheetName val="Unit Mix &amp; Market"/>
      <sheetName val="Renovation Plan"/>
      <sheetName val="Cash Flows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ecutive Summary"/>
      <sheetName val="Operating Inputs"/>
      <sheetName val="T-3 Worksheet"/>
      <sheetName val="Unit Mix &amp; Market"/>
      <sheetName val="Renovation Plan"/>
      <sheetName val="Cash Flows"/>
      <sheetName val="Inpu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B2:L12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B28" activeCellId="0" sqref="B28"/>
    </sheetView>
  </sheetViews>
  <sheetFormatPr defaultColWidth="8.83203125" defaultRowHeight="13.5" zeroHeight="false" outlineLevelRow="0" outlineLevelCol="0"/>
  <cols>
    <col collapsed="false" customWidth="true" hidden="false" outlineLevel="0" max="1" min="1" style="1" width="2.67"/>
    <col collapsed="false" customWidth="false" hidden="false" outlineLevel="0" max="2" min="2" style="2" width="8.83"/>
    <col collapsed="false" customWidth="true" hidden="false" outlineLevel="0" max="3" min="3" style="3" width="11.33"/>
    <col collapsed="false" customWidth="true" hidden="false" outlineLevel="0" max="4" min="4" style="3" width="8.5"/>
    <col collapsed="false" customWidth="true" hidden="false" outlineLevel="0" max="5" min="5" style="3" width="8.67"/>
    <col collapsed="false" customWidth="true" hidden="false" outlineLevel="0" max="6" min="6" style="3" width="11.33"/>
    <col collapsed="false" customWidth="true" hidden="false" outlineLevel="0" max="7" min="7" style="1" width="2.67"/>
    <col collapsed="false" customWidth="false" hidden="false" outlineLevel="0" max="8" min="8" style="2" width="8.83"/>
    <col collapsed="false" customWidth="true" hidden="false" outlineLevel="0" max="9" min="9" style="3" width="12"/>
    <col collapsed="false" customWidth="false" hidden="false" outlineLevel="0" max="11" min="10" style="3" width="8.83"/>
    <col collapsed="false" customWidth="true" hidden="false" outlineLevel="0" max="12" min="12" style="3" width="12"/>
    <col collapsed="false" customWidth="false" hidden="false" outlineLevel="0" max="16384" min="13" style="1" width="8.83"/>
  </cols>
  <sheetData>
    <row r="2" customFormat="false" ht="13.5" hidden="false" customHeight="true" outlineLevel="0" collapsed="false">
      <c r="B2" s="4" t="s">
        <v>0</v>
      </c>
      <c r="C2" s="4"/>
      <c r="D2" s="4"/>
      <c r="E2" s="4"/>
      <c r="F2" s="4"/>
      <c r="H2" s="4" t="s">
        <v>1</v>
      </c>
      <c r="I2" s="4"/>
      <c r="J2" s="4"/>
      <c r="K2" s="4"/>
      <c r="L2" s="4"/>
    </row>
    <row r="4" s="5" customFormat="true" ht="13.5" hidden="false" customHeight="true" outlineLevel="0" collapsed="false"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H4" s="6" t="s">
        <v>2</v>
      </c>
      <c r="I4" s="6" t="s">
        <v>3</v>
      </c>
      <c r="J4" s="6" t="s">
        <v>4</v>
      </c>
      <c r="K4" s="6" t="s">
        <v>5</v>
      </c>
      <c r="L4" s="6" t="s">
        <v>6</v>
      </c>
    </row>
    <row r="5" customFormat="false" ht="13.5" hidden="false" customHeight="true" outlineLevel="0" collapsed="false">
      <c r="B5" s="6" t="n">
        <v>1</v>
      </c>
      <c r="C5" s="7" t="n">
        <f aca="false">'Executive Summary'!C24</f>
        <v>5200000</v>
      </c>
      <c r="D5" s="7" t="n">
        <f aca="false">'Debt Financing'!$D$3/12*C5</f>
        <v>21016.6666666667</v>
      </c>
      <c r="E5" s="7" t="n">
        <f aca="false">IF(B5&lt;='Debt Financing'!$D$4,0,'Debt Financing'!$D$7/12-D5)</f>
        <v>0</v>
      </c>
      <c r="F5" s="7" t="n">
        <f aca="false">C5-E5</f>
        <v>5200000</v>
      </c>
      <c r="H5" s="6" t="n">
        <v>1</v>
      </c>
      <c r="I5" s="7" t="n">
        <f aca="false">'Executive Summary'!$L$18</f>
        <v>0</v>
      </c>
      <c r="J5" s="7" t="n">
        <f aca="false">'Debt Financing'!$D$27/12*I5</f>
        <v>0</v>
      </c>
      <c r="K5" s="7" t="n">
        <f aca="false">IF('Executive Summary'!$L$18=0,0,'Debt Financing'!$D$30/12-J5)</f>
        <v>0</v>
      </c>
      <c r="L5" s="7" t="n">
        <f aca="false">I5-K5</f>
        <v>0</v>
      </c>
    </row>
    <row r="6" customFormat="false" ht="13.5" hidden="false" customHeight="true" outlineLevel="0" collapsed="false">
      <c r="B6" s="6" t="n">
        <f aca="false">+B5+1</f>
        <v>2</v>
      </c>
      <c r="C6" s="7" t="n">
        <f aca="false">F5</f>
        <v>5200000</v>
      </c>
      <c r="D6" s="7" t="n">
        <f aca="false">'Debt Financing'!$D$3/12*C6</f>
        <v>21016.6666666667</v>
      </c>
      <c r="E6" s="7" t="n">
        <f aca="false">IF(B6&lt;='Debt Financing'!$D$4,0,'Debt Financing'!$D$7/12-D6)</f>
        <v>0</v>
      </c>
      <c r="F6" s="7" t="n">
        <f aca="false">C6-E6</f>
        <v>5200000</v>
      </c>
      <c r="H6" s="6" t="n">
        <f aca="false">+H5+1</f>
        <v>2</v>
      </c>
      <c r="I6" s="7" t="n">
        <f aca="false">L5</f>
        <v>0</v>
      </c>
      <c r="J6" s="7" t="n">
        <f aca="false">'Debt Financing'!$D$27/12*I6</f>
        <v>0</v>
      </c>
      <c r="K6" s="7" t="n">
        <f aca="false">IF('Executive Summary'!$L$18=0,0,'Debt Financing'!$D$30/12-J6)</f>
        <v>0</v>
      </c>
      <c r="L6" s="7" t="n">
        <f aca="false">I6-K6</f>
        <v>0</v>
      </c>
    </row>
    <row r="7" customFormat="false" ht="13.5" hidden="false" customHeight="true" outlineLevel="0" collapsed="false">
      <c r="B7" s="6" t="n">
        <f aca="false">+B6+1</f>
        <v>3</v>
      </c>
      <c r="C7" s="7" t="n">
        <f aca="false">F6</f>
        <v>5200000</v>
      </c>
      <c r="D7" s="7" t="n">
        <f aca="false">'Debt Financing'!$D$3/12*C7</f>
        <v>21016.6666666667</v>
      </c>
      <c r="E7" s="7" t="n">
        <f aca="false">IF(B7&lt;='Debt Financing'!$D$4,0,'Debt Financing'!$D$7/12-D7)</f>
        <v>0</v>
      </c>
      <c r="F7" s="7" t="n">
        <f aca="false">C7-E7</f>
        <v>5200000</v>
      </c>
      <c r="H7" s="6" t="n">
        <f aca="false">+H6+1</f>
        <v>3</v>
      </c>
      <c r="I7" s="7" t="n">
        <f aca="false">L6</f>
        <v>0</v>
      </c>
      <c r="J7" s="7" t="n">
        <f aca="false">'Debt Financing'!$D$27/12*I7</f>
        <v>0</v>
      </c>
      <c r="K7" s="7" t="n">
        <f aca="false">IF('Executive Summary'!$L$18=0,0,'Debt Financing'!$D$30/12-J7)</f>
        <v>0</v>
      </c>
      <c r="L7" s="7" t="n">
        <f aca="false">I7-K7</f>
        <v>0</v>
      </c>
    </row>
    <row r="8" customFormat="false" ht="13.5" hidden="false" customHeight="true" outlineLevel="0" collapsed="false">
      <c r="B8" s="6" t="n">
        <f aca="false">+B7+1</f>
        <v>4</v>
      </c>
      <c r="C8" s="7" t="n">
        <f aca="false">F7</f>
        <v>5200000</v>
      </c>
      <c r="D8" s="7" t="n">
        <f aca="false">'Debt Financing'!$D$3/12*C8</f>
        <v>21016.6666666667</v>
      </c>
      <c r="E8" s="7" t="n">
        <f aca="false">IF(B8&lt;='Debt Financing'!$D$4,0,'Debt Financing'!$D$7/12-D8)</f>
        <v>0</v>
      </c>
      <c r="F8" s="7" t="n">
        <f aca="false">C8-E8</f>
        <v>5200000</v>
      </c>
      <c r="H8" s="6" t="n">
        <f aca="false">+H7+1</f>
        <v>4</v>
      </c>
      <c r="I8" s="7" t="n">
        <f aca="false">L7</f>
        <v>0</v>
      </c>
      <c r="J8" s="7" t="n">
        <f aca="false">'Debt Financing'!$D$27/12*I8</f>
        <v>0</v>
      </c>
      <c r="K8" s="7" t="n">
        <f aca="false">IF('Executive Summary'!$L$18=0,0,'Debt Financing'!$D$30/12-J8)</f>
        <v>0</v>
      </c>
      <c r="L8" s="7" t="n">
        <f aca="false">I8-K8</f>
        <v>0</v>
      </c>
    </row>
    <row r="9" customFormat="false" ht="13.5" hidden="false" customHeight="true" outlineLevel="0" collapsed="false">
      <c r="B9" s="6" t="n">
        <f aca="false">+B8+1</f>
        <v>5</v>
      </c>
      <c r="C9" s="7" t="n">
        <f aca="false">F8</f>
        <v>5200000</v>
      </c>
      <c r="D9" s="7" t="n">
        <f aca="false">'Debt Financing'!$D$3/12*C9</f>
        <v>21016.6666666667</v>
      </c>
      <c r="E9" s="7" t="n">
        <f aca="false">IF(B9&lt;='Debt Financing'!$D$4,0,'Debt Financing'!$D$7/12-D9)</f>
        <v>0</v>
      </c>
      <c r="F9" s="7" t="n">
        <f aca="false">C9-E9</f>
        <v>5200000</v>
      </c>
      <c r="H9" s="6" t="n">
        <f aca="false">+H8+1</f>
        <v>5</v>
      </c>
      <c r="I9" s="7" t="n">
        <f aca="false">L8</f>
        <v>0</v>
      </c>
      <c r="J9" s="7" t="n">
        <f aca="false">'Debt Financing'!$D$27/12*I9</f>
        <v>0</v>
      </c>
      <c r="K9" s="7" t="n">
        <f aca="false">IF('Executive Summary'!$L$18=0,0,'Debt Financing'!$D$30/12-J9)</f>
        <v>0</v>
      </c>
      <c r="L9" s="7" t="n">
        <f aca="false">I9-K9</f>
        <v>0</v>
      </c>
    </row>
    <row r="10" customFormat="false" ht="13.5" hidden="false" customHeight="true" outlineLevel="0" collapsed="false">
      <c r="B10" s="6" t="n">
        <f aca="false">+B9+1</f>
        <v>6</v>
      </c>
      <c r="C10" s="7" t="n">
        <f aca="false">F9</f>
        <v>5200000</v>
      </c>
      <c r="D10" s="7" t="n">
        <f aca="false">'Debt Financing'!$D$3/12*C10</f>
        <v>21016.6666666667</v>
      </c>
      <c r="E10" s="7" t="n">
        <f aca="false">IF(B10&lt;='Debt Financing'!$D$4,0,'Debt Financing'!$D$7/12-D10)</f>
        <v>0</v>
      </c>
      <c r="F10" s="7" t="n">
        <f aca="false">C10-E10</f>
        <v>5200000</v>
      </c>
      <c r="H10" s="6" t="n">
        <f aca="false">+H9+1</f>
        <v>6</v>
      </c>
      <c r="I10" s="7" t="n">
        <f aca="false">L9</f>
        <v>0</v>
      </c>
      <c r="J10" s="7" t="n">
        <f aca="false">'Debt Financing'!$D$27/12*I10</f>
        <v>0</v>
      </c>
      <c r="K10" s="7" t="n">
        <f aca="false">IF('Executive Summary'!$L$18=0,0,'Debt Financing'!$D$30/12-J10)</f>
        <v>0</v>
      </c>
      <c r="L10" s="7" t="n">
        <f aca="false">I10-K10</f>
        <v>0</v>
      </c>
    </row>
    <row r="11" customFormat="false" ht="13.5" hidden="false" customHeight="true" outlineLevel="0" collapsed="false">
      <c r="B11" s="6" t="n">
        <f aca="false">+B10+1</f>
        <v>7</v>
      </c>
      <c r="C11" s="7" t="n">
        <f aca="false">F10</f>
        <v>5200000</v>
      </c>
      <c r="D11" s="7" t="n">
        <f aca="false">'Debt Financing'!$D$3/12*C11</f>
        <v>21016.6666666667</v>
      </c>
      <c r="E11" s="7" t="n">
        <f aca="false">IF(B11&lt;='Debt Financing'!$D$4,0,'Debt Financing'!$D$7/12-D11)</f>
        <v>0</v>
      </c>
      <c r="F11" s="7" t="n">
        <f aca="false">C11-E11</f>
        <v>5200000</v>
      </c>
      <c r="H11" s="6" t="n">
        <f aca="false">+H10+1</f>
        <v>7</v>
      </c>
      <c r="I11" s="7" t="n">
        <f aca="false">L10</f>
        <v>0</v>
      </c>
      <c r="J11" s="7" t="n">
        <f aca="false">'Debt Financing'!$D$27/12*I11</f>
        <v>0</v>
      </c>
      <c r="K11" s="7" t="n">
        <f aca="false">IF('Executive Summary'!$L$18=0,0,'Debt Financing'!$D$30/12-J11)</f>
        <v>0</v>
      </c>
      <c r="L11" s="7" t="n">
        <f aca="false">I11-K11</f>
        <v>0</v>
      </c>
    </row>
    <row r="12" customFormat="false" ht="13.5" hidden="false" customHeight="true" outlineLevel="0" collapsed="false">
      <c r="B12" s="6" t="n">
        <f aca="false">+B11+1</f>
        <v>8</v>
      </c>
      <c r="C12" s="7" t="n">
        <f aca="false">F11</f>
        <v>5200000</v>
      </c>
      <c r="D12" s="7" t="n">
        <f aca="false">'Debt Financing'!$D$3/12*C12</f>
        <v>21016.6666666667</v>
      </c>
      <c r="E12" s="7" t="n">
        <f aca="false">IF(B12&lt;='Debt Financing'!$D$4,0,'Debt Financing'!$D$7/12-D12)</f>
        <v>0</v>
      </c>
      <c r="F12" s="7" t="n">
        <f aca="false">C12-E12</f>
        <v>5200000</v>
      </c>
      <c r="H12" s="6" t="n">
        <f aca="false">+H11+1</f>
        <v>8</v>
      </c>
      <c r="I12" s="7" t="n">
        <f aca="false">L11</f>
        <v>0</v>
      </c>
      <c r="J12" s="7" t="n">
        <f aca="false">'Debt Financing'!$D$27/12*I12</f>
        <v>0</v>
      </c>
      <c r="K12" s="7" t="n">
        <f aca="false">IF('Executive Summary'!$L$18=0,0,'Debt Financing'!$D$30/12-J12)</f>
        <v>0</v>
      </c>
      <c r="L12" s="7" t="n">
        <f aca="false">I12-K12</f>
        <v>0</v>
      </c>
    </row>
    <row r="13" customFormat="false" ht="13.5" hidden="false" customHeight="true" outlineLevel="0" collapsed="false">
      <c r="B13" s="6" t="n">
        <f aca="false">+B12+1</f>
        <v>9</v>
      </c>
      <c r="C13" s="7" t="n">
        <f aca="false">F12</f>
        <v>5200000</v>
      </c>
      <c r="D13" s="7" t="n">
        <f aca="false">'Debt Financing'!$D$3/12*C13</f>
        <v>21016.6666666667</v>
      </c>
      <c r="E13" s="7" t="n">
        <f aca="false">IF(B13&lt;='Debt Financing'!$D$4,0,'Debt Financing'!$D$7/12-D13)</f>
        <v>0</v>
      </c>
      <c r="F13" s="7" t="n">
        <f aca="false">C13-E13</f>
        <v>5200000</v>
      </c>
      <c r="H13" s="6" t="n">
        <f aca="false">+H12+1</f>
        <v>9</v>
      </c>
      <c r="I13" s="7" t="n">
        <f aca="false">L12</f>
        <v>0</v>
      </c>
      <c r="J13" s="7" t="n">
        <f aca="false">'Debt Financing'!$D$27/12*I13</f>
        <v>0</v>
      </c>
      <c r="K13" s="7" t="n">
        <f aca="false">IF('Executive Summary'!$L$18=0,0,'Debt Financing'!$D$30/12-J13)</f>
        <v>0</v>
      </c>
      <c r="L13" s="7" t="n">
        <f aca="false">I13-K13</f>
        <v>0</v>
      </c>
    </row>
    <row r="14" customFormat="false" ht="13.5" hidden="false" customHeight="true" outlineLevel="0" collapsed="false">
      <c r="B14" s="6" t="n">
        <f aca="false">+B13+1</f>
        <v>10</v>
      </c>
      <c r="C14" s="7" t="n">
        <f aca="false">F13</f>
        <v>5200000</v>
      </c>
      <c r="D14" s="7" t="n">
        <f aca="false">'Debt Financing'!$D$3/12*C14</f>
        <v>21016.6666666667</v>
      </c>
      <c r="E14" s="7" t="n">
        <f aca="false">IF(B14&lt;='Debt Financing'!$D$4,0,'Debt Financing'!$D$7/12-D14)</f>
        <v>0</v>
      </c>
      <c r="F14" s="7" t="n">
        <f aca="false">C14-E14</f>
        <v>5200000</v>
      </c>
      <c r="H14" s="6" t="n">
        <f aca="false">+H13+1</f>
        <v>10</v>
      </c>
      <c r="I14" s="7" t="n">
        <f aca="false">L13</f>
        <v>0</v>
      </c>
      <c r="J14" s="7" t="n">
        <f aca="false">'Debt Financing'!$D$27/12*I14</f>
        <v>0</v>
      </c>
      <c r="K14" s="7" t="n">
        <f aca="false">IF('Executive Summary'!$L$18=0,0,'Debt Financing'!$D$30/12-J14)</f>
        <v>0</v>
      </c>
      <c r="L14" s="7" t="n">
        <f aca="false">I14-K14</f>
        <v>0</v>
      </c>
    </row>
    <row r="15" customFormat="false" ht="13.5" hidden="false" customHeight="true" outlineLevel="0" collapsed="false">
      <c r="B15" s="6" t="n">
        <f aca="false">+B14+1</f>
        <v>11</v>
      </c>
      <c r="C15" s="7" t="n">
        <f aca="false">F14</f>
        <v>5200000</v>
      </c>
      <c r="D15" s="7" t="n">
        <f aca="false">'Debt Financing'!$D$3/12*C15</f>
        <v>21016.6666666667</v>
      </c>
      <c r="E15" s="7" t="n">
        <f aca="false">IF(B15&lt;='Debt Financing'!$D$4,0,'Debt Financing'!$D$7/12-D15)</f>
        <v>0</v>
      </c>
      <c r="F15" s="7" t="n">
        <f aca="false">C15-E15</f>
        <v>5200000</v>
      </c>
      <c r="H15" s="6" t="n">
        <f aca="false">+H14+1</f>
        <v>11</v>
      </c>
      <c r="I15" s="7" t="n">
        <f aca="false">L14</f>
        <v>0</v>
      </c>
      <c r="J15" s="7" t="n">
        <f aca="false">'Debt Financing'!$D$27/12*I15</f>
        <v>0</v>
      </c>
      <c r="K15" s="7" t="n">
        <f aca="false">IF('Executive Summary'!$L$18=0,0,'Debt Financing'!$D$30/12-J15)</f>
        <v>0</v>
      </c>
      <c r="L15" s="7" t="n">
        <f aca="false">I15-K15</f>
        <v>0</v>
      </c>
    </row>
    <row r="16" customFormat="false" ht="13.5" hidden="false" customHeight="true" outlineLevel="0" collapsed="false">
      <c r="B16" s="6" t="n">
        <f aca="false">+B15+1</f>
        <v>12</v>
      </c>
      <c r="C16" s="7" t="n">
        <f aca="false">F15</f>
        <v>5200000</v>
      </c>
      <c r="D16" s="7" t="n">
        <f aca="false">'Debt Financing'!$D$3/12*C16</f>
        <v>21016.6666666667</v>
      </c>
      <c r="E16" s="7" t="n">
        <f aca="false">IF(B16&lt;='Debt Financing'!$D$4,0,'Debt Financing'!$D$7/12-D16)</f>
        <v>0</v>
      </c>
      <c r="F16" s="7" t="n">
        <f aca="false">C16-E16</f>
        <v>5200000</v>
      </c>
      <c r="H16" s="6" t="n">
        <f aca="false">+H15+1</f>
        <v>12</v>
      </c>
      <c r="I16" s="7" t="n">
        <f aca="false">L15</f>
        <v>0</v>
      </c>
      <c r="J16" s="7" t="n">
        <f aca="false">'Debt Financing'!$D$27/12*I16</f>
        <v>0</v>
      </c>
      <c r="K16" s="7" t="n">
        <f aca="false">IF('Executive Summary'!$L$18=0,0,'Debt Financing'!$D$30/12-J16)</f>
        <v>0</v>
      </c>
      <c r="L16" s="7" t="n">
        <f aca="false">I16-K16</f>
        <v>0</v>
      </c>
    </row>
    <row r="17" customFormat="false" ht="13.5" hidden="false" customHeight="true" outlineLevel="0" collapsed="false">
      <c r="B17" s="6" t="n">
        <f aca="false">+B16+1</f>
        <v>13</v>
      </c>
      <c r="C17" s="7" t="n">
        <f aca="false">F16</f>
        <v>5200000</v>
      </c>
      <c r="D17" s="7" t="n">
        <f aca="false">'Debt Financing'!$D$3/12*C17</f>
        <v>21016.6666666667</v>
      </c>
      <c r="E17" s="7" t="n">
        <f aca="false">IF(B17&lt;='Debt Financing'!$D$4,0,'Debt Financing'!$D$7/12-D17)</f>
        <v>0</v>
      </c>
      <c r="F17" s="7" t="n">
        <f aca="false">C17-E17</f>
        <v>5200000</v>
      </c>
      <c r="H17" s="6" t="n">
        <f aca="false">+H16+1</f>
        <v>13</v>
      </c>
      <c r="I17" s="7" t="n">
        <f aca="false">L16</f>
        <v>0</v>
      </c>
      <c r="J17" s="7" t="n">
        <f aca="false">'Debt Financing'!$D$27/12*I17</f>
        <v>0</v>
      </c>
      <c r="K17" s="7" t="n">
        <f aca="false">IF('Executive Summary'!$L$18=0,0,'Debt Financing'!$D$30/12-J17)</f>
        <v>0</v>
      </c>
      <c r="L17" s="7" t="n">
        <f aca="false">I17-K17</f>
        <v>0</v>
      </c>
    </row>
    <row r="18" customFormat="false" ht="13.5" hidden="false" customHeight="true" outlineLevel="0" collapsed="false">
      <c r="B18" s="6" t="n">
        <f aca="false">+B17+1</f>
        <v>14</v>
      </c>
      <c r="C18" s="7" t="n">
        <f aca="false">F17</f>
        <v>5200000</v>
      </c>
      <c r="D18" s="7" t="n">
        <f aca="false">'Debt Financing'!$D$3/12*C18</f>
        <v>21016.6666666667</v>
      </c>
      <c r="E18" s="7" t="n">
        <f aca="false">IF(B18&lt;='Debt Financing'!$D$4,0,'Debt Financing'!$D$7/12-D18)</f>
        <v>0</v>
      </c>
      <c r="F18" s="7" t="n">
        <f aca="false">C18-E18</f>
        <v>5200000</v>
      </c>
      <c r="H18" s="6" t="n">
        <f aca="false">+H17+1</f>
        <v>14</v>
      </c>
      <c r="I18" s="7" t="n">
        <f aca="false">L17</f>
        <v>0</v>
      </c>
      <c r="J18" s="7" t="n">
        <f aca="false">'Debt Financing'!$D$27/12*I18</f>
        <v>0</v>
      </c>
      <c r="K18" s="7" t="n">
        <f aca="false">IF('Executive Summary'!$L$18=0,0,'Debt Financing'!$D$30/12-J18)</f>
        <v>0</v>
      </c>
      <c r="L18" s="7" t="n">
        <f aca="false">I18-K18</f>
        <v>0</v>
      </c>
    </row>
    <row r="19" customFormat="false" ht="13.5" hidden="false" customHeight="true" outlineLevel="0" collapsed="false">
      <c r="B19" s="6" t="n">
        <f aca="false">+B18+1</f>
        <v>15</v>
      </c>
      <c r="C19" s="7" t="n">
        <f aca="false">F18</f>
        <v>5200000</v>
      </c>
      <c r="D19" s="7" t="n">
        <f aca="false">'Debt Financing'!$D$3/12*C19</f>
        <v>21016.6666666667</v>
      </c>
      <c r="E19" s="7" t="n">
        <f aca="false">IF(B19&lt;='Debt Financing'!$D$4,0,'Debt Financing'!$D$7/12-D19)</f>
        <v>0</v>
      </c>
      <c r="F19" s="7" t="n">
        <f aca="false">C19-E19</f>
        <v>5200000</v>
      </c>
      <c r="H19" s="6" t="n">
        <f aca="false">+H18+1</f>
        <v>15</v>
      </c>
      <c r="I19" s="7" t="n">
        <f aca="false">L18</f>
        <v>0</v>
      </c>
      <c r="J19" s="7" t="n">
        <f aca="false">'Debt Financing'!$D$27/12*I19</f>
        <v>0</v>
      </c>
      <c r="K19" s="7" t="n">
        <f aca="false">IF('Executive Summary'!$L$18=0,0,'Debt Financing'!$D$30/12-J19)</f>
        <v>0</v>
      </c>
      <c r="L19" s="7" t="n">
        <f aca="false">I19-K19</f>
        <v>0</v>
      </c>
    </row>
    <row r="20" customFormat="false" ht="13.5" hidden="false" customHeight="true" outlineLevel="0" collapsed="false">
      <c r="B20" s="6" t="n">
        <f aca="false">+B19+1</f>
        <v>16</v>
      </c>
      <c r="C20" s="7" t="n">
        <f aca="false">F19</f>
        <v>5200000</v>
      </c>
      <c r="D20" s="7" t="n">
        <f aca="false">'Debt Financing'!$D$3/12*C20</f>
        <v>21016.6666666667</v>
      </c>
      <c r="E20" s="7" t="n">
        <f aca="false">IF(B20&lt;='Debt Financing'!$D$4,0,'Debt Financing'!$D$7/12-D20)</f>
        <v>0</v>
      </c>
      <c r="F20" s="7" t="n">
        <f aca="false">C20-E20</f>
        <v>5200000</v>
      </c>
      <c r="H20" s="6" t="n">
        <f aca="false">+H19+1</f>
        <v>16</v>
      </c>
      <c r="I20" s="7" t="n">
        <f aca="false">L19</f>
        <v>0</v>
      </c>
      <c r="J20" s="7" t="n">
        <f aca="false">'Debt Financing'!$D$27/12*I20</f>
        <v>0</v>
      </c>
      <c r="K20" s="7" t="n">
        <f aca="false">IF('Executive Summary'!$L$18=0,0,'Debt Financing'!$D$30/12-J20)</f>
        <v>0</v>
      </c>
      <c r="L20" s="7" t="n">
        <f aca="false">I20-K20</f>
        <v>0</v>
      </c>
    </row>
    <row r="21" customFormat="false" ht="13.5" hidden="false" customHeight="true" outlineLevel="0" collapsed="false">
      <c r="B21" s="6" t="n">
        <f aca="false">+B20+1</f>
        <v>17</v>
      </c>
      <c r="C21" s="7" t="n">
        <f aca="false">F20</f>
        <v>5200000</v>
      </c>
      <c r="D21" s="7" t="n">
        <f aca="false">'Debt Financing'!$D$3/12*C21</f>
        <v>21016.6666666667</v>
      </c>
      <c r="E21" s="7" t="n">
        <f aca="false">IF(B21&lt;='Debt Financing'!$D$4,0,'Debt Financing'!$D$7/12-D21)</f>
        <v>0</v>
      </c>
      <c r="F21" s="7" t="n">
        <f aca="false">C21-E21</f>
        <v>5200000</v>
      </c>
      <c r="H21" s="6" t="n">
        <f aca="false">+H20+1</f>
        <v>17</v>
      </c>
      <c r="I21" s="7" t="n">
        <f aca="false">L20</f>
        <v>0</v>
      </c>
      <c r="J21" s="7" t="n">
        <f aca="false">'Debt Financing'!$D$27/12*I21</f>
        <v>0</v>
      </c>
      <c r="K21" s="7" t="n">
        <f aca="false">IF('Executive Summary'!$L$18=0,0,'Debt Financing'!$D$30/12-J21)</f>
        <v>0</v>
      </c>
      <c r="L21" s="7" t="n">
        <f aca="false">I21-K21</f>
        <v>0</v>
      </c>
    </row>
    <row r="22" customFormat="false" ht="13.5" hidden="false" customHeight="true" outlineLevel="0" collapsed="false">
      <c r="B22" s="6" t="n">
        <f aca="false">+B21+1</f>
        <v>18</v>
      </c>
      <c r="C22" s="7" t="n">
        <f aca="false">F21</f>
        <v>5200000</v>
      </c>
      <c r="D22" s="7" t="n">
        <f aca="false">'Debt Financing'!$D$3/12*C22</f>
        <v>21016.6666666667</v>
      </c>
      <c r="E22" s="7" t="n">
        <f aca="false">IF(B22&lt;='Debt Financing'!$D$4,0,'Debt Financing'!$D$7/12-D22)</f>
        <v>0</v>
      </c>
      <c r="F22" s="7" t="n">
        <f aca="false">C22-E22</f>
        <v>5200000</v>
      </c>
      <c r="H22" s="6" t="n">
        <f aca="false">+H21+1</f>
        <v>18</v>
      </c>
      <c r="I22" s="7" t="n">
        <f aca="false">L21</f>
        <v>0</v>
      </c>
      <c r="J22" s="7" t="n">
        <f aca="false">'Debt Financing'!$D$27/12*I22</f>
        <v>0</v>
      </c>
      <c r="K22" s="7" t="n">
        <f aca="false">IF('Executive Summary'!$L$18=0,0,'Debt Financing'!$D$30/12-J22)</f>
        <v>0</v>
      </c>
      <c r="L22" s="7" t="n">
        <f aca="false">I22-K22</f>
        <v>0</v>
      </c>
    </row>
    <row r="23" customFormat="false" ht="13.5" hidden="false" customHeight="true" outlineLevel="0" collapsed="false">
      <c r="B23" s="6" t="n">
        <f aca="false">+B22+1</f>
        <v>19</v>
      </c>
      <c r="C23" s="7" t="n">
        <f aca="false">F22</f>
        <v>5200000</v>
      </c>
      <c r="D23" s="7" t="n">
        <f aca="false">'Debt Financing'!$D$3/12*C23</f>
        <v>21016.6666666667</v>
      </c>
      <c r="E23" s="7" t="n">
        <f aca="false">IF(B23&lt;='Debt Financing'!$D$4,0,'Debt Financing'!$D$7/12-D23)</f>
        <v>0</v>
      </c>
      <c r="F23" s="7" t="n">
        <f aca="false">C23-E23</f>
        <v>5200000</v>
      </c>
      <c r="H23" s="6" t="n">
        <f aca="false">+H22+1</f>
        <v>19</v>
      </c>
      <c r="I23" s="7" t="n">
        <f aca="false">L22</f>
        <v>0</v>
      </c>
      <c r="J23" s="7" t="n">
        <f aca="false">'Debt Financing'!$D$27/12*I23</f>
        <v>0</v>
      </c>
      <c r="K23" s="7" t="n">
        <f aca="false">IF('Executive Summary'!$L$18=0,0,'Debt Financing'!$D$30/12-J23)</f>
        <v>0</v>
      </c>
      <c r="L23" s="7" t="n">
        <f aca="false">I23-K23</f>
        <v>0</v>
      </c>
    </row>
    <row r="24" customFormat="false" ht="13.5" hidden="false" customHeight="true" outlineLevel="0" collapsed="false">
      <c r="B24" s="6" t="n">
        <f aca="false">+B23+1</f>
        <v>20</v>
      </c>
      <c r="C24" s="7" t="n">
        <f aca="false">F23</f>
        <v>5200000</v>
      </c>
      <c r="D24" s="7" t="n">
        <f aca="false">'Debt Financing'!$D$3/12*C24</f>
        <v>21016.6666666667</v>
      </c>
      <c r="E24" s="7" t="n">
        <f aca="false">IF(B24&lt;='Debt Financing'!$D$4,0,'Debt Financing'!$D$7/12-D24)</f>
        <v>0</v>
      </c>
      <c r="F24" s="7" t="n">
        <f aca="false">C24-E24</f>
        <v>5200000</v>
      </c>
      <c r="H24" s="6" t="n">
        <f aca="false">+H23+1</f>
        <v>20</v>
      </c>
      <c r="I24" s="7" t="n">
        <f aca="false">L23</f>
        <v>0</v>
      </c>
      <c r="J24" s="7" t="n">
        <f aca="false">'Debt Financing'!$D$27/12*I24</f>
        <v>0</v>
      </c>
      <c r="K24" s="7" t="n">
        <f aca="false">IF('Executive Summary'!$L$18=0,0,'Debt Financing'!$D$30/12-J24)</f>
        <v>0</v>
      </c>
      <c r="L24" s="7" t="n">
        <f aca="false">I24-K24</f>
        <v>0</v>
      </c>
    </row>
    <row r="25" customFormat="false" ht="13.5" hidden="false" customHeight="true" outlineLevel="0" collapsed="false">
      <c r="B25" s="6" t="n">
        <f aca="false">+B24+1</f>
        <v>21</v>
      </c>
      <c r="C25" s="7" t="n">
        <f aca="false">F24</f>
        <v>5200000</v>
      </c>
      <c r="D25" s="7" t="n">
        <f aca="false">'Debt Financing'!$D$3/12*C25</f>
        <v>21016.6666666667</v>
      </c>
      <c r="E25" s="7" t="n">
        <f aca="false">IF(B25&lt;='Debt Financing'!$D$4,0,'Debt Financing'!$D$7/12-D25)</f>
        <v>0</v>
      </c>
      <c r="F25" s="7" t="n">
        <f aca="false">C25-E25</f>
        <v>5200000</v>
      </c>
      <c r="H25" s="6" t="n">
        <f aca="false">+H24+1</f>
        <v>21</v>
      </c>
      <c r="I25" s="7" t="n">
        <f aca="false">L24</f>
        <v>0</v>
      </c>
      <c r="J25" s="7" t="n">
        <f aca="false">'Debt Financing'!$D$27/12*I25</f>
        <v>0</v>
      </c>
      <c r="K25" s="7" t="n">
        <f aca="false">IF('Executive Summary'!$L$18=0,0,'Debt Financing'!$D$30/12-J25)</f>
        <v>0</v>
      </c>
      <c r="L25" s="7" t="n">
        <f aca="false">I25-K25</f>
        <v>0</v>
      </c>
    </row>
    <row r="26" customFormat="false" ht="13.5" hidden="false" customHeight="true" outlineLevel="0" collapsed="false">
      <c r="B26" s="6" t="n">
        <f aca="false">+B25+1</f>
        <v>22</v>
      </c>
      <c r="C26" s="7" t="n">
        <f aca="false">F25</f>
        <v>5200000</v>
      </c>
      <c r="D26" s="7" t="n">
        <f aca="false">'Debt Financing'!$D$3/12*C26</f>
        <v>21016.6666666667</v>
      </c>
      <c r="E26" s="7" t="n">
        <f aca="false">IF(B26&lt;='Debt Financing'!$D$4,0,'Debt Financing'!$D$7/12-D26)</f>
        <v>0</v>
      </c>
      <c r="F26" s="7" t="n">
        <f aca="false">C26-E26</f>
        <v>5200000</v>
      </c>
      <c r="H26" s="6" t="n">
        <f aca="false">+H25+1</f>
        <v>22</v>
      </c>
      <c r="I26" s="7" t="n">
        <f aca="false">L25</f>
        <v>0</v>
      </c>
      <c r="J26" s="7" t="n">
        <f aca="false">'Debt Financing'!$D$27/12*I26</f>
        <v>0</v>
      </c>
      <c r="K26" s="7" t="n">
        <f aca="false">IF('Executive Summary'!$L$18=0,0,'Debt Financing'!$D$30/12-J26)</f>
        <v>0</v>
      </c>
      <c r="L26" s="7" t="n">
        <f aca="false">I26-K26</f>
        <v>0</v>
      </c>
    </row>
    <row r="27" customFormat="false" ht="13.5" hidden="false" customHeight="true" outlineLevel="0" collapsed="false">
      <c r="B27" s="6" t="n">
        <f aca="false">+B26+1</f>
        <v>23</v>
      </c>
      <c r="C27" s="7" t="n">
        <f aca="false">F26</f>
        <v>5200000</v>
      </c>
      <c r="D27" s="7" t="n">
        <f aca="false">'Debt Financing'!$D$3/12*C27</f>
        <v>21016.6666666667</v>
      </c>
      <c r="E27" s="7" t="n">
        <f aca="false">IF(B27&lt;='Debt Financing'!$D$4,0,'Debt Financing'!$D$7/12-D27)</f>
        <v>0</v>
      </c>
      <c r="F27" s="7" t="n">
        <f aca="false">C27-E27</f>
        <v>5200000</v>
      </c>
      <c r="H27" s="6" t="n">
        <f aca="false">+H26+1</f>
        <v>23</v>
      </c>
      <c r="I27" s="7" t="n">
        <f aca="false">L26</f>
        <v>0</v>
      </c>
      <c r="J27" s="7" t="n">
        <f aca="false">'Debt Financing'!$D$27/12*I27</f>
        <v>0</v>
      </c>
      <c r="K27" s="7" t="n">
        <f aca="false">IF('Executive Summary'!$L$18=0,0,'Debt Financing'!$D$30/12-J27)</f>
        <v>0</v>
      </c>
      <c r="L27" s="7" t="n">
        <f aca="false">I27-K27</f>
        <v>0</v>
      </c>
    </row>
    <row r="28" customFormat="false" ht="13.5" hidden="false" customHeight="true" outlineLevel="0" collapsed="false">
      <c r="B28" s="8" t="n">
        <f aca="false">+B27+1</f>
        <v>24</v>
      </c>
      <c r="C28" s="9" t="n">
        <f aca="false">F27</f>
        <v>5200000</v>
      </c>
      <c r="D28" s="9" t="n">
        <f aca="false">'Debt Financing'!$D$3/12*C28</f>
        <v>21016.6666666667</v>
      </c>
      <c r="E28" s="9" t="n">
        <f aca="false">IF(B28&lt;='Debt Financing'!$D$4,0,'Debt Financing'!$D$7/12-D28)</f>
        <v>0</v>
      </c>
      <c r="F28" s="9" t="n">
        <f aca="false">C28-E28</f>
        <v>5200000</v>
      </c>
      <c r="H28" s="6" t="n">
        <f aca="false">+H27+1</f>
        <v>24</v>
      </c>
      <c r="I28" s="7" t="n">
        <f aca="false">L27</f>
        <v>0</v>
      </c>
      <c r="J28" s="7" t="n">
        <f aca="false">'Debt Financing'!$D$27/12*I28</f>
        <v>0</v>
      </c>
      <c r="K28" s="7" t="n">
        <f aca="false">IF('Executive Summary'!$L$18=0,0,'Debt Financing'!$D$30/12-J28)</f>
        <v>0</v>
      </c>
      <c r="L28" s="7" t="n">
        <f aca="false">I28-K28</f>
        <v>0</v>
      </c>
    </row>
    <row r="29" customFormat="false" ht="13.5" hidden="false" customHeight="true" outlineLevel="0" collapsed="false">
      <c r="B29" s="6" t="n">
        <f aca="false">+B28+1</f>
        <v>25</v>
      </c>
      <c r="C29" s="7" t="n">
        <f aca="false">F28</f>
        <v>5200000</v>
      </c>
      <c r="D29" s="7" t="n">
        <f aca="false">'Debt Financing'!$D$3/12*C29</f>
        <v>21016.6666666667</v>
      </c>
      <c r="E29" s="7" t="n">
        <f aca="false">IF(B29&lt;='Debt Financing'!$D$4,0,'Debt Financing'!$D$7/12-D29)</f>
        <v>0</v>
      </c>
      <c r="F29" s="7" t="n">
        <f aca="false">C29-E29</f>
        <v>5200000</v>
      </c>
      <c r="H29" s="6" t="n">
        <f aca="false">+H28+1</f>
        <v>25</v>
      </c>
      <c r="I29" s="7" t="n">
        <f aca="false">L28</f>
        <v>0</v>
      </c>
      <c r="J29" s="7" t="n">
        <f aca="false">'Debt Financing'!$D$27/12*I29</f>
        <v>0</v>
      </c>
      <c r="K29" s="7" t="n">
        <f aca="false">IF('Executive Summary'!$L$18=0,0,'Debt Financing'!$D$30/12-J29)</f>
        <v>0</v>
      </c>
      <c r="L29" s="7" t="n">
        <f aca="false">I29-K29</f>
        <v>0</v>
      </c>
    </row>
    <row r="30" customFormat="false" ht="13.5" hidden="false" customHeight="true" outlineLevel="0" collapsed="false">
      <c r="B30" s="6" t="n">
        <f aca="false">+B29+1</f>
        <v>26</v>
      </c>
      <c r="C30" s="7" t="n">
        <f aca="false">F29</f>
        <v>5200000</v>
      </c>
      <c r="D30" s="7" t="n">
        <f aca="false">'Debt Financing'!$D$3/12*C30</f>
        <v>21016.6666666667</v>
      </c>
      <c r="E30" s="7" t="n">
        <f aca="false">IF(B30&lt;='Debt Financing'!$D$4,0,'Debt Financing'!$D$7/12-D30)</f>
        <v>0</v>
      </c>
      <c r="F30" s="7" t="n">
        <f aca="false">C30-E30</f>
        <v>5200000</v>
      </c>
      <c r="H30" s="6" t="n">
        <f aca="false">+H29+1</f>
        <v>26</v>
      </c>
      <c r="I30" s="7" t="n">
        <f aca="false">L29</f>
        <v>0</v>
      </c>
      <c r="J30" s="7" t="n">
        <f aca="false">'Debt Financing'!$D$27/12*I30</f>
        <v>0</v>
      </c>
      <c r="K30" s="7" t="n">
        <f aca="false">IF('Executive Summary'!$L$18=0,0,'Debt Financing'!$D$30/12-J30)</f>
        <v>0</v>
      </c>
      <c r="L30" s="7" t="n">
        <f aca="false">I30-K30</f>
        <v>0</v>
      </c>
    </row>
    <row r="31" customFormat="false" ht="13.5" hidden="false" customHeight="true" outlineLevel="0" collapsed="false">
      <c r="B31" s="6" t="n">
        <f aca="false">+B30+1</f>
        <v>27</v>
      </c>
      <c r="C31" s="7" t="n">
        <f aca="false">F30</f>
        <v>5200000</v>
      </c>
      <c r="D31" s="7" t="n">
        <f aca="false">'Debt Financing'!$D$3/12*C31</f>
        <v>21016.6666666667</v>
      </c>
      <c r="E31" s="7" t="n">
        <f aca="false">IF(B31&lt;='Debt Financing'!$D$4,0,'Debt Financing'!$D$7/12-D31)</f>
        <v>0</v>
      </c>
      <c r="F31" s="7" t="n">
        <f aca="false">C31-E31</f>
        <v>5200000</v>
      </c>
      <c r="H31" s="6" t="n">
        <f aca="false">+H30+1</f>
        <v>27</v>
      </c>
      <c r="I31" s="7" t="n">
        <f aca="false">L30</f>
        <v>0</v>
      </c>
      <c r="J31" s="7" t="n">
        <f aca="false">'Debt Financing'!$D$27/12*I31</f>
        <v>0</v>
      </c>
      <c r="K31" s="7" t="n">
        <f aca="false">IF('Executive Summary'!$L$18=0,0,'Debt Financing'!$D$30/12-J31)</f>
        <v>0</v>
      </c>
      <c r="L31" s="7" t="n">
        <f aca="false">I31-K31</f>
        <v>0</v>
      </c>
    </row>
    <row r="32" customFormat="false" ht="13.5" hidden="false" customHeight="true" outlineLevel="0" collapsed="false">
      <c r="B32" s="6" t="n">
        <f aca="false">+B31+1</f>
        <v>28</v>
      </c>
      <c r="C32" s="7" t="n">
        <f aca="false">F31</f>
        <v>5200000</v>
      </c>
      <c r="D32" s="7" t="n">
        <f aca="false">'Debt Financing'!$D$3/12*C32</f>
        <v>21016.6666666667</v>
      </c>
      <c r="E32" s="7" t="n">
        <f aca="false">IF(B32&lt;='Debt Financing'!$D$4,0,'Debt Financing'!$D$7/12-D32)</f>
        <v>0</v>
      </c>
      <c r="F32" s="7" t="n">
        <f aca="false">C32-E32</f>
        <v>5200000</v>
      </c>
      <c r="H32" s="6" t="n">
        <f aca="false">+H31+1</f>
        <v>28</v>
      </c>
      <c r="I32" s="7" t="n">
        <f aca="false">L31</f>
        <v>0</v>
      </c>
      <c r="J32" s="7" t="n">
        <f aca="false">'Debt Financing'!$D$27/12*I32</f>
        <v>0</v>
      </c>
      <c r="K32" s="7" t="n">
        <f aca="false">IF('Executive Summary'!$L$18=0,0,'Debt Financing'!$D$30/12-J32)</f>
        <v>0</v>
      </c>
      <c r="L32" s="7" t="n">
        <f aca="false">I32-K32</f>
        <v>0</v>
      </c>
    </row>
    <row r="33" customFormat="false" ht="13.5" hidden="false" customHeight="true" outlineLevel="0" collapsed="false">
      <c r="B33" s="6" t="n">
        <f aca="false">+B32+1</f>
        <v>29</v>
      </c>
      <c r="C33" s="7" t="n">
        <f aca="false">F32</f>
        <v>5200000</v>
      </c>
      <c r="D33" s="7" t="n">
        <f aca="false">'Debt Financing'!$D$3/12*C33</f>
        <v>21016.6666666667</v>
      </c>
      <c r="E33" s="7" t="n">
        <f aca="false">IF(B33&lt;='Debt Financing'!$D$4,0,'Debt Financing'!$D$7/12-D33)</f>
        <v>0</v>
      </c>
      <c r="F33" s="7" t="n">
        <f aca="false">C33-E33</f>
        <v>5200000</v>
      </c>
      <c r="H33" s="6" t="n">
        <f aca="false">+H32+1</f>
        <v>29</v>
      </c>
      <c r="I33" s="7" t="n">
        <f aca="false">L32</f>
        <v>0</v>
      </c>
      <c r="J33" s="7" t="n">
        <f aca="false">'Debt Financing'!$D$27/12*I33</f>
        <v>0</v>
      </c>
      <c r="K33" s="7" t="n">
        <f aca="false">IF('Executive Summary'!$L$18=0,0,'Debt Financing'!$D$30/12-J33)</f>
        <v>0</v>
      </c>
      <c r="L33" s="7" t="n">
        <f aca="false">I33-K33</f>
        <v>0</v>
      </c>
    </row>
    <row r="34" customFormat="false" ht="13.5" hidden="false" customHeight="true" outlineLevel="0" collapsed="false">
      <c r="B34" s="6" t="n">
        <f aca="false">+B33+1</f>
        <v>30</v>
      </c>
      <c r="C34" s="7" t="n">
        <f aca="false">F33</f>
        <v>5200000</v>
      </c>
      <c r="D34" s="7" t="n">
        <f aca="false">'Debt Financing'!$D$3/12*C34</f>
        <v>21016.6666666667</v>
      </c>
      <c r="E34" s="7" t="n">
        <f aca="false">IF(B34&lt;='Debt Financing'!$D$4,0,'Debt Financing'!$D$7/12-D34)</f>
        <v>0</v>
      </c>
      <c r="F34" s="7" t="n">
        <f aca="false">C34-E34</f>
        <v>5200000</v>
      </c>
      <c r="H34" s="6" t="n">
        <f aca="false">+H33+1</f>
        <v>30</v>
      </c>
      <c r="I34" s="7" t="n">
        <f aca="false">L33</f>
        <v>0</v>
      </c>
      <c r="J34" s="7" t="n">
        <f aca="false">'Debt Financing'!$D$27/12*I34</f>
        <v>0</v>
      </c>
      <c r="K34" s="7" t="n">
        <f aca="false">IF('Executive Summary'!$L$18=0,0,'Debt Financing'!$D$30/12-J34)</f>
        <v>0</v>
      </c>
      <c r="L34" s="7" t="n">
        <f aca="false">I34-K34</f>
        <v>0</v>
      </c>
    </row>
    <row r="35" customFormat="false" ht="13.5" hidden="false" customHeight="true" outlineLevel="0" collapsed="false">
      <c r="B35" s="6" t="n">
        <f aca="false">+B34+1</f>
        <v>31</v>
      </c>
      <c r="C35" s="7" t="n">
        <f aca="false">F34</f>
        <v>5200000</v>
      </c>
      <c r="D35" s="7" t="n">
        <f aca="false">'Debt Financing'!$D$3/12*C35</f>
        <v>21016.6666666667</v>
      </c>
      <c r="E35" s="7" t="n">
        <f aca="false">IF(B35&lt;='Debt Financing'!$D$4,0,'Debt Financing'!$D$7/12-D35)</f>
        <v>0</v>
      </c>
      <c r="F35" s="7" t="n">
        <f aca="false">C35-E35</f>
        <v>5200000</v>
      </c>
      <c r="H35" s="6" t="n">
        <f aca="false">+H34+1</f>
        <v>31</v>
      </c>
      <c r="I35" s="7" t="n">
        <f aca="false">L34</f>
        <v>0</v>
      </c>
      <c r="J35" s="7" t="n">
        <f aca="false">'Debt Financing'!$D$27/12*I35</f>
        <v>0</v>
      </c>
      <c r="K35" s="7" t="n">
        <f aca="false">IF('Executive Summary'!$L$18=0,0,'Debt Financing'!$D$30/12-J35)</f>
        <v>0</v>
      </c>
      <c r="L35" s="7" t="n">
        <f aca="false">I35-K35</f>
        <v>0</v>
      </c>
    </row>
    <row r="36" customFormat="false" ht="13.5" hidden="false" customHeight="true" outlineLevel="0" collapsed="false">
      <c r="B36" s="6" t="n">
        <f aca="false">+B35+1</f>
        <v>32</v>
      </c>
      <c r="C36" s="7" t="n">
        <f aca="false">F35</f>
        <v>5200000</v>
      </c>
      <c r="D36" s="7" t="n">
        <f aca="false">'Debt Financing'!$D$3/12*C36</f>
        <v>21016.6666666667</v>
      </c>
      <c r="E36" s="7" t="n">
        <f aca="false">IF(B36&lt;='Debt Financing'!$D$4,0,'Debt Financing'!$D$7/12-D36)</f>
        <v>0</v>
      </c>
      <c r="F36" s="7" t="n">
        <f aca="false">C36-E36</f>
        <v>5200000</v>
      </c>
      <c r="H36" s="6" t="n">
        <f aca="false">+H35+1</f>
        <v>32</v>
      </c>
      <c r="I36" s="7" t="n">
        <f aca="false">L35</f>
        <v>0</v>
      </c>
      <c r="J36" s="7" t="n">
        <f aca="false">'Debt Financing'!$D$27/12*I36</f>
        <v>0</v>
      </c>
      <c r="K36" s="7" t="n">
        <f aca="false">IF('Executive Summary'!$L$18=0,0,'Debt Financing'!$D$30/12-J36)</f>
        <v>0</v>
      </c>
      <c r="L36" s="7" t="n">
        <f aca="false">I36-K36</f>
        <v>0</v>
      </c>
    </row>
    <row r="37" customFormat="false" ht="13.5" hidden="false" customHeight="true" outlineLevel="0" collapsed="false">
      <c r="B37" s="6" t="n">
        <f aca="false">+B36+1</f>
        <v>33</v>
      </c>
      <c r="C37" s="7" t="n">
        <f aca="false">F36</f>
        <v>5200000</v>
      </c>
      <c r="D37" s="7" t="n">
        <f aca="false">'Debt Financing'!$D$3/12*C37</f>
        <v>21016.6666666667</v>
      </c>
      <c r="E37" s="7" t="n">
        <f aca="false">IF(B37&lt;='Debt Financing'!$D$4,0,'Debt Financing'!$D$7/12-D37)</f>
        <v>0</v>
      </c>
      <c r="F37" s="7" t="n">
        <f aca="false">C37-E37</f>
        <v>5200000</v>
      </c>
      <c r="H37" s="6" t="n">
        <f aca="false">+H36+1</f>
        <v>33</v>
      </c>
      <c r="I37" s="7" t="n">
        <f aca="false">L36</f>
        <v>0</v>
      </c>
      <c r="J37" s="7" t="n">
        <f aca="false">'Debt Financing'!$D$27/12*I37</f>
        <v>0</v>
      </c>
      <c r="K37" s="7" t="n">
        <f aca="false">IF('Executive Summary'!$L$18=0,0,'Debt Financing'!$D$30/12-J37)</f>
        <v>0</v>
      </c>
      <c r="L37" s="7" t="n">
        <f aca="false">I37-K37</f>
        <v>0</v>
      </c>
    </row>
    <row r="38" customFormat="false" ht="13.5" hidden="false" customHeight="true" outlineLevel="0" collapsed="false">
      <c r="B38" s="6" t="n">
        <f aca="false">+B37+1</f>
        <v>34</v>
      </c>
      <c r="C38" s="7" t="n">
        <f aca="false">F37</f>
        <v>5200000</v>
      </c>
      <c r="D38" s="7" t="n">
        <f aca="false">'Debt Financing'!$D$3/12*C38</f>
        <v>21016.6666666667</v>
      </c>
      <c r="E38" s="7" t="n">
        <f aca="false">IF(B38&lt;='Debt Financing'!$D$4,0,'Debt Financing'!$D$7/12-D38)</f>
        <v>0</v>
      </c>
      <c r="F38" s="7" t="n">
        <f aca="false">C38-E38</f>
        <v>5200000</v>
      </c>
      <c r="H38" s="6" t="n">
        <f aca="false">+H37+1</f>
        <v>34</v>
      </c>
      <c r="I38" s="7" t="n">
        <f aca="false">L37</f>
        <v>0</v>
      </c>
      <c r="J38" s="7" t="n">
        <f aca="false">'Debt Financing'!$D$27/12*I38</f>
        <v>0</v>
      </c>
      <c r="K38" s="7" t="n">
        <f aca="false">IF('Executive Summary'!$L$18=0,0,'Debt Financing'!$D$30/12-J38)</f>
        <v>0</v>
      </c>
      <c r="L38" s="7" t="n">
        <f aca="false">I38-K38</f>
        <v>0</v>
      </c>
    </row>
    <row r="39" customFormat="false" ht="13.5" hidden="false" customHeight="true" outlineLevel="0" collapsed="false">
      <c r="B39" s="6" t="n">
        <f aca="false">+B38+1</f>
        <v>35</v>
      </c>
      <c r="C39" s="7" t="n">
        <f aca="false">F38</f>
        <v>5200000</v>
      </c>
      <c r="D39" s="7" t="n">
        <f aca="false">'Debt Financing'!$D$3/12*C39</f>
        <v>21016.6666666667</v>
      </c>
      <c r="E39" s="7" t="n">
        <f aca="false">IF(B39&lt;='Debt Financing'!$D$4,0,'Debt Financing'!$D$7/12-D39)</f>
        <v>0</v>
      </c>
      <c r="F39" s="7" t="n">
        <f aca="false">C39-E39</f>
        <v>5200000</v>
      </c>
      <c r="H39" s="6" t="n">
        <f aca="false">+H38+1</f>
        <v>35</v>
      </c>
      <c r="I39" s="7" t="n">
        <f aca="false">L38</f>
        <v>0</v>
      </c>
      <c r="J39" s="7" t="n">
        <f aca="false">'Debt Financing'!$D$27/12*I39</f>
        <v>0</v>
      </c>
      <c r="K39" s="7" t="n">
        <f aca="false">IF('Executive Summary'!$L$18=0,0,'Debt Financing'!$D$30/12-J39)</f>
        <v>0</v>
      </c>
      <c r="L39" s="7" t="n">
        <f aca="false">I39-K39</f>
        <v>0</v>
      </c>
    </row>
    <row r="40" customFormat="false" ht="13.5" hidden="false" customHeight="true" outlineLevel="0" collapsed="false">
      <c r="B40" s="6" t="n">
        <f aca="false">+B39+1</f>
        <v>36</v>
      </c>
      <c r="C40" s="7" t="n">
        <f aca="false">F39</f>
        <v>5200000</v>
      </c>
      <c r="D40" s="7" t="n">
        <f aca="false">'Debt Financing'!$D$3/12*C40</f>
        <v>21016.6666666667</v>
      </c>
      <c r="E40" s="7" t="n">
        <f aca="false">IF(B40&lt;='Debt Financing'!$D$4,0,'Debt Financing'!$D$7/12-D40)</f>
        <v>0</v>
      </c>
      <c r="F40" s="7" t="n">
        <f aca="false">C40-E40</f>
        <v>5200000</v>
      </c>
      <c r="H40" s="6" t="n">
        <f aca="false">+H39+1</f>
        <v>36</v>
      </c>
      <c r="I40" s="7" t="n">
        <f aca="false">L39</f>
        <v>0</v>
      </c>
      <c r="J40" s="7" t="n">
        <f aca="false">'Debt Financing'!$D$27/12*I40</f>
        <v>0</v>
      </c>
      <c r="K40" s="7" t="n">
        <f aca="false">IF('Executive Summary'!$L$18=0,0,'Debt Financing'!$D$30/12-J40)</f>
        <v>0</v>
      </c>
      <c r="L40" s="7" t="n">
        <f aca="false">I40-K40</f>
        <v>0</v>
      </c>
    </row>
    <row r="41" customFormat="false" ht="13.5" hidden="false" customHeight="true" outlineLevel="0" collapsed="false">
      <c r="B41" s="6" t="n">
        <f aca="false">+B40+1</f>
        <v>37</v>
      </c>
      <c r="C41" s="7" t="n">
        <f aca="false">F40</f>
        <v>5200000</v>
      </c>
      <c r="D41" s="7" t="n">
        <f aca="false">'Debt Financing'!$D$3/12*C41</f>
        <v>21016.6666666667</v>
      </c>
      <c r="E41" s="7" t="n">
        <f aca="false">IF(B41&lt;='Debt Financing'!$D$4,0,'Debt Financing'!$D$7/12-D41)</f>
        <v>7303.08065034358</v>
      </c>
      <c r="F41" s="7" t="n">
        <f aca="false">C41-E41</f>
        <v>5192696.91934966</v>
      </c>
      <c r="H41" s="6" t="n">
        <f aca="false">+H40+1</f>
        <v>37</v>
      </c>
      <c r="I41" s="7" t="n">
        <f aca="false">L40</f>
        <v>0</v>
      </c>
      <c r="J41" s="7" t="n">
        <f aca="false">'Debt Financing'!$D$27/12*I41</f>
        <v>0</v>
      </c>
      <c r="K41" s="7" t="n">
        <f aca="false">IF('Executive Summary'!$L$18=0,0,'Debt Financing'!$D$30/12-J41)</f>
        <v>0</v>
      </c>
      <c r="L41" s="7" t="n">
        <f aca="false">I41-K41</f>
        <v>0</v>
      </c>
    </row>
    <row r="42" customFormat="false" ht="13.5" hidden="false" customHeight="true" outlineLevel="0" collapsed="false">
      <c r="B42" s="6" t="n">
        <f aca="false">+B41+1</f>
        <v>38</v>
      </c>
      <c r="C42" s="7" t="n">
        <f aca="false">F41</f>
        <v>5192696.91934966</v>
      </c>
      <c r="D42" s="7" t="n">
        <f aca="false">'Debt Financing'!$D$3/12*C42</f>
        <v>20987.1500490382</v>
      </c>
      <c r="E42" s="7" t="n">
        <f aca="false">IF(B42&lt;='Debt Financing'!$D$4,0,'Debt Financing'!$D$7/12-D42)</f>
        <v>7332.59726797205</v>
      </c>
      <c r="F42" s="7" t="n">
        <f aca="false">C42-E42</f>
        <v>5185364.32208168</v>
      </c>
      <c r="H42" s="6" t="n">
        <f aca="false">+H41+1</f>
        <v>38</v>
      </c>
      <c r="I42" s="7" t="n">
        <f aca="false">L41</f>
        <v>0</v>
      </c>
      <c r="J42" s="7" t="n">
        <f aca="false">'Debt Financing'!$D$27/12*I42</f>
        <v>0</v>
      </c>
      <c r="K42" s="7" t="n">
        <f aca="false">IF('Executive Summary'!$L$18=0,0,'Debt Financing'!$D$30/12-J42)</f>
        <v>0</v>
      </c>
      <c r="L42" s="7" t="n">
        <f aca="false">I42-K42</f>
        <v>0</v>
      </c>
    </row>
    <row r="43" customFormat="false" ht="13.5" hidden="false" customHeight="true" outlineLevel="0" collapsed="false">
      <c r="B43" s="6" t="n">
        <f aca="false">+B42+1</f>
        <v>39</v>
      </c>
      <c r="C43" s="7" t="n">
        <f aca="false">F42</f>
        <v>5185364.32208168</v>
      </c>
      <c r="D43" s="7" t="n">
        <f aca="false">'Debt Financing'!$D$3/12*C43</f>
        <v>20957.5141350801</v>
      </c>
      <c r="E43" s="7" t="n">
        <f aca="false">IF(B43&lt;='Debt Financing'!$D$4,0,'Debt Financing'!$D$7/12-D43)</f>
        <v>7362.23318193011</v>
      </c>
      <c r="F43" s="7" t="n">
        <f aca="false">C43-E43</f>
        <v>5178002.08889975</v>
      </c>
      <c r="H43" s="6" t="n">
        <f aca="false">+H42+1</f>
        <v>39</v>
      </c>
      <c r="I43" s="7" t="n">
        <f aca="false">L42</f>
        <v>0</v>
      </c>
      <c r="J43" s="7" t="n">
        <f aca="false">'Debt Financing'!$D$27/12*I43</f>
        <v>0</v>
      </c>
      <c r="K43" s="7" t="n">
        <f aca="false">IF('Executive Summary'!$L$18=0,0,'Debt Financing'!$D$30/12-J43)</f>
        <v>0</v>
      </c>
      <c r="L43" s="7" t="n">
        <f aca="false">I43-K43</f>
        <v>0</v>
      </c>
    </row>
    <row r="44" customFormat="false" ht="13.5" hidden="false" customHeight="true" outlineLevel="0" collapsed="false">
      <c r="B44" s="6" t="n">
        <f aca="false">+B43+1</f>
        <v>40</v>
      </c>
      <c r="C44" s="7" t="n">
        <f aca="false">F43</f>
        <v>5178002.08889975</v>
      </c>
      <c r="D44" s="7" t="n">
        <f aca="false">'Debt Financing'!$D$3/12*C44</f>
        <v>20927.7584426365</v>
      </c>
      <c r="E44" s="7" t="n">
        <f aca="false">IF(B44&lt;='Debt Financing'!$D$4,0,'Debt Financing'!$D$7/12-D44)</f>
        <v>7391.98887437374</v>
      </c>
      <c r="F44" s="7" t="n">
        <f aca="false">C44-E44</f>
        <v>5170610.10002538</v>
      </c>
      <c r="H44" s="6" t="n">
        <f aca="false">+H43+1</f>
        <v>40</v>
      </c>
      <c r="I44" s="7" t="n">
        <f aca="false">L43</f>
        <v>0</v>
      </c>
      <c r="J44" s="7" t="n">
        <f aca="false">'Debt Financing'!$D$27/12*I44</f>
        <v>0</v>
      </c>
      <c r="K44" s="7" t="n">
        <f aca="false">IF('Executive Summary'!$L$18=0,0,'Debt Financing'!$D$30/12-J44)</f>
        <v>0</v>
      </c>
      <c r="L44" s="7" t="n">
        <f aca="false">I44-K44</f>
        <v>0</v>
      </c>
    </row>
    <row r="45" customFormat="false" ht="13.5" hidden="false" customHeight="true" outlineLevel="0" collapsed="false">
      <c r="B45" s="6" t="n">
        <f aca="false">+B44+1</f>
        <v>41</v>
      </c>
      <c r="C45" s="7" t="n">
        <f aca="false">F44</f>
        <v>5170610.10002538</v>
      </c>
      <c r="D45" s="7" t="n">
        <f aca="false">'Debt Financing'!$D$3/12*C45</f>
        <v>20897.8824876026</v>
      </c>
      <c r="E45" s="7" t="n">
        <f aca="false">IF(B45&lt;='Debt Financing'!$D$4,0,'Debt Financing'!$D$7/12-D45)</f>
        <v>7421.86482940767</v>
      </c>
      <c r="F45" s="7" t="n">
        <f aca="false">C45-E45</f>
        <v>5163188.23519597</v>
      </c>
      <c r="H45" s="6" t="n">
        <f aca="false">+H44+1</f>
        <v>41</v>
      </c>
      <c r="I45" s="7" t="n">
        <f aca="false">L44</f>
        <v>0</v>
      </c>
      <c r="J45" s="7" t="n">
        <f aca="false">'Debt Financing'!$D$27/12*I45</f>
        <v>0</v>
      </c>
      <c r="K45" s="7" t="n">
        <f aca="false">IF('Executive Summary'!$L$18=0,0,'Debt Financing'!$D$30/12-J45)</f>
        <v>0</v>
      </c>
      <c r="L45" s="7" t="n">
        <f aca="false">I45-K45</f>
        <v>0</v>
      </c>
    </row>
    <row r="46" customFormat="false" ht="13.5" hidden="false" customHeight="true" outlineLevel="0" collapsed="false">
      <c r="B46" s="6" t="n">
        <f aca="false">+B45+1</f>
        <v>42</v>
      </c>
      <c r="C46" s="7" t="n">
        <f aca="false">F45</f>
        <v>5163188.23519597</v>
      </c>
      <c r="D46" s="7" t="n">
        <f aca="false">'Debt Financing'!$D$3/12*C46</f>
        <v>20867.8857839171</v>
      </c>
      <c r="E46" s="7" t="n">
        <f aca="false">IF(B46&lt;='Debt Financing'!$D$4,0,'Debt Financing'!$D$7/12-D46)</f>
        <v>7451.86153309319</v>
      </c>
      <c r="F46" s="7" t="n">
        <f aca="false">C46-E46</f>
        <v>5155736.37366288</v>
      </c>
      <c r="H46" s="6" t="n">
        <f aca="false">+H45+1</f>
        <v>42</v>
      </c>
      <c r="I46" s="7" t="n">
        <f aca="false">L45</f>
        <v>0</v>
      </c>
      <c r="J46" s="7" t="n">
        <f aca="false">'Debt Financing'!$D$27/12*I46</f>
        <v>0</v>
      </c>
      <c r="K46" s="7" t="n">
        <f aca="false">IF('Executive Summary'!$L$18=0,0,'Debt Financing'!$D$30/12-J46)</f>
        <v>0</v>
      </c>
      <c r="L46" s="7" t="n">
        <f aca="false">I46-K46</f>
        <v>0</v>
      </c>
    </row>
    <row r="47" customFormat="false" ht="13.5" hidden="false" customHeight="true" outlineLevel="0" collapsed="false">
      <c r="B47" s="6" t="n">
        <f aca="false">+B46+1</f>
        <v>43</v>
      </c>
      <c r="C47" s="7" t="n">
        <f aca="false">F46</f>
        <v>5155736.37366288</v>
      </c>
      <c r="D47" s="7" t="n">
        <f aca="false">'Debt Financing'!$D$3/12*C47</f>
        <v>20837.7678435541</v>
      </c>
      <c r="E47" s="7" t="n">
        <f aca="false">IF(B47&lt;='Debt Financing'!$D$4,0,'Debt Financing'!$D$7/12-D47)</f>
        <v>7481.97947345611</v>
      </c>
      <c r="F47" s="7" t="n">
        <f aca="false">C47-E47</f>
        <v>5148254.39418942</v>
      </c>
      <c r="H47" s="6" t="n">
        <f aca="false">+H46+1</f>
        <v>43</v>
      </c>
      <c r="I47" s="7" t="n">
        <f aca="false">L46</f>
        <v>0</v>
      </c>
      <c r="J47" s="7" t="n">
        <f aca="false">'Debt Financing'!$D$27/12*I47</f>
        <v>0</v>
      </c>
      <c r="K47" s="7" t="n">
        <f aca="false">IF('Executive Summary'!$L$18=0,0,'Debt Financing'!$D$30/12-J47)</f>
        <v>0</v>
      </c>
      <c r="L47" s="7" t="n">
        <f aca="false">I47-K47</f>
        <v>0</v>
      </c>
    </row>
    <row r="48" customFormat="false" ht="13.5" hidden="false" customHeight="true" outlineLevel="0" collapsed="false">
      <c r="B48" s="6" t="n">
        <f aca="false">+B47+1</f>
        <v>44</v>
      </c>
      <c r="C48" s="7" t="n">
        <f aca="false">F47</f>
        <v>5148254.39418942</v>
      </c>
      <c r="D48" s="7" t="n">
        <f aca="false">'Debt Financing'!$D$3/12*C48</f>
        <v>20807.5281765156</v>
      </c>
      <c r="E48" s="7" t="n">
        <f aca="false">IF(B48&lt;='Debt Financing'!$D$4,0,'Debt Financing'!$D$7/12-D48)</f>
        <v>7512.21914049466</v>
      </c>
      <c r="F48" s="7" t="n">
        <f aca="false">C48-E48</f>
        <v>5140742.17504893</v>
      </c>
      <c r="H48" s="6" t="n">
        <f aca="false">+H47+1</f>
        <v>44</v>
      </c>
      <c r="I48" s="7" t="n">
        <f aca="false">L47</f>
        <v>0</v>
      </c>
      <c r="J48" s="7" t="n">
        <f aca="false">'Debt Financing'!$D$27/12*I48</f>
        <v>0</v>
      </c>
      <c r="K48" s="7" t="n">
        <f aca="false">IF('Executive Summary'!$L$18=0,0,'Debt Financing'!$D$30/12-J48)</f>
        <v>0</v>
      </c>
      <c r="L48" s="7" t="n">
        <f aca="false">I48-K48</f>
        <v>0</v>
      </c>
    </row>
    <row r="49" customFormat="false" ht="13.5" hidden="false" customHeight="true" outlineLevel="0" collapsed="false">
      <c r="B49" s="6" t="n">
        <f aca="false">+B48+1</f>
        <v>45</v>
      </c>
      <c r="C49" s="7" t="n">
        <f aca="false">F48</f>
        <v>5140742.17504893</v>
      </c>
      <c r="D49" s="7" t="n">
        <f aca="false">'Debt Financing'!$D$3/12*C49</f>
        <v>20777.1662908228</v>
      </c>
      <c r="E49" s="7" t="n">
        <f aca="false">IF(B49&lt;='Debt Financing'!$D$4,0,'Debt Financing'!$D$7/12-D49)</f>
        <v>7542.58102618749</v>
      </c>
      <c r="F49" s="7" t="n">
        <f aca="false">C49-E49</f>
        <v>5133199.59402274</v>
      </c>
      <c r="H49" s="6" t="n">
        <f aca="false">+H48+1</f>
        <v>45</v>
      </c>
      <c r="I49" s="7" t="n">
        <f aca="false">L48</f>
        <v>0</v>
      </c>
      <c r="J49" s="7" t="n">
        <f aca="false">'Debt Financing'!$D$27/12*I49</f>
        <v>0</v>
      </c>
      <c r="K49" s="7" t="n">
        <f aca="false">IF('Executive Summary'!$L$18=0,0,'Debt Financing'!$D$30/12-J49)</f>
        <v>0</v>
      </c>
      <c r="L49" s="7" t="n">
        <f aca="false">I49-K49</f>
        <v>0</v>
      </c>
    </row>
    <row r="50" customFormat="false" ht="13.5" hidden="false" customHeight="true" outlineLevel="0" collapsed="false">
      <c r="B50" s="6" t="n">
        <f aca="false">+B49+1</f>
        <v>46</v>
      </c>
      <c r="C50" s="7" t="n">
        <f aca="false">F49</f>
        <v>5133199.59402274</v>
      </c>
      <c r="D50" s="7" t="n">
        <f aca="false">'Debt Financing'!$D$3/12*C50</f>
        <v>20746.6816925086</v>
      </c>
      <c r="E50" s="7" t="n">
        <f aca="false">IF(B50&lt;='Debt Financing'!$D$4,0,'Debt Financing'!$D$7/12-D50)</f>
        <v>7573.06562450167</v>
      </c>
      <c r="F50" s="7" t="n">
        <f aca="false">C50-E50</f>
        <v>5125626.52839824</v>
      </c>
      <c r="H50" s="6" t="n">
        <f aca="false">+H49+1</f>
        <v>46</v>
      </c>
      <c r="I50" s="7" t="n">
        <f aca="false">L49</f>
        <v>0</v>
      </c>
      <c r="J50" s="7" t="n">
        <f aca="false">'Debt Financing'!$D$27/12*I50</f>
        <v>0</v>
      </c>
      <c r="K50" s="7" t="n">
        <f aca="false">IF('Executive Summary'!$L$18=0,0,'Debt Financing'!$D$30/12-J50)</f>
        <v>0</v>
      </c>
      <c r="L50" s="7" t="n">
        <f aca="false">I50-K50</f>
        <v>0</v>
      </c>
    </row>
    <row r="51" customFormat="false" ht="13.5" hidden="false" customHeight="true" outlineLevel="0" collapsed="false">
      <c r="B51" s="6" t="n">
        <f aca="false">+B50+1</f>
        <v>47</v>
      </c>
      <c r="C51" s="7" t="n">
        <f aca="false">F50</f>
        <v>5125626.52839824</v>
      </c>
      <c r="D51" s="7" t="n">
        <f aca="false">'Debt Financing'!$D$3/12*C51</f>
        <v>20716.0738856096</v>
      </c>
      <c r="E51" s="7" t="n">
        <f aca="false">IF(B51&lt;='Debt Financing'!$D$4,0,'Debt Financing'!$D$7/12-D51)</f>
        <v>7603.67343140069</v>
      </c>
      <c r="F51" s="7" t="n">
        <f aca="false">C51-E51</f>
        <v>5118022.85496684</v>
      </c>
      <c r="H51" s="6" t="n">
        <f aca="false">+H50+1</f>
        <v>47</v>
      </c>
      <c r="I51" s="7" t="n">
        <f aca="false">L50</f>
        <v>0</v>
      </c>
      <c r="J51" s="7" t="n">
        <f aca="false">'Debt Financing'!$D$27/12*I51</f>
        <v>0</v>
      </c>
      <c r="K51" s="7" t="n">
        <f aca="false">IF('Executive Summary'!$L$18=0,0,'Debt Financing'!$D$30/12-J51)</f>
        <v>0</v>
      </c>
      <c r="L51" s="7" t="n">
        <f aca="false">I51-K51</f>
        <v>0</v>
      </c>
    </row>
    <row r="52" customFormat="false" ht="13.5" hidden="false" customHeight="true" outlineLevel="0" collapsed="false">
      <c r="B52" s="6" t="n">
        <f aca="false">+B51+1</f>
        <v>48</v>
      </c>
      <c r="C52" s="7" t="n">
        <f aca="false">F51</f>
        <v>5118022.85496684</v>
      </c>
      <c r="D52" s="7" t="n">
        <f aca="false">'Debt Financing'!$D$3/12*C52</f>
        <v>20685.3423721576</v>
      </c>
      <c r="E52" s="7" t="n">
        <f aca="false">IF(B52&lt;='Debt Financing'!$D$4,0,'Debt Financing'!$D$7/12-D52)</f>
        <v>7634.40494485261</v>
      </c>
      <c r="F52" s="7" t="n">
        <f aca="false">C52-E52</f>
        <v>5110388.45002199</v>
      </c>
      <c r="H52" s="6" t="n">
        <f aca="false">+H51+1</f>
        <v>48</v>
      </c>
      <c r="I52" s="7" t="n">
        <f aca="false">L51</f>
        <v>0</v>
      </c>
      <c r="J52" s="7" t="n">
        <f aca="false">'Debt Financing'!$D$27/12*I52</f>
        <v>0</v>
      </c>
      <c r="K52" s="7" t="n">
        <f aca="false">IF('Executive Summary'!$L$18=0,0,'Debt Financing'!$D$30/12-J52)</f>
        <v>0</v>
      </c>
      <c r="L52" s="7" t="n">
        <f aca="false">I52-K52</f>
        <v>0</v>
      </c>
    </row>
    <row r="53" customFormat="false" ht="13.5" hidden="false" customHeight="true" outlineLevel="0" collapsed="false">
      <c r="B53" s="6" t="n">
        <f aca="false">+B52+1</f>
        <v>49</v>
      </c>
      <c r="C53" s="7" t="n">
        <f aca="false">F52</f>
        <v>5110388.45002199</v>
      </c>
      <c r="D53" s="7" t="n">
        <f aca="false">'Debt Financing'!$D$3/12*C53</f>
        <v>20654.4866521722</v>
      </c>
      <c r="E53" s="7" t="n">
        <f aca="false">IF(B53&lt;='Debt Financing'!$D$4,0,'Debt Financing'!$D$7/12-D53)</f>
        <v>7665.26066483805</v>
      </c>
      <c r="F53" s="7" t="n">
        <f aca="false">C53-E53</f>
        <v>5102723.18935715</v>
      </c>
      <c r="H53" s="6" t="n">
        <f aca="false">+H52+1</f>
        <v>49</v>
      </c>
      <c r="I53" s="7" t="n">
        <f aca="false">L52</f>
        <v>0</v>
      </c>
      <c r="J53" s="7" t="n">
        <f aca="false">'Debt Financing'!$D$27/12*I53</f>
        <v>0</v>
      </c>
      <c r="K53" s="7" t="n">
        <f aca="false">IF('Executive Summary'!$L$18=0,0,'Debt Financing'!$D$30/12-J53)</f>
        <v>0</v>
      </c>
      <c r="L53" s="7" t="n">
        <f aca="false">I53-K53</f>
        <v>0</v>
      </c>
    </row>
    <row r="54" customFormat="false" ht="13.5" hidden="false" customHeight="true" outlineLevel="0" collapsed="false">
      <c r="B54" s="6" t="n">
        <f aca="false">+B53+1</f>
        <v>50</v>
      </c>
      <c r="C54" s="7" t="n">
        <f aca="false">F53</f>
        <v>5102723.18935715</v>
      </c>
      <c r="D54" s="7" t="n">
        <f aca="false">'Debt Financing'!$D$3/12*C54</f>
        <v>20623.5062236518</v>
      </c>
      <c r="E54" s="7" t="n">
        <f aca="false">IF(B54&lt;='Debt Financing'!$D$4,0,'Debt Financing'!$D$7/12-D54)</f>
        <v>7696.24109335844</v>
      </c>
      <c r="F54" s="7" t="n">
        <f aca="false">C54-E54</f>
        <v>5095026.94826379</v>
      </c>
      <c r="H54" s="6" t="n">
        <f aca="false">+H53+1</f>
        <v>50</v>
      </c>
      <c r="I54" s="7" t="n">
        <f aca="false">L53</f>
        <v>0</v>
      </c>
      <c r="J54" s="7" t="n">
        <f aca="false">'Debt Financing'!$D$27/12*I54</f>
        <v>0</v>
      </c>
      <c r="K54" s="7" t="n">
        <f aca="false">IF('Executive Summary'!$L$18=0,0,'Debt Financing'!$D$30/12-J54)</f>
        <v>0</v>
      </c>
      <c r="L54" s="7" t="n">
        <f aca="false">I54-K54</f>
        <v>0</v>
      </c>
    </row>
    <row r="55" customFormat="false" ht="13.5" hidden="false" customHeight="true" outlineLevel="0" collapsed="false">
      <c r="B55" s="6" t="n">
        <f aca="false">+B54+1</f>
        <v>51</v>
      </c>
      <c r="C55" s="7" t="n">
        <f aca="false">F54</f>
        <v>5095026.94826379</v>
      </c>
      <c r="D55" s="7" t="n">
        <f aca="false">'Debt Financing'!$D$3/12*C55</f>
        <v>20592.4005825661</v>
      </c>
      <c r="E55" s="7" t="n">
        <f aca="false">IF(B55&lt;='Debt Financing'!$D$4,0,'Debt Financing'!$D$7/12-D55)</f>
        <v>7727.3467344441</v>
      </c>
      <c r="F55" s="7" t="n">
        <f aca="false">C55-E55</f>
        <v>5087299.60152935</v>
      </c>
      <c r="H55" s="6" t="n">
        <f aca="false">+H54+1</f>
        <v>51</v>
      </c>
      <c r="I55" s="7" t="n">
        <f aca="false">L54</f>
        <v>0</v>
      </c>
      <c r="J55" s="7" t="n">
        <f aca="false">'Debt Financing'!$D$27/12*I55</f>
        <v>0</v>
      </c>
      <c r="K55" s="7" t="n">
        <f aca="false">IF('Executive Summary'!$L$18=0,0,'Debt Financing'!$D$30/12-J55)</f>
        <v>0</v>
      </c>
      <c r="L55" s="7" t="n">
        <f aca="false">I55-K55</f>
        <v>0</v>
      </c>
    </row>
    <row r="56" customFormat="false" ht="13.5" hidden="false" customHeight="true" outlineLevel="0" collapsed="false">
      <c r="B56" s="6" t="n">
        <f aca="false">+B55+1</f>
        <v>52</v>
      </c>
      <c r="C56" s="7" t="n">
        <f aca="false">F55</f>
        <v>5087299.60152935</v>
      </c>
      <c r="D56" s="7" t="n">
        <f aca="false">'Debt Financing'!$D$3/12*C56</f>
        <v>20561.1692228478</v>
      </c>
      <c r="E56" s="7" t="n">
        <f aca="false">IF(B56&lt;='Debt Financing'!$D$4,0,'Debt Financing'!$D$7/12-D56)</f>
        <v>7758.57809416247</v>
      </c>
      <c r="F56" s="7" t="n">
        <f aca="false">C56-E56</f>
        <v>5079541.02343518</v>
      </c>
      <c r="H56" s="6" t="n">
        <f aca="false">+H55+1</f>
        <v>52</v>
      </c>
      <c r="I56" s="7" t="n">
        <f aca="false">L55</f>
        <v>0</v>
      </c>
      <c r="J56" s="7" t="n">
        <f aca="false">'Debt Financing'!$D$27/12*I56</f>
        <v>0</v>
      </c>
      <c r="K56" s="7" t="n">
        <f aca="false">IF('Executive Summary'!$L$18=0,0,'Debt Financing'!$D$30/12-J56)</f>
        <v>0</v>
      </c>
      <c r="L56" s="7" t="n">
        <f aca="false">I56-K56</f>
        <v>0</v>
      </c>
    </row>
    <row r="57" customFormat="false" ht="13.5" hidden="false" customHeight="true" outlineLevel="0" collapsed="false">
      <c r="B57" s="6" t="n">
        <f aca="false">+B56+1</f>
        <v>53</v>
      </c>
      <c r="C57" s="7" t="n">
        <f aca="false">F56</f>
        <v>5079541.02343518</v>
      </c>
      <c r="D57" s="7" t="n">
        <f aca="false">'Debt Financing'!$D$3/12*C57</f>
        <v>20529.8116363839</v>
      </c>
      <c r="E57" s="7" t="n">
        <f aca="false">IF(B57&lt;='Debt Financing'!$D$4,0,'Debt Financing'!$D$7/12-D57)</f>
        <v>7789.93568062638</v>
      </c>
      <c r="F57" s="7" t="n">
        <f aca="false">C57-E57</f>
        <v>5071751.08775456</v>
      </c>
      <c r="H57" s="6" t="n">
        <f aca="false">+H56+1</f>
        <v>53</v>
      </c>
      <c r="I57" s="7" t="n">
        <f aca="false">L56</f>
        <v>0</v>
      </c>
      <c r="J57" s="7" t="n">
        <f aca="false">'Debt Financing'!$D$27/12*I57</f>
        <v>0</v>
      </c>
      <c r="K57" s="7" t="n">
        <f aca="false">IF('Executive Summary'!$L$18=0,0,'Debt Financing'!$D$30/12-J57)</f>
        <v>0</v>
      </c>
      <c r="L57" s="7" t="n">
        <f aca="false">I57-K57</f>
        <v>0</v>
      </c>
    </row>
    <row r="58" customFormat="false" ht="13.5" hidden="false" customHeight="true" outlineLevel="0" collapsed="false">
      <c r="B58" s="6" t="n">
        <f aca="false">+B57+1</f>
        <v>54</v>
      </c>
      <c r="C58" s="7" t="n">
        <f aca="false">F57</f>
        <v>5071751.08775456</v>
      </c>
      <c r="D58" s="7" t="n">
        <f aca="false">'Debt Financing'!$D$3/12*C58</f>
        <v>20498.327313008</v>
      </c>
      <c r="E58" s="7" t="n">
        <f aca="false">IF(B58&lt;='Debt Financing'!$D$4,0,'Debt Financing'!$D$7/12-D58)</f>
        <v>7821.42000400224</v>
      </c>
      <c r="F58" s="7" t="n">
        <f aca="false">C58-E58</f>
        <v>5063929.66775056</v>
      </c>
      <c r="H58" s="6" t="n">
        <f aca="false">+H57+1</f>
        <v>54</v>
      </c>
      <c r="I58" s="7" t="n">
        <f aca="false">L57</f>
        <v>0</v>
      </c>
      <c r="J58" s="7" t="n">
        <f aca="false">'Debt Financing'!$D$27/12*I58</f>
        <v>0</v>
      </c>
      <c r="K58" s="7" t="n">
        <f aca="false">IF('Executive Summary'!$L$18=0,0,'Debt Financing'!$D$30/12-J58)</f>
        <v>0</v>
      </c>
      <c r="L58" s="7" t="n">
        <f aca="false">I58-K58</f>
        <v>0</v>
      </c>
    </row>
    <row r="59" customFormat="false" ht="13.5" hidden="false" customHeight="true" outlineLevel="0" collapsed="false">
      <c r="B59" s="6" t="n">
        <f aca="false">+B58+1</f>
        <v>55</v>
      </c>
      <c r="C59" s="7" t="n">
        <f aca="false">F58</f>
        <v>5063929.66775056</v>
      </c>
      <c r="D59" s="7" t="n">
        <f aca="false">'Debt Financing'!$D$3/12*C59</f>
        <v>20466.7157404918</v>
      </c>
      <c r="E59" s="7" t="n">
        <f aca="false">IF(B59&lt;='Debt Financing'!$D$4,0,'Debt Financing'!$D$7/12-D59)</f>
        <v>7853.03157651842</v>
      </c>
      <c r="F59" s="7" t="n">
        <f aca="false">C59-E59</f>
        <v>5056076.63617404</v>
      </c>
      <c r="H59" s="6" t="n">
        <f aca="false">+H58+1</f>
        <v>55</v>
      </c>
      <c r="I59" s="7" t="n">
        <f aca="false">L58</f>
        <v>0</v>
      </c>
      <c r="J59" s="7" t="n">
        <f aca="false">'Debt Financing'!$D$27/12*I59</f>
        <v>0</v>
      </c>
      <c r="K59" s="7" t="n">
        <f aca="false">IF('Executive Summary'!$L$18=0,0,'Debt Financing'!$D$30/12-J59)</f>
        <v>0</v>
      </c>
      <c r="L59" s="7" t="n">
        <f aca="false">I59-K59</f>
        <v>0</v>
      </c>
    </row>
    <row r="60" customFormat="false" ht="13.5" hidden="false" customHeight="true" outlineLevel="0" collapsed="false">
      <c r="B60" s="6" t="n">
        <f aca="false">+B59+1</f>
        <v>56</v>
      </c>
      <c r="C60" s="7" t="n">
        <f aca="false">F59</f>
        <v>5056076.63617404</v>
      </c>
      <c r="D60" s="7" t="n">
        <f aca="false">'Debt Financing'!$D$3/12*C60</f>
        <v>20434.9764045367</v>
      </c>
      <c r="E60" s="7" t="n">
        <f aca="false">IF(B60&lt;='Debt Financing'!$D$4,0,'Debt Financing'!$D$7/12-D60)</f>
        <v>7884.77091247351</v>
      </c>
      <c r="F60" s="7" t="n">
        <f aca="false">C60-E60</f>
        <v>5048191.86526157</v>
      </c>
      <c r="H60" s="6" t="n">
        <f aca="false">+H59+1</f>
        <v>56</v>
      </c>
      <c r="I60" s="7" t="n">
        <f aca="false">L59</f>
        <v>0</v>
      </c>
      <c r="J60" s="7" t="n">
        <f aca="false">'Debt Financing'!$D$27/12*I60</f>
        <v>0</v>
      </c>
      <c r="K60" s="7" t="n">
        <f aca="false">IF('Executive Summary'!$L$18=0,0,'Debt Financing'!$D$30/12-J60)</f>
        <v>0</v>
      </c>
      <c r="L60" s="7" t="n">
        <f aca="false">I60-K60</f>
        <v>0</v>
      </c>
    </row>
    <row r="61" customFormat="false" ht="13.5" hidden="false" customHeight="true" outlineLevel="0" collapsed="false">
      <c r="B61" s="6" t="n">
        <f aca="false">+B60+1</f>
        <v>57</v>
      </c>
      <c r="C61" s="7" t="n">
        <f aca="false">F60</f>
        <v>5048191.86526157</v>
      </c>
      <c r="D61" s="7" t="n">
        <f aca="false">'Debt Financing'!$D$3/12*C61</f>
        <v>20403.1087887655</v>
      </c>
      <c r="E61" s="7" t="n">
        <f aca="false">IF(B61&lt;='Debt Financing'!$D$4,0,'Debt Financing'!$D$7/12-D61)</f>
        <v>7916.63852824476</v>
      </c>
      <c r="F61" s="7" t="n">
        <f aca="false">C61-E61</f>
        <v>5040275.22673332</v>
      </c>
      <c r="H61" s="6" t="n">
        <f aca="false">+H60+1</f>
        <v>57</v>
      </c>
      <c r="I61" s="7" t="n">
        <f aca="false">L60</f>
        <v>0</v>
      </c>
      <c r="J61" s="7" t="n">
        <f aca="false">'Debt Financing'!$D$27/12*I61</f>
        <v>0</v>
      </c>
      <c r="K61" s="7" t="n">
        <f aca="false">IF('Executive Summary'!$L$18=0,0,'Debt Financing'!$D$30/12-J61)</f>
        <v>0</v>
      </c>
      <c r="L61" s="7" t="n">
        <f aca="false">I61-K61</f>
        <v>0</v>
      </c>
    </row>
    <row r="62" customFormat="false" ht="13.5" hidden="false" customHeight="true" outlineLevel="0" collapsed="false">
      <c r="B62" s="6" t="n">
        <f aca="false">+B61+1</f>
        <v>58</v>
      </c>
      <c r="C62" s="7" t="n">
        <f aca="false">F61</f>
        <v>5040275.22673332</v>
      </c>
      <c r="D62" s="7" t="n">
        <f aca="false">'Debt Financing'!$D$3/12*C62</f>
        <v>20371.1123747138</v>
      </c>
      <c r="E62" s="7" t="n">
        <f aca="false">IF(B62&lt;='Debt Financing'!$D$4,0,'Debt Financing'!$D$7/12-D62)</f>
        <v>7948.63494229641</v>
      </c>
      <c r="F62" s="7" t="n">
        <f aca="false">C62-E62</f>
        <v>5032326.59179102</v>
      </c>
      <c r="H62" s="6" t="n">
        <f aca="false">+H61+1</f>
        <v>58</v>
      </c>
      <c r="I62" s="7" t="n">
        <f aca="false">L61</f>
        <v>0</v>
      </c>
      <c r="J62" s="7" t="n">
        <f aca="false">'Debt Financing'!$D$27/12*I62</f>
        <v>0</v>
      </c>
      <c r="K62" s="7" t="n">
        <f aca="false">IF('Executive Summary'!$L$18=0,0,'Debt Financing'!$D$30/12-J62)</f>
        <v>0</v>
      </c>
      <c r="L62" s="7" t="n">
        <f aca="false">I62-K62</f>
        <v>0</v>
      </c>
    </row>
    <row r="63" customFormat="false" ht="13.5" hidden="false" customHeight="true" outlineLevel="0" collapsed="false">
      <c r="B63" s="6" t="n">
        <f aca="false">+B62+1</f>
        <v>59</v>
      </c>
      <c r="C63" s="7" t="n">
        <f aca="false">F62</f>
        <v>5032326.59179102</v>
      </c>
      <c r="D63" s="7" t="n">
        <f aca="false">'Debt Financing'!$D$3/12*C63</f>
        <v>20338.9866418221</v>
      </c>
      <c r="E63" s="7" t="n">
        <f aca="false">IF(B63&lt;='Debt Financing'!$D$4,0,'Debt Financing'!$D$7/12-D63)</f>
        <v>7980.76067518819</v>
      </c>
      <c r="F63" s="7" t="n">
        <f aca="false">C63-E63</f>
        <v>5024345.83111584</v>
      </c>
      <c r="H63" s="6" t="n">
        <f aca="false">+H62+1</f>
        <v>59</v>
      </c>
      <c r="I63" s="7" t="n">
        <f aca="false">L62</f>
        <v>0</v>
      </c>
      <c r="J63" s="7" t="n">
        <f aca="false">'Debt Financing'!$D$27/12*I63</f>
        <v>0</v>
      </c>
      <c r="K63" s="7" t="n">
        <f aca="false">IF('Executive Summary'!$L$18=0,0,'Debt Financing'!$D$30/12-J63)</f>
        <v>0</v>
      </c>
      <c r="L63" s="7" t="n">
        <f aca="false">I63-K63</f>
        <v>0</v>
      </c>
    </row>
    <row r="64" customFormat="false" ht="13.5" hidden="false" customHeight="true" outlineLevel="0" collapsed="false">
      <c r="B64" s="6" t="n">
        <f aca="false">+B63+1</f>
        <v>60</v>
      </c>
      <c r="C64" s="7" t="n">
        <f aca="false">F63</f>
        <v>5024345.83111584</v>
      </c>
      <c r="D64" s="7" t="n">
        <f aca="false">'Debt Financing'!$D$3/12*C64</f>
        <v>20306.7310674265</v>
      </c>
      <c r="E64" s="7" t="n">
        <f aca="false">IF(B64&lt;='Debt Financing'!$D$4,0,'Debt Financing'!$D$7/12-D64)</f>
        <v>8013.01624958374</v>
      </c>
      <c r="F64" s="7" t="n">
        <f aca="false">C64-E64</f>
        <v>5016332.81486625</v>
      </c>
      <c r="H64" s="6" t="n">
        <f aca="false">+H63+1</f>
        <v>60</v>
      </c>
      <c r="I64" s="7" t="n">
        <f aca="false">L63</f>
        <v>0</v>
      </c>
      <c r="J64" s="7" t="n">
        <f aca="false">'Debt Financing'!$D$27/12*I64</f>
        <v>0</v>
      </c>
      <c r="K64" s="7" t="n">
        <f aca="false">IF('Executive Summary'!$L$18=0,0,'Debt Financing'!$D$30/12-J64)</f>
        <v>0</v>
      </c>
      <c r="L64" s="7" t="n">
        <f aca="false">I64-K64</f>
        <v>0</v>
      </c>
    </row>
    <row r="65" customFormat="false" ht="13.5" hidden="false" customHeight="true" outlineLevel="0" collapsed="false">
      <c r="B65" s="6" t="n">
        <f aca="false">+B64+1</f>
        <v>61</v>
      </c>
      <c r="C65" s="7" t="n">
        <f aca="false">F64</f>
        <v>5016332.81486625</v>
      </c>
      <c r="D65" s="7" t="n">
        <f aca="false">'Debt Financing'!$D$3/12*C65</f>
        <v>20274.3451267511</v>
      </c>
      <c r="E65" s="7" t="n">
        <f aca="false">IF(B65&lt;='Debt Financing'!$D$4,0,'Debt Financing'!$D$7/12-D65)</f>
        <v>8045.40219025915</v>
      </c>
      <c r="F65" s="7" t="n">
        <f aca="false">C65-E65</f>
        <v>5008287.41267599</v>
      </c>
      <c r="H65" s="6" t="n">
        <f aca="false">+H64+1</f>
        <v>61</v>
      </c>
      <c r="I65" s="7" t="n">
        <f aca="false">L64</f>
        <v>0</v>
      </c>
      <c r="J65" s="7" t="n">
        <f aca="false">'Debt Financing'!$D$27/12*I65</f>
        <v>0</v>
      </c>
      <c r="K65" s="7" t="n">
        <f aca="false">IF('Executive Summary'!$L$18=0,0,'Debt Financing'!$D$30/12-J65)</f>
        <v>0</v>
      </c>
      <c r="L65" s="7" t="n">
        <f aca="false">I65-K65</f>
        <v>0</v>
      </c>
    </row>
    <row r="66" customFormat="false" ht="13.5" hidden="false" customHeight="true" outlineLevel="0" collapsed="false">
      <c r="B66" s="6" t="n">
        <f aca="false">+B65+1</f>
        <v>62</v>
      </c>
      <c r="C66" s="7" t="n">
        <f aca="false">F65</f>
        <v>5008287.41267599</v>
      </c>
      <c r="D66" s="7" t="n">
        <f aca="false">'Debt Financing'!$D$3/12*C66</f>
        <v>20241.8282928988</v>
      </c>
      <c r="E66" s="7" t="n">
        <f aca="false">IF(B66&lt;='Debt Financing'!$D$4,0,'Debt Financing'!$D$7/12-D66)</f>
        <v>8077.91902411144</v>
      </c>
      <c r="F66" s="7" t="n">
        <f aca="false">C66-E66</f>
        <v>5000209.49365188</v>
      </c>
      <c r="H66" s="6" t="n">
        <f aca="false">+H65+1</f>
        <v>62</v>
      </c>
      <c r="I66" s="7" t="n">
        <f aca="false">L65</f>
        <v>0</v>
      </c>
      <c r="J66" s="7" t="n">
        <f aca="false">'Debt Financing'!$D$27/12*I66</f>
        <v>0</v>
      </c>
      <c r="K66" s="7" t="n">
        <f aca="false">IF('Executive Summary'!$L$18=0,0,'Debt Financing'!$D$30/12-J66)</f>
        <v>0</v>
      </c>
      <c r="L66" s="7" t="n">
        <f aca="false">I66-K66</f>
        <v>0</v>
      </c>
    </row>
    <row r="67" customFormat="false" ht="13.5" hidden="false" customHeight="true" outlineLevel="0" collapsed="false">
      <c r="B67" s="6" t="n">
        <f aca="false">+B66+1</f>
        <v>63</v>
      </c>
      <c r="C67" s="7" t="n">
        <f aca="false">F66</f>
        <v>5000209.49365188</v>
      </c>
      <c r="D67" s="7" t="n">
        <f aca="false">'Debt Financing'!$D$3/12*C67</f>
        <v>20209.180036843</v>
      </c>
      <c r="E67" s="7" t="n">
        <f aca="false">IF(B67&lt;='Debt Financing'!$D$4,0,'Debt Financing'!$D$7/12-D67)</f>
        <v>8110.56728016722</v>
      </c>
      <c r="F67" s="7" t="n">
        <f aca="false">C67-E67</f>
        <v>4992098.92637172</v>
      </c>
      <c r="H67" s="6" t="n">
        <f aca="false">+H66+1</f>
        <v>63</v>
      </c>
      <c r="I67" s="7" t="n">
        <f aca="false">L66</f>
        <v>0</v>
      </c>
      <c r="J67" s="7" t="n">
        <f aca="false">'Debt Financing'!$D$27/12*I67</f>
        <v>0</v>
      </c>
      <c r="K67" s="7" t="n">
        <f aca="false">IF('Executive Summary'!$L$18=0,0,'Debt Financing'!$D$30/12-J67)</f>
        <v>0</v>
      </c>
      <c r="L67" s="7" t="n">
        <f aca="false">I67-K67</f>
        <v>0</v>
      </c>
    </row>
    <row r="68" customFormat="false" ht="13.5" hidden="false" customHeight="true" outlineLevel="0" collapsed="false">
      <c r="B68" s="6" t="n">
        <f aca="false">+B67+1</f>
        <v>64</v>
      </c>
      <c r="C68" s="7" t="n">
        <f aca="false">F67</f>
        <v>4992098.92637172</v>
      </c>
      <c r="D68" s="7" t="n">
        <f aca="false">'Debt Financing'!$D$3/12*C68</f>
        <v>20176.399827419</v>
      </c>
      <c r="E68" s="7" t="n">
        <f aca="false">IF(B68&lt;='Debt Financing'!$D$4,0,'Debt Financing'!$D$7/12-D68)</f>
        <v>8143.34748959123</v>
      </c>
      <c r="F68" s="7" t="n">
        <f aca="false">C68-E68</f>
        <v>4983955.57888212</v>
      </c>
      <c r="H68" s="6" t="n">
        <f aca="false">+H67+1</f>
        <v>64</v>
      </c>
      <c r="I68" s="7" t="n">
        <f aca="false">L67</f>
        <v>0</v>
      </c>
      <c r="J68" s="7" t="n">
        <f aca="false">'Debt Financing'!$D$27/12*I68</f>
        <v>0</v>
      </c>
      <c r="K68" s="7" t="n">
        <f aca="false">IF('Executive Summary'!$L$18=0,0,'Debt Financing'!$D$30/12-J68)</f>
        <v>0</v>
      </c>
      <c r="L68" s="7" t="n">
        <f aca="false">I68-K68</f>
        <v>0</v>
      </c>
    </row>
    <row r="69" customFormat="false" ht="13.5" hidden="false" customHeight="true" outlineLevel="0" collapsed="false">
      <c r="B69" s="6" t="n">
        <f aca="false">+B68+1</f>
        <v>65</v>
      </c>
      <c r="C69" s="7" t="n">
        <f aca="false">F68</f>
        <v>4983955.57888212</v>
      </c>
      <c r="D69" s="7" t="n">
        <f aca="false">'Debt Financing'!$D$3/12*C69</f>
        <v>20143.4871313152</v>
      </c>
      <c r="E69" s="7" t="n">
        <f aca="false">IF(B69&lt;='Debt Financing'!$D$4,0,'Debt Financing'!$D$7/12-D69)</f>
        <v>8176.260185695</v>
      </c>
      <c r="F69" s="7" t="n">
        <f aca="false">C69-E69</f>
        <v>4975779.31869643</v>
      </c>
      <c r="H69" s="6" t="n">
        <f aca="false">+H68+1</f>
        <v>65</v>
      </c>
      <c r="I69" s="7" t="n">
        <f aca="false">L68</f>
        <v>0</v>
      </c>
      <c r="J69" s="7" t="n">
        <f aca="false">'Debt Financing'!$D$27/12*I69</f>
        <v>0</v>
      </c>
      <c r="K69" s="7" t="n">
        <f aca="false">IF('Executive Summary'!$L$18=0,0,'Debt Financing'!$D$30/12-J69)</f>
        <v>0</v>
      </c>
      <c r="L69" s="7" t="n">
        <f aca="false">I69-K69</f>
        <v>0</v>
      </c>
    </row>
    <row r="70" customFormat="false" ht="13.5" hidden="false" customHeight="true" outlineLevel="0" collapsed="false">
      <c r="B70" s="6" t="n">
        <f aca="false">+B69+1</f>
        <v>66</v>
      </c>
      <c r="C70" s="7" t="n">
        <f aca="false">F69</f>
        <v>4975779.31869643</v>
      </c>
      <c r="D70" s="7" t="n">
        <f aca="false">'Debt Financing'!$D$3/12*C70</f>
        <v>20110.4414130647</v>
      </c>
      <c r="E70" s="7" t="n">
        <f aca="false">IF(B70&lt;='Debt Financing'!$D$4,0,'Debt Financing'!$D$7/12-D70)</f>
        <v>8209.30590394552</v>
      </c>
      <c r="F70" s="7" t="n">
        <f aca="false">C70-E70</f>
        <v>4967570.01279248</v>
      </c>
      <c r="H70" s="6" t="n">
        <f aca="false">+H69+1</f>
        <v>66</v>
      </c>
      <c r="I70" s="7" t="n">
        <f aca="false">L69</f>
        <v>0</v>
      </c>
      <c r="J70" s="7" t="n">
        <f aca="false">'Debt Financing'!$D$27/12*I70</f>
        <v>0</v>
      </c>
      <c r="K70" s="7" t="n">
        <f aca="false">IF('Executive Summary'!$L$18=0,0,'Debt Financing'!$D$30/12-J70)</f>
        <v>0</v>
      </c>
      <c r="L70" s="7" t="n">
        <f aca="false">I70-K70</f>
        <v>0</v>
      </c>
    </row>
    <row r="71" customFormat="false" ht="13.5" hidden="false" customHeight="true" outlineLevel="0" collapsed="false">
      <c r="B71" s="6" t="n">
        <f aca="false">+B70+1</f>
        <v>67</v>
      </c>
      <c r="C71" s="7" t="n">
        <f aca="false">F70</f>
        <v>4967570.01279248</v>
      </c>
      <c r="D71" s="7" t="n">
        <f aca="false">'Debt Financing'!$D$3/12*C71</f>
        <v>20077.2621350363</v>
      </c>
      <c r="E71" s="7" t="n">
        <f aca="false">IF(B71&lt;='Debt Financing'!$D$4,0,'Debt Financing'!$D$7/12-D71)</f>
        <v>8242.48518197396</v>
      </c>
      <c r="F71" s="7" t="n">
        <f aca="false">C71-E71</f>
        <v>4959327.52761051</v>
      </c>
      <c r="H71" s="6" t="n">
        <f aca="false">+H70+1</f>
        <v>67</v>
      </c>
      <c r="I71" s="7" t="n">
        <f aca="false">L70</f>
        <v>0</v>
      </c>
      <c r="J71" s="7" t="n">
        <f aca="false">'Debt Financing'!$D$27/12*I71</f>
        <v>0</v>
      </c>
      <c r="K71" s="7" t="n">
        <f aca="false">IF('Executive Summary'!$L$18=0,0,'Debt Financing'!$D$30/12-J71)</f>
        <v>0</v>
      </c>
      <c r="L71" s="7" t="n">
        <f aca="false">I71-K71</f>
        <v>0</v>
      </c>
    </row>
    <row r="72" customFormat="false" ht="13.5" hidden="false" customHeight="true" outlineLevel="0" collapsed="false">
      <c r="B72" s="6" t="n">
        <f aca="false">+B71+1</f>
        <v>68</v>
      </c>
      <c r="C72" s="7" t="n">
        <f aca="false">F71</f>
        <v>4959327.52761051</v>
      </c>
      <c r="D72" s="7" t="n">
        <f aca="false">'Debt Financing'!$D$3/12*C72</f>
        <v>20043.9487574258</v>
      </c>
      <c r="E72" s="7" t="n">
        <f aca="false">IF(B72&lt;='Debt Financing'!$D$4,0,'Debt Financing'!$D$7/12-D72)</f>
        <v>8275.79855958444</v>
      </c>
      <c r="F72" s="7" t="n">
        <f aca="false">C72-E72</f>
        <v>4951051.72905092</v>
      </c>
      <c r="H72" s="6" t="n">
        <f aca="false">+H71+1</f>
        <v>68</v>
      </c>
      <c r="I72" s="7" t="n">
        <f aca="false">L71</f>
        <v>0</v>
      </c>
      <c r="J72" s="7" t="n">
        <f aca="false">'Debt Financing'!$D$27/12*I72</f>
        <v>0</v>
      </c>
      <c r="K72" s="7" t="n">
        <f aca="false">IF('Executive Summary'!$L$18=0,0,'Debt Financing'!$D$30/12-J72)</f>
        <v>0</v>
      </c>
      <c r="L72" s="7" t="n">
        <f aca="false">I72-K72</f>
        <v>0</v>
      </c>
    </row>
    <row r="73" customFormat="false" ht="13.5" hidden="false" customHeight="true" outlineLevel="0" collapsed="false">
      <c r="B73" s="6" t="n">
        <f aca="false">+B72+1</f>
        <v>69</v>
      </c>
      <c r="C73" s="7" t="n">
        <f aca="false">F72</f>
        <v>4951051.72905092</v>
      </c>
      <c r="D73" s="7" t="n">
        <f aca="false">'Debt Financing'!$D$3/12*C73</f>
        <v>20010.5007382475</v>
      </c>
      <c r="E73" s="7" t="n">
        <f aca="false">IF(B73&lt;='Debt Financing'!$D$4,0,'Debt Financing'!$D$7/12-D73)</f>
        <v>8309.24657876276</v>
      </c>
      <c r="F73" s="7" t="n">
        <f aca="false">C73-E73</f>
        <v>4942742.48247216</v>
      </c>
      <c r="H73" s="6" t="n">
        <f aca="false">+H72+1</f>
        <v>69</v>
      </c>
      <c r="I73" s="7" t="n">
        <f aca="false">L72</f>
        <v>0</v>
      </c>
      <c r="J73" s="7" t="n">
        <f aca="false">'Debt Financing'!$D$27/12*I73</f>
        <v>0</v>
      </c>
      <c r="K73" s="7" t="n">
        <f aca="false">IF('Executive Summary'!$L$18=0,0,'Debt Financing'!$D$30/12-J73)</f>
        <v>0</v>
      </c>
      <c r="L73" s="7" t="n">
        <f aca="false">I73-K73</f>
        <v>0</v>
      </c>
    </row>
    <row r="74" customFormat="false" ht="13.5" hidden="false" customHeight="true" outlineLevel="0" collapsed="false">
      <c r="B74" s="6" t="n">
        <f aca="false">+B73+1</f>
        <v>70</v>
      </c>
      <c r="C74" s="7" t="n">
        <f aca="false">F73</f>
        <v>4942742.48247216</v>
      </c>
      <c r="D74" s="7" t="n">
        <f aca="false">'Debt Financing'!$D$3/12*C74</f>
        <v>19976.917533325</v>
      </c>
      <c r="E74" s="7" t="n">
        <f aca="false">IF(B74&lt;='Debt Financing'!$D$4,0,'Debt Financing'!$D$7/12-D74)</f>
        <v>8342.82978368526</v>
      </c>
      <c r="F74" s="7" t="n">
        <f aca="false">C74-E74</f>
        <v>4934399.65268848</v>
      </c>
      <c r="H74" s="6" t="n">
        <f aca="false">+H73+1</f>
        <v>70</v>
      </c>
      <c r="I74" s="7" t="n">
        <f aca="false">L73</f>
        <v>0</v>
      </c>
      <c r="J74" s="7" t="n">
        <f aca="false">'Debt Financing'!$D$27/12*I74</f>
        <v>0</v>
      </c>
      <c r="K74" s="7" t="n">
        <f aca="false">IF('Executive Summary'!$L$18=0,0,'Debt Financing'!$D$30/12-J74)</f>
        <v>0</v>
      </c>
      <c r="L74" s="7" t="n">
        <f aca="false">I74-K74</f>
        <v>0</v>
      </c>
    </row>
    <row r="75" customFormat="false" ht="13.5" hidden="false" customHeight="true" outlineLevel="0" collapsed="false">
      <c r="B75" s="6" t="n">
        <f aca="false">+B74+1</f>
        <v>71</v>
      </c>
      <c r="C75" s="7" t="n">
        <f aca="false">F74</f>
        <v>4934399.65268848</v>
      </c>
      <c r="D75" s="7" t="n">
        <f aca="false">'Debt Financing'!$D$3/12*C75</f>
        <v>19943.1985962826</v>
      </c>
      <c r="E75" s="7" t="n">
        <f aca="false">IF(B75&lt;='Debt Financing'!$D$4,0,'Debt Financing'!$D$7/12-D75)</f>
        <v>8376.54872072766</v>
      </c>
      <c r="F75" s="7" t="n">
        <f aca="false">C75-E75</f>
        <v>4926023.10396775</v>
      </c>
      <c r="H75" s="6" t="n">
        <f aca="false">+H74+1</f>
        <v>71</v>
      </c>
      <c r="I75" s="7" t="n">
        <f aca="false">L74</f>
        <v>0</v>
      </c>
      <c r="J75" s="7" t="n">
        <f aca="false">'Debt Financing'!$D$27/12*I75</f>
        <v>0</v>
      </c>
      <c r="K75" s="7" t="n">
        <f aca="false">IF('Executive Summary'!$L$18=0,0,'Debt Financing'!$D$30/12-J75)</f>
        <v>0</v>
      </c>
      <c r="L75" s="7" t="n">
        <f aca="false">I75-K75</f>
        <v>0</v>
      </c>
    </row>
    <row r="76" customFormat="false" ht="13.5" hidden="false" customHeight="true" outlineLevel="0" collapsed="false">
      <c r="B76" s="6" t="n">
        <f aca="false">+B75+1</f>
        <v>72</v>
      </c>
      <c r="C76" s="7" t="n">
        <f aca="false">F75</f>
        <v>4926023.10396775</v>
      </c>
      <c r="D76" s="7" t="n">
        <f aca="false">'Debt Financing'!$D$3/12*C76</f>
        <v>19909.3433785363</v>
      </c>
      <c r="E76" s="7" t="n">
        <f aca="false">IF(B76&lt;='Debt Financing'!$D$4,0,'Debt Financing'!$D$7/12-D76)</f>
        <v>8410.40393847393</v>
      </c>
      <c r="F76" s="7" t="n">
        <f aca="false">C76-E76</f>
        <v>4917612.70002927</v>
      </c>
      <c r="H76" s="6" t="n">
        <f aca="false">+H75+1</f>
        <v>72</v>
      </c>
      <c r="I76" s="7" t="n">
        <f aca="false">L75</f>
        <v>0</v>
      </c>
      <c r="J76" s="7" t="n">
        <f aca="false">'Debt Financing'!$D$27/12*I76</f>
        <v>0</v>
      </c>
      <c r="K76" s="7" t="n">
        <f aca="false">IF('Executive Summary'!$L$18=0,0,'Debt Financing'!$D$30/12-J76)</f>
        <v>0</v>
      </c>
      <c r="L76" s="7" t="n">
        <f aca="false">I76-K76</f>
        <v>0</v>
      </c>
    </row>
    <row r="77" customFormat="false" ht="13.5" hidden="false" customHeight="true" outlineLevel="0" collapsed="false">
      <c r="B77" s="6" t="n">
        <f aca="false">+B76+1</f>
        <v>73</v>
      </c>
      <c r="C77" s="7" t="n">
        <f aca="false">F76</f>
        <v>4917612.70002927</v>
      </c>
      <c r="D77" s="7" t="n">
        <f aca="false">'Debt Financing'!$D$3/12*C77</f>
        <v>19875.351329285</v>
      </c>
      <c r="E77" s="7" t="n">
        <f aca="false">IF(B77&lt;='Debt Financing'!$D$4,0,'Debt Financing'!$D$7/12-D77)</f>
        <v>8444.39598772526</v>
      </c>
      <c r="F77" s="7" t="n">
        <f aca="false">C77-E77</f>
        <v>4909168.30404155</v>
      </c>
      <c r="H77" s="6" t="n">
        <f aca="false">+H76+1</f>
        <v>73</v>
      </c>
      <c r="I77" s="7" t="n">
        <f aca="false">L76</f>
        <v>0</v>
      </c>
      <c r="J77" s="7" t="n">
        <f aca="false">'Debt Financing'!$D$27/12*I77</f>
        <v>0</v>
      </c>
      <c r="K77" s="7" t="n">
        <f aca="false">IF('Executive Summary'!$L$18=0,0,'Debt Financing'!$D$30/12-J77)</f>
        <v>0</v>
      </c>
      <c r="L77" s="7" t="n">
        <f aca="false">I77-K77</f>
        <v>0</v>
      </c>
    </row>
    <row r="78" customFormat="false" ht="13.5" hidden="false" customHeight="true" outlineLevel="0" collapsed="false">
      <c r="B78" s="6" t="n">
        <f aca="false">+B77+1</f>
        <v>74</v>
      </c>
      <c r="C78" s="7" t="n">
        <f aca="false">F77</f>
        <v>4909168.30404155</v>
      </c>
      <c r="D78" s="7" t="n">
        <f aca="false">'Debt Financing'!$D$3/12*C78</f>
        <v>19841.2218955013</v>
      </c>
      <c r="E78" s="7" t="n">
        <f aca="false">IF(B78&lt;='Debt Financing'!$D$4,0,'Debt Financing'!$D$7/12-D78)</f>
        <v>8478.52542150898</v>
      </c>
      <c r="F78" s="7" t="n">
        <f aca="false">C78-E78</f>
        <v>4900689.77862004</v>
      </c>
      <c r="H78" s="6" t="n">
        <f aca="false">+H77+1</f>
        <v>74</v>
      </c>
      <c r="I78" s="7" t="n">
        <f aca="false">L77</f>
        <v>0</v>
      </c>
      <c r="J78" s="7" t="n">
        <f aca="false">'Debt Financing'!$D$27/12*I78</f>
        <v>0</v>
      </c>
      <c r="K78" s="7" t="n">
        <f aca="false">IF('Executive Summary'!$L$18=0,0,'Debt Financing'!$D$30/12-J78)</f>
        <v>0</v>
      </c>
      <c r="L78" s="7" t="n">
        <f aca="false">I78-K78</f>
        <v>0</v>
      </c>
    </row>
    <row r="79" customFormat="false" ht="13.5" hidden="false" customHeight="true" outlineLevel="0" collapsed="false">
      <c r="B79" s="6" t="n">
        <f aca="false">+B78+1</f>
        <v>75</v>
      </c>
      <c r="C79" s="7" t="n">
        <f aca="false">F78</f>
        <v>4900689.77862004</v>
      </c>
      <c r="D79" s="7" t="n">
        <f aca="false">'Debt Financing'!$D$3/12*C79</f>
        <v>19806.9545219227</v>
      </c>
      <c r="E79" s="7" t="n">
        <f aca="false">IF(B79&lt;='Debt Financing'!$D$4,0,'Debt Financing'!$D$7/12-D79)</f>
        <v>8512.79279508758</v>
      </c>
      <c r="F79" s="7" t="n">
        <f aca="false">C79-E79</f>
        <v>4892176.98582495</v>
      </c>
      <c r="H79" s="6" t="n">
        <f aca="false">+H78+1</f>
        <v>75</v>
      </c>
      <c r="I79" s="7" t="n">
        <f aca="false">L78</f>
        <v>0</v>
      </c>
      <c r="J79" s="7" t="n">
        <f aca="false">'Debt Financing'!$D$27/12*I79</f>
        <v>0</v>
      </c>
      <c r="K79" s="7" t="n">
        <f aca="false">IF('Executive Summary'!$L$18=0,0,'Debt Financing'!$D$30/12-J79)</f>
        <v>0</v>
      </c>
      <c r="L79" s="7" t="n">
        <f aca="false">I79-K79</f>
        <v>0</v>
      </c>
    </row>
    <row r="80" customFormat="false" ht="13.5" hidden="false" customHeight="true" outlineLevel="0" collapsed="false">
      <c r="B80" s="6" t="n">
        <f aca="false">+B79+1</f>
        <v>76</v>
      </c>
      <c r="C80" s="7" t="n">
        <f aca="false">F79</f>
        <v>4892176.98582495</v>
      </c>
      <c r="D80" s="7" t="n">
        <f aca="false">'Debt Financing'!$D$3/12*C80</f>
        <v>19772.5486510425</v>
      </c>
      <c r="E80" s="7" t="n">
        <f aca="false">IF(B80&lt;='Debt Financing'!$D$4,0,'Debt Financing'!$D$7/12-D80)</f>
        <v>8547.19866596772</v>
      </c>
      <c r="F80" s="7" t="n">
        <f aca="false">C80-E80</f>
        <v>4883629.78715899</v>
      </c>
      <c r="H80" s="6" t="n">
        <f aca="false">+H79+1</f>
        <v>76</v>
      </c>
      <c r="I80" s="7" t="n">
        <f aca="false">L79</f>
        <v>0</v>
      </c>
      <c r="J80" s="7" t="n">
        <f aca="false">'Debt Financing'!$D$27/12*I80</f>
        <v>0</v>
      </c>
      <c r="K80" s="7" t="n">
        <f aca="false">IF('Executive Summary'!$L$18=0,0,'Debt Financing'!$D$30/12-J80)</f>
        <v>0</v>
      </c>
      <c r="L80" s="7" t="n">
        <f aca="false">I80-K80</f>
        <v>0</v>
      </c>
    </row>
    <row r="81" customFormat="false" ht="13.5" hidden="false" customHeight="true" outlineLevel="0" collapsed="false">
      <c r="B81" s="6" t="n">
        <f aca="false">+B80+1</f>
        <v>77</v>
      </c>
      <c r="C81" s="7" t="n">
        <f aca="false">F80</f>
        <v>4883629.78715899</v>
      </c>
      <c r="D81" s="7" t="n">
        <f aca="false">'Debt Financing'!$D$3/12*C81</f>
        <v>19738.0037231009</v>
      </c>
      <c r="E81" s="7" t="n">
        <f aca="false">IF(B81&lt;='Debt Financing'!$D$4,0,'Debt Financing'!$D$7/12-D81)</f>
        <v>8581.74359390935</v>
      </c>
      <c r="F81" s="7" t="n">
        <f aca="false">C81-E81</f>
        <v>4875048.04356508</v>
      </c>
      <c r="H81" s="6" t="n">
        <f aca="false">+H80+1</f>
        <v>77</v>
      </c>
      <c r="I81" s="7" t="n">
        <f aca="false">L80</f>
        <v>0</v>
      </c>
      <c r="J81" s="7" t="n">
        <f aca="false">'Debt Financing'!$D$27/12*I81</f>
        <v>0</v>
      </c>
      <c r="K81" s="7" t="n">
        <f aca="false">IF('Executive Summary'!$L$18=0,0,'Debt Financing'!$D$30/12-J81)</f>
        <v>0</v>
      </c>
      <c r="L81" s="7" t="n">
        <f aca="false">I81-K81</f>
        <v>0</v>
      </c>
    </row>
    <row r="82" customFormat="false" ht="13.5" hidden="false" customHeight="true" outlineLevel="0" collapsed="false">
      <c r="B82" s="6" t="n">
        <f aca="false">+B81+1</f>
        <v>78</v>
      </c>
      <c r="C82" s="7" t="n">
        <f aca="false">F81</f>
        <v>4875048.04356508</v>
      </c>
      <c r="D82" s="7" t="n">
        <f aca="false">'Debt Financing'!$D$3/12*C82</f>
        <v>19703.3191760755</v>
      </c>
      <c r="E82" s="7" t="n">
        <f aca="false">IF(B82&lt;='Debt Financing'!$D$4,0,'Debt Financing'!$D$7/12-D82)</f>
        <v>8616.42814093473</v>
      </c>
      <c r="F82" s="7" t="n">
        <f aca="false">C82-E82</f>
        <v>4866431.61542414</v>
      </c>
      <c r="H82" s="6" t="n">
        <f aca="false">+H81+1</f>
        <v>78</v>
      </c>
      <c r="I82" s="7" t="n">
        <f aca="false">L81</f>
        <v>0</v>
      </c>
      <c r="J82" s="7" t="n">
        <f aca="false">'Debt Financing'!$D$27/12*I82</f>
        <v>0</v>
      </c>
      <c r="K82" s="7" t="n">
        <f aca="false">IF('Executive Summary'!$L$18=0,0,'Debt Financing'!$D$30/12-J82)</f>
        <v>0</v>
      </c>
      <c r="L82" s="7" t="n">
        <f aca="false">I82-K82</f>
        <v>0</v>
      </c>
    </row>
    <row r="83" customFormat="false" ht="13.5" hidden="false" customHeight="true" outlineLevel="0" collapsed="false">
      <c r="B83" s="6" t="n">
        <f aca="false">+B82+1</f>
        <v>79</v>
      </c>
      <c r="C83" s="7" t="n">
        <f aca="false">F82</f>
        <v>4866431.61542414</v>
      </c>
      <c r="D83" s="7" t="n">
        <f aca="false">'Debt Financing'!$D$3/12*C83</f>
        <v>19668.4944456726</v>
      </c>
      <c r="E83" s="7" t="n">
        <f aca="false">IF(B83&lt;='Debt Financing'!$D$4,0,'Debt Financing'!$D$7/12-D83)</f>
        <v>8651.25287133767</v>
      </c>
      <c r="F83" s="7" t="n">
        <f aca="false">C83-E83</f>
        <v>4857780.3625528</v>
      </c>
      <c r="H83" s="6" t="n">
        <f aca="false">+H82+1</f>
        <v>79</v>
      </c>
      <c r="I83" s="7" t="n">
        <f aca="false">L82</f>
        <v>0</v>
      </c>
      <c r="J83" s="7" t="n">
        <f aca="false">'Debt Financing'!$D$27/12*I83</f>
        <v>0</v>
      </c>
      <c r="K83" s="7" t="n">
        <f aca="false">IF('Executive Summary'!$L$18=0,0,'Debt Financing'!$D$30/12-J83)</f>
        <v>0</v>
      </c>
      <c r="L83" s="7" t="n">
        <f aca="false">I83-K83</f>
        <v>0</v>
      </c>
    </row>
    <row r="84" customFormat="false" ht="13.5" hidden="false" customHeight="true" outlineLevel="0" collapsed="false">
      <c r="B84" s="6" t="n">
        <f aca="false">+B83+1</f>
        <v>80</v>
      </c>
      <c r="C84" s="7" t="n">
        <f aca="false">F83</f>
        <v>4857780.3625528</v>
      </c>
      <c r="D84" s="7" t="n">
        <f aca="false">'Debt Financing'!$D$3/12*C84</f>
        <v>19633.5289653176</v>
      </c>
      <c r="E84" s="7" t="n">
        <f aca="false">IF(B84&lt;='Debt Financing'!$D$4,0,'Debt Financing'!$D$7/12-D84)</f>
        <v>8686.21835169266</v>
      </c>
      <c r="F84" s="7" t="n">
        <f aca="false">C84-E84</f>
        <v>4849094.14420111</v>
      </c>
      <c r="H84" s="6" t="n">
        <f aca="false">+H83+1</f>
        <v>80</v>
      </c>
      <c r="I84" s="7" t="n">
        <f aca="false">L83</f>
        <v>0</v>
      </c>
      <c r="J84" s="7" t="n">
        <f aca="false">'Debt Financing'!$D$27/12*I84</f>
        <v>0</v>
      </c>
      <c r="K84" s="7" t="n">
        <f aca="false">IF('Executive Summary'!$L$18=0,0,'Debt Financing'!$D$30/12-J84)</f>
        <v>0</v>
      </c>
      <c r="L84" s="7" t="n">
        <f aca="false">I84-K84</f>
        <v>0</v>
      </c>
    </row>
    <row r="85" customFormat="false" ht="13.5" hidden="false" customHeight="true" outlineLevel="0" collapsed="false">
      <c r="B85" s="6" t="n">
        <f aca="false">+B84+1</f>
        <v>81</v>
      </c>
      <c r="C85" s="7" t="n">
        <f aca="false">F84</f>
        <v>4849094.14420111</v>
      </c>
      <c r="D85" s="7" t="n">
        <f aca="false">'Debt Financing'!$D$3/12*C85</f>
        <v>19598.4221661462</v>
      </c>
      <c r="E85" s="7" t="n">
        <f aca="false">IF(B85&lt;='Debt Financing'!$D$4,0,'Debt Financing'!$D$7/12-D85)</f>
        <v>8721.32515086409</v>
      </c>
      <c r="F85" s="7" t="n">
        <f aca="false">C85-E85</f>
        <v>4840372.81905025</v>
      </c>
      <c r="H85" s="6" t="n">
        <f aca="false">+H84+1</f>
        <v>81</v>
      </c>
      <c r="I85" s="7" t="n">
        <f aca="false">L84</f>
        <v>0</v>
      </c>
      <c r="J85" s="7" t="n">
        <f aca="false">'Debt Financing'!$D$27/12*I85</f>
        <v>0</v>
      </c>
      <c r="K85" s="7" t="n">
        <f aca="false">IF('Executive Summary'!$L$18=0,0,'Debt Financing'!$D$30/12-J85)</f>
        <v>0</v>
      </c>
      <c r="L85" s="7" t="n">
        <f aca="false">I85-K85</f>
        <v>0</v>
      </c>
    </row>
    <row r="86" customFormat="false" ht="13.5" hidden="false" customHeight="true" outlineLevel="0" collapsed="false">
      <c r="B86" s="6" t="n">
        <f aca="false">+B85+1</f>
        <v>82</v>
      </c>
      <c r="C86" s="7" t="n">
        <f aca="false">F85</f>
        <v>4840372.81905025</v>
      </c>
      <c r="D86" s="7" t="n">
        <f aca="false">'Debt Financing'!$D$3/12*C86</f>
        <v>19563.1734769947</v>
      </c>
      <c r="E86" s="7" t="n">
        <f aca="false">IF(B86&lt;='Debt Financing'!$D$4,0,'Debt Financing'!$D$7/12-D86)</f>
        <v>8756.5738400155</v>
      </c>
      <c r="F86" s="7" t="n">
        <f aca="false">C86-E86</f>
        <v>4831616.24521023</v>
      </c>
      <c r="H86" s="6" t="n">
        <f aca="false">+H85+1</f>
        <v>82</v>
      </c>
      <c r="I86" s="7" t="n">
        <f aca="false">L85</f>
        <v>0</v>
      </c>
      <c r="J86" s="7" t="n">
        <f aca="false">'Debt Financing'!$D$27/12*I86</f>
        <v>0</v>
      </c>
      <c r="K86" s="7" t="n">
        <f aca="false">IF('Executive Summary'!$L$18=0,0,'Debt Financing'!$D$30/12-J86)</f>
        <v>0</v>
      </c>
      <c r="L86" s="7" t="n">
        <f aca="false">I86-K86</f>
        <v>0</v>
      </c>
    </row>
    <row r="87" customFormat="false" ht="13.5" hidden="false" customHeight="true" outlineLevel="0" collapsed="false">
      <c r="B87" s="6" t="n">
        <f aca="false">+B86+1</f>
        <v>83</v>
      </c>
      <c r="C87" s="7" t="n">
        <f aca="false">F86</f>
        <v>4831616.24521023</v>
      </c>
      <c r="D87" s="7" t="n">
        <f aca="false">'Debt Financing'!$D$3/12*C87</f>
        <v>19527.7823243914</v>
      </c>
      <c r="E87" s="7" t="n">
        <f aca="false">IF(B87&lt;='Debt Financing'!$D$4,0,'Debt Financing'!$D$7/12-D87)</f>
        <v>8791.96499261889</v>
      </c>
      <c r="F87" s="7" t="n">
        <f aca="false">C87-E87</f>
        <v>4822824.28021761</v>
      </c>
      <c r="H87" s="6" t="n">
        <f aca="false">+H86+1</f>
        <v>83</v>
      </c>
      <c r="I87" s="7" t="n">
        <f aca="false">L86</f>
        <v>0</v>
      </c>
      <c r="J87" s="7" t="n">
        <f aca="false">'Debt Financing'!$D$27/12*I87</f>
        <v>0</v>
      </c>
      <c r="K87" s="7" t="n">
        <f aca="false">IF('Executive Summary'!$L$18=0,0,'Debt Financing'!$D$30/12-J87)</f>
        <v>0</v>
      </c>
      <c r="L87" s="7" t="n">
        <f aca="false">I87-K87</f>
        <v>0</v>
      </c>
    </row>
    <row r="88" customFormat="false" ht="13.5" hidden="false" customHeight="true" outlineLevel="0" collapsed="false">
      <c r="B88" s="6" t="n">
        <f aca="false">+B87+1</f>
        <v>84</v>
      </c>
      <c r="C88" s="7" t="n">
        <f aca="false">F87</f>
        <v>4822824.28021761</v>
      </c>
      <c r="D88" s="7" t="n">
        <f aca="false">'Debt Financing'!$D$3/12*C88</f>
        <v>19492.2481325462</v>
      </c>
      <c r="E88" s="7" t="n">
        <f aca="false">IF(B88&lt;='Debt Financing'!$D$4,0,'Debt Financing'!$D$7/12-D88)</f>
        <v>8827.49918446406</v>
      </c>
      <c r="F88" s="7" t="n">
        <f aca="false">C88-E88</f>
        <v>4813996.78103315</v>
      </c>
      <c r="H88" s="6" t="n">
        <f aca="false">+H87+1</f>
        <v>84</v>
      </c>
      <c r="I88" s="7" t="n">
        <f aca="false">L87</f>
        <v>0</v>
      </c>
      <c r="J88" s="7" t="n">
        <f aca="false">'Debt Financing'!$D$27/12*I88</f>
        <v>0</v>
      </c>
      <c r="K88" s="7" t="n">
        <f aca="false">IF('Executive Summary'!$L$18=0,0,'Debt Financing'!$D$30/12-J88)</f>
        <v>0</v>
      </c>
      <c r="L88" s="7" t="n">
        <f aca="false">I88-K88</f>
        <v>0</v>
      </c>
    </row>
    <row r="89" customFormat="false" ht="13.5" hidden="false" customHeight="true" outlineLevel="0" collapsed="false">
      <c r="B89" s="6" t="n">
        <f aca="false">+B88+1</f>
        <v>85</v>
      </c>
      <c r="C89" s="7" t="n">
        <f aca="false">F88</f>
        <v>4813996.78103315</v>
      </c>
      <c r="D89" s="7" t="n">
        <f aca="false">'Debt Financing'!$D$3/12*C89</f>
        <v>19456.5703233423</v>
      </c>
      <c r="E89" s="7" t="n">
        <f aca="false">IF(B89&lt;='Debt Financing'!$D$4,0,'Debt Financing'!$D$7/12-D89)</f>
        <v>8863.17699366794</v>
      </c>
      <c r="F89" s="7" t="n">
        <f aca="false">C89-E89</f>
        <v>4805133.60403948</v>
      </c>
      <c r="H89" s="6" t="n">
        <f aca="false">+H88+1</f>
        <v>85</v>
      </c>
      <c r="I89" s="7" t="n">
        <f aca="false">L88</f>
        <v>0</v>
      </c>
      <c r="J89" s="7" t="n">
        <f aca="false">'Debt Financing'!$D$27/12*I89</f>
        <v>0</v>
      </c>
      <c r="K89" s="7" t="n">
        <f aca="false">IF('Executive Summary'!$L$18=0,0,'Debt Financing'!$D$30/12-J89)</f>
        <v>0</v>
      </c>
      <c r="L89" s="7" t="n">
        <f aca="false">I89-K89</f>
        <v>0</v>
      </c>
    </row>
    <row r="90" customFormat="false" ht="13.5" hidden="false" customHeight="true" outlineLevel="0" collapsed="false">
      <c r="B90" s="6" t="n">
        <f aca="false">+B89+1</f>
        <v>86</v>
      </c>
      <c r="C90" s="7" t="n">
        <f aca="false">F89</f>
        <v>4805133.60403948</v>
      </c>
      <c r="D90" s="7" t="n">
        <f aca="false">'Debt Financing'!$D$3/12*C90</f>
        <v>19420.7483163262</v>
      </c>
      <c r="E90" s="7" t="n">
        <f aca="false">IF(B90&lt;='Debt Financing'!$D$4,0,'Debt Financing'!$D$7/12-D90)</f>
        <v>8898.99900068402</v>
      </c>
      <c r="F90" s="7" t="n">
        <f aca="false">C90-E90</f>
        <v>4796234.6050388</v>
      </c>
      <c r="H90" s="6" t="n">
        <f aca="false">+H89+1</f>
        <v>86</v>
      </c>
      <c r="I90" s="7" t="n">
        <f aca="false">L89</f>
        <v>0</v>
      </c>
      <c r="J90" s="7" t="n">
        <f aca="false">'Debt Financing'!$D$27/12*I90</f>
        <v>0</v>
      </c>
      <c r="K90" s="7" t="n">
        <f aca="false">IF('Executive Summary'!$L$18=0,0,'Debt Financing'!$D$30/12-J90)</f>
        <v>0</v>
      </c>
      <c r="L90" s="7" t="n">
        <f aca="false">I90-K90</f>
        <v>0</v>
      </c>
    </row>
    <row r="91" customFormat="false" ht="13.5" hidden="false" customHeight="true" outlineLevel="0" collapsed="false">
      <c r="B91" s="6" t="n">
        <f aca="false">+B90+1</f>
        <v>87</v>
      </c>
      <c r="C91" s="7" t="n">
        <f aca="false">F90</f>
        <v>4796234.6050388</v>
      </c>
      <c r="D91" s="7" t="n">
        <f aca="false">'Debt Financing'!$D$3/12*C91</f>
        <v>19384.7815286985</v>
      </c>
      <c r="E91" s="7" t="n">
        <f aca="false">IF(B91&lt;='Debt Financing'!$D$4,0,'Debt Financing'!$D$7/12-D91)</f>
        <v>8934.96578831178</v>
      </c>
      <c r="F91" s="7" t="n">
        <f aca="false">C91-E91</f>
        <v>4787299.63925048</v>
      </c>
      <c r="H91" s="6" t="n">
        <f aca="false">+H90+1</f>
        <v>87</v>
      </c>
      <c r="I91" s="7" t="n">
        <f aca="false">L90</f>
        <v>0</v>
      </c>
      <c r="J91" s="7" t="n">
        <f aca="false">'Debt Financing'!$D$27/12*I91</f>
        <v>0</v>
      </c>
      <c r="K91" s="7" t="n">
        <f aca="false">IF('Executive Summary'!$L$18=0,0,'Debt Financing'!$D$30/12-J91)</f>
        <v>0</v>
      </c>
      <c r="L91" s="7" t="n">
        <f aca="false">I91-K91</f>
        <v>0</v>
      </c>
    </row>
    <row r="92" customFormat="false" ht="13.5" hidden="false" customHeight="true" outlineLevel="0" collapsed="false">
      <c r="B92" s="6" t="n">
        <f aca="false">+B91+1</f>
        <v>88</v>
      </c>
      <c r="C92" s="7" t="n">
        <f aca="false">F91</f>
        <v>4787299.63925048</v>
      </c>
      <c r="D92" s="7" t="n">
        <f aca="false">'Debt Financing'!$D$3/12*C92</f>
        <v>19348.669375304</v>
      </c>
      <c r="E92" s="7" t="n">
        <f aca="false">IF(B92&lt;='Debt Financing'!$D$4,0,'Debt Financing'!$D$7/12-D92)</f>
        <v>8971.07794170621</v>
      </c>
      <c r="F92" s="7" t="n">
        <f aca="false">C92-E92</f>
        <v>4778328.56130878</v>
      </c>
      <c r="H92" s="6" t="n">
        <f aca="false">+H91+1</f>
        <v>88</v>
      </c>
      <c r="I92" s="7" t="n">
        <f aca="false">L91</f>
        <v>0</v>
      </c>
      <c r="J92" s="7" t="n">
        <f aca="false">'Debt Financing'!$D$27/12*I92</f>
        <v>0</v>
      </c>
      <c r="K92" s="7" t="n">
        <f aca="false">IF('Executive Summary'!$L$18=0,0,'Debt Financing'!$D$30/12-J92)</f>
        <v>0</v>
      </c>
      <c r="L92" s="7" t="n">
        <f aca="false">I92-K92</f>
        <v>0</v>
      </c>
    </row>
    <row r="93" customFormat="false" ht="13.5" hidden="false" customHeight="true" outlineLevel="0" collapsed="false">
      <c r="B93" s="6" t="n">
        <f aca="false">+B92+1</f>
        <v>89</v>
      </c>
      <c r="C93" s="7" t="n">
        <f aca="false">F92</f>
        <v>4778328.56130878</v>
      </c>
      <c r="D93" s="7" t="n">
        <f aca="false">'Debt Financing'!$D$3/12*C93</f>
        <v>19312.411268623</v>
      </c>
      <c r="E93" s="7" t="n">
        <f aca="false">IF(B93&lt;='Debt Financing'!$D$4,0,'Debt Financing'!$D$7/12-D93)</f>
        <v>9007.33604838727</v>
      </c>
      <c r="F93" s="7" t="n">
        <f aca="false">C93-E93</f>
        <v>4769321.22526039</v>
      </c>
      <c r="H93" s="6" t="n">
        <f aca="false">+H92+1</f>
        <v>89</v>
      </c>
      <c r="I93" s="7" t="n">
        <f aca="false">L92</f>
        <v>0</v>
      </c>
      <c r="J93" s="7" t="n">
        <f aca="false">'Debt Financing'!$D$27/12*I93</f>
        <v>0</v>
      </c>
      <c r="K93" s="7" t="n">
        <f aca="false">IF('Executive Summary'!$L$18=0,0,'Debt Financing'!$D$30/12-J93)</f>
        <v>0</v>
      </c>
      <c r="L93" s="7" t="n">
        <f aca="false">I93-K93</f>
        <v>0</v>
      </c>
    </row>
    <row r="94" customFormat="false" ht="13.5" hidden="false" customHeight="true" outlineLevel="0" collapsed="false">
      <c r="B94" s="6" t="n">
        <f aca="false">+B93+1</f>
        <v>90</v>
      </c>
      <c r="C94" s="7" t="n">
        <f aca="false">F93</f>
        <v>4769321.22526039</v>
      </c>
      <c r="D94" s="7" t="n">
        <f aca="false">'Debt Financing'!$D$3/12*C94</f>
        <v>19276.0066187607</v>
      </c>
      <c r="E94" s="7" t="n">
        <f aca="false">IF(B94&lt;='Debt Financing'!$D$4,0,'Debt Financing'!$D$7/12-D94)</f>
        <v>9043.7406982495</v>
      </c>
      <c r="F94" s="7" t="n">
        <f aca="false">C94-E94</f>
        <v>4760277.48456214</v>
      </c>
      <c r="H94" s="6" t="n">
        <f aca="false">+H93+1</f>
        <v>90</v>
      </c>
      <c r="I94" s="7" t="n">
        <f aca="false">L93</f>
        <v>0</v>
      </c>
      <c r="J94" s="7" t="n">
        <f aca="false">'Debt Financing'!$D$27/12*I94</f>
        <v>0</v>
      </c>
      <c r="K94" s="7" t="n">
        <f aca="false">IF('Executive Summary'!$L$18=0,0,'Debt Financing'!$D$30/12-J94)</f>
        <v>0</v>
      </c>
      <c r="L94" s="7" t="n">
        <f aca="false">I94-K94</f>
        <v>0</v>
      </c>
    </row>
    <row r="95" customFormat="false" ht="13.5" hidden="false" customHeight="true" outlineLevel="0" collapsed="false">
      <c r="B95" s="6" t="n">
        <f aca="false">+B94+1</f>
        <v>91</v>
      </c>
      <c r="C95" s="7" t="n">
        <f aca="false">F94</f>
        <v>4760277.48456214</v>
      </c>
      <c r="D95" s="7" t="n">
        <f aca="false">'Debt Financing'!$D$3/12*C95</f>
        <v>19239.4548334387</v>
      </c>
      <c r="E95" s="7" t="n">
        <f aca="false">IF(B95&lt;='Debt Financing'!$D$4,0,'Debt Financing'!$D$7/12-D95)</f>
        <v>9080.29248357159</v>
      </c>
      <c r="F95" s="7" t="n">
        <f aca="false">C95-E95</f>
        <v>4751197.19207857</v>
      </c>
      <c r="H95" s="6" t="n">
        <f aca="false">+H94+1</f>
        <v>91</v>
      </c>
      <c r="I95" s="7" t="n">
        <f aca="false">L94</f>
        <v>0</v>
      </c>
      <c r="J95" s="7" t="n">
        <f aca="false">'Debt Financing'!$D$27/12*I95</f>
        <v>0</v>
      </c>
      <c r="K95" s="7" t="n">
        <f aca="false">IF('Executive Summary'!$L$18=0,0,'Debt Financing'!$D$30/12-J95)</f>
        <v>0</v>
      </c>
      <c r="L95" s="7" t="n">
        <f aca="false">I95-K95</f>
        <v>0</v>
      </c>
    </row>
    <row r="96" customFormat="false" ht="13.5" hidden="false" customHeight="true" outlineLevel="0" collapsed="false">
      <c r="B96" s="6" t="n">
        <f aca="false">+B95+1</f>
        <v>92</v>
      </c>
      <c r="C96" s="7" t="n">
        <f aca="false">F95</f>
        <v>4751197.19207857</v>
      </c>
      <c r="D96" s="7" t="n">
        <f aca="false">'Debt Financing'!$D$3/12*C96</f>
        <v>19202.7553179842</v>
      </c>
      <c r="E96" s="7" t="n">
        <f aca="false">IF(B96&lt;='Debt Financing'!$D$4,0,'Debt Financing'!$D$7/12-D96)</f>
        <v>9116.99199902603</v>
      </c>
      <c r="F96" s="7" t="n">
        <f aca="false">C96-E96</f>
        <v>4742080.20007954</v>
      </c>
      <c r="H96" s="6" t="n">
        <f aca="false">+H95+1</f>
        <v>92</v>
      </c>
      <c r="I96" s="7" t="n">
        <f aca="false">L95</f>
        <v>0</v>
      </c>
      <c r="J96" s="7" t="n">
        <f aca="false">'Debt Financing'!$D$27/12*I96</f>
        <v>0</v>
      </c>
      <c r="K96" s="7" t="n">
        <f aca="false">IF('Executive Summary'!$L$18=0,0,'Debt Financing'!$D$30/12-J96)</f>
        <v>0</v>
      </c>
      <c r="L96" s="7" t="n">
        <f aca="false">I96-K96</f>
        <v>0</v>
      </c>
    </row>
    <row r="97" customFormat="false" ht="13.5" hidden="false" customHeight="true" outlineLevel="0" collapsed="false">
      <c r="B97" s="6" t="n">
        <f aca="false">+B96+1</f>
        <v>93</v>
      </c>
      <c r="C97" s="7" t="n">
        <f aca="false">F96</f>
        <v>4742080.20007954</v>
      </c>
      <c r="D97" s="7" t="n">
        <f aca="false">'Debt Financing'!$D$3/12*C97</f>
        <v>19165.9074753215</v>
      </c>
      <c r="E97" s="7" t="n">
        <f aca="false">IF(B97&lt;='Debt Financing'!$D$4,0,'Debt Financing'!$D$7/12-D97)</f>
        <v>9153.83984168876</v>
      </c>
      <c r="F97" s="7" t="n">
        <f aca="false">C97-E97</f>
        <v>4732926.36023785</v>
      </c>
      <c r="H97" s="6" t="n">
        <f aca="false">+H96+1</f>
        <v>93</v>
      </c>
      <c r="I97" s="7" t="n">
        <f aca="false">L96</f>
        <v>0</v>
      </c>
      <c r="J97" s="7" t="n">
        <f aca="false">'Debt Financing'!$D$27/12*I97</f>
        <v>0</v>
      </c>
      <c r="K97" s="7" t="n">
        <f aca="false">IF('Executive Summary'!$L$18=0,0,'Debt Financing'!$D$30/12-J97)</f>
        <v>0</v>
      </c>
      <c r="L97" s="7" t="n">
        <f aca="false">I97-K97</f>
        <v>0</v>
      </c>
    </row>
    <row r="98" customFormat="false" ht="13.5" hidden="false" customHeight="true" outlineLevel="0" collapsed="false">
      <c r="B98" s="6" t="n">
        <f aca="false">+B97+1</f>
        <v>94</v>
      </c>
      <c r="C98" s="7" t="n">
        <f aca="false">F97</f>
        <v>4732926.36023785</v>
      </c>
      <c r="D98" s="7" t="n">
        <f aca="false">'Debt Financing'!$D$3/12*C98</f>
        <v>19128.9107059613</v>
      </c>
      <c r="E98" s="7" t="n">
        <f aca="false">IF(B98&lt;='Debt Financing'!$D$4,0,'Debt Financing'!$D$7/12-D98)</f>
        <v>9190.83661104892</v>
      </c>
      <c r="F98" s="7" t="n">
        <f aca="false">C98-E98</f>
        <v>4723735.52362681</v>
      </c>
      <c r="H98" s="6" t="n">
        <f aca="false">+H97+1</f>
        <v>94</v>
      </c>
      <c r="I98" s="7" t="n">
        <f aca="false">L97</f>
        <v>0</v>
      </c>
      <c r="J98" s="7" t="n">
        <f aca="false">'Debt Financing'!$D$27/12*I98</f>
        <v>0</v>
      </c>
      <c r="K98" s="7" t="n">
        <f aca="false">IF('Executive Summary'!$L$18=0,0,'Debt Financing'!$D$30/12-J98)</f>
        <v>0</v>
      </c>
      <c r="L98" s="7" t="n">
        <f aca="false">I98-K98</f>
        <v>0</v>
      </c>
    </row>
    <row r="99" customFormat="false" ht="13.5" hidden="false" customHeight="true" outlineLevel="0" collapsed="false">
      <c r="B99" s="6" t="n">
        <f aca="false">+B98+1</f>
        <v>95</v>
      </c>
      <c r="C99" s="7" t="n">
        <f aca="false">F98</f>
        <v>4723735.52362681</v>
      </c>
      <c r="D99" s="7" t="n">
        <f aca="false">'Debt Financing'!$D$3/12*C99</f>
        <v>19091.7644079917</v>
      </c>
      <c r="E99" s="7" t="n">
        <f aca="false">IF(B99&lt;='Debt Financing'!$D$4,0,'Debt Financing'!$D$7/12-D99)</f>
        <v>9227.98290901857</v>
      </c>
      <c r="F99" s="7" t="n">
        <f aca="false">C99-E99</f>
        <v>4714507.54071779</v>
      </c>
      <c r="H99" s="6" t="n">
        <f aca="false">+H98+1</f>
        <v>95</v>
      </c>
      <c r="I99" s="7" t="n">
        <f aca="false">L98</f>
        <v>0</v>
      </c>
      <c r="J99" s="7" t="n">
        <f aca="false">'Debt Financing'!$D$27/12*I99</f>
        <v>0</v>
      </c>
      <c r="K99" s="7" t="n">
        <f aca="false">IF('Executive Summary'!$L$18=0,0,'Debt Financing'!$D$30/12-J99)</f>
        <v>0</v>
      </c>
      <c r="L99" s="7" t="n">
        <f aca="false">I99-K99</f>
        <v>0</v>
      </c>
    </row>
    <row r="100" customFormat="false" ht="13.5" hidden="false" customHeight="true" outlineLevel="0" collapsed="false">
      <c r="B100" s="6" t="n">
        <f aca="false">+B99+1</f>
        <v>96</v>
      </c>
      <c r="C100" s="7" t="n">
        <f aca="false">F99</f>
        <v>4714507.54071779</v>
      </c>
      <c r="D100" s="7" t="n">
        <f aca="false">'Debt Financing'!$D$3/12*C100</f>
        <v>19054.4679770677</v>
      </c>
      <c r="E100" s="7" t="n">
        <f aca="false">IF(B100&lt;='Debt Financing'!$D$4,0,'Debt Financing'!$D$7/12-D100)</f>
        <v>9265.27933994253</v>
      </c>
      <c r="F100" s="7" t="n">
        <f aca="false">C100-E100</f>
        <v>4705242.26137785</v>
      </c>
      <c r="H100" s="6" t="n">
        <f aca="false">+H99+1</f>
        <v>96</v>
      </c>
      <c r="I100" s="7" t="n">
        <f aca="false">L99</f>
        <v>0</v>
      </c>
      <c r="J100" s="7" t="n">
        <f aca="false">'Debt Financing'!$D$27/12*I100</f>
        <v>0</v>
      </c>
      <c r="K100" s="7" t="n">
        <f aca="false">IF('Executive Summary'!$L$18=0,0,'Debt Financing'!$D$30/12-J100)</f>
        <v>0</v>
      </c>
      <c r="L100" s="7" t="n">
        <f aca="false">I100-K100</f>
        <v>0</v>
      </c>
    </row>
    <row r="101" customFormat="false" ht="13.5" hidden="false" customHeight="true" outlineLevel="0" collapsed="false">
      <c r="B101" s="6" t="n">
        <f aca="false">+B100+1</f>
        <v>97</v>
      </c>
      <c r="C101" s="7" t="n">
        <f aca="false">F100</f>
        <v>4705242.26137785</v>
      </c>
      <c r="D101" s="7" t="n">
        <f aca="false">'Debt Financing'!$D$3/12*C101</f>
        <v>19017.0208064021</v>
      </c>
      <c r="E101" s="7" t="n">
        <f aca="false">IF(B101&lt;='Debt Financing'!$D$4,0,'Debt Financing'!$D$7/12-D101)</f>
        <v>9302.72651060813</v>
      </c>
      <c r="F101" s="7" t="n">
        <f aca="false">C101-E101</f>
        <v>4695939.53486724</v>
      </c>
      <c r="H101" s="6" t="n">
        <f aca="false">+H100+1</f>
        <v>97</v>
      </c>
      <c r="I101" s="7" t="n">
        <f aca="false">L100</f>
        <v>0</v>
      </c>
      <c r="J101" s="7" t="n">
        <f aca="false">'Debt Financing'!$D$27/12*I101</f>
        <v>0</v>
      </c>
      <c r="K101" s="7" t="n">
        <f aca="false">IF('Executive Summary'!$L$18=0,0,'Debt Financing'!$D$30/12-J101)</f>
        <v>0</v>
      </c>
      <c r="L101" s="7" t="n">
        <f aca="false">I101-K101</f>
        <v>0</v>
      </c>
    </row>
    <row r="102" customFormat="false" ht="13.5" hidden="false" customHeight="true" outlineLevel="0" collapsed="false">
      <c r="B102" s="6" t="n">
        <f aca="false">+B101+1</f>
        <v>98</v>
      </c>
      <c r="C102" s="7" t="n">
        <f aca="false">F101</f>
        <v>4695939.53486724</v>
      </c>
      <c r="D102" s="7" t="n">
        <f aca="false">'Debt Financing'!$D$3/12*C102</f>
        <v>18979.4222867551</v>
      </c>
      <c r="E102" s="7" t="n">
        <f aca="false">IF(B102&lt;='Debt Financing'!$D$4,0,'Debt Financing'!$D$7/12-D102)</f>
        <v>9340.32503025517</v>
      </c>
      <c r="F102" s="7" t="n">
        <f aca="false">C102-E102</f>
        <v>4686599.20983698</v>
      </c>
      <c r="H102" s="6" t="n">
        <f aca="false">+H101+1</f>
        <v>98</v>
      </c>
      <c r="I102" s="7" t="n">
        <f aca="false">L101</f>
        <v>0</v>
      </c>
      <c r="J102" s="7" t="n">
        <f aca="false">'Debt Financing'!$D$27/12*I102</f>
        <v>0</v>
      </c>
      <c r="K102" s="7" t="n">
        <f aca="false">IF('Executive Summary'!$L$18=0,0,'Debt Financing'!$D$30/12-J102)</f>
        <v>0</v>
      </c>
      <c r="L102" s="7" t="n">
        <f aca="false">I102-K102</f>
        <v>0</v>
      </c>
    </row>
    <row r="103" customFormat="false" ht="13.5" hidden="false" customHeight="true" outlineLevel="0" collapsed="false">
      <c r="B103" s="6" t="n">
        <f aca="false">+B102+1</f>
        <v>99</v>
      </c>
      <c r="C103" s="7" t="n">
        <f aca="false">F102</f>
        <v>4686599.20983698</v>
      </c>
      <c r="D103" s="7" t="n">
        <f aca="false">'Debt Financing'!$D$3/12*C103</f>
        <v>18941.6718064245</v>
      </c>
      <c r="E103" s="7" t="n">
        <f aca="false">IF(B103&lt;='Debt Financing'!$D$4,0,'Debt Financing'!$D$7/12-D103)</f>
        <v>9378.07551058578</v>
      </c>
      <c r="F103" s="7" t="n">
        <f aca="false">C103-E103</f>
        <v>4677221.1343264</v>
      </c>
      <c r="H103" s="6" t="n">
        <f aca="false">+H102+1</f>
        <v>99</v>
      </c>
      <c r="I103" s="7" t="n">
        <f aca="false">L102</f>
        <v>0</v>
      </c>
      <c r="J103" s="7" t="n">
        <f aca="false">'Debt Financing'!$D$27/12*I103</f>
        <v>0</v>
      </c>
      <c r="K103" s="7" t="n">
        <f aca="false">IF('Executive Summary'!$L$18=0,0,'Debt Financing'!$D$30/12-J103)</f>
        <v>0</v>
      </c>
      <c r="L103" s="7" t="n">
        <f aca="false">I103-K103</f>
        <v>0</v>
      </c>
    </row>
    <row r="104" customFormat="false" ht="13.5" hidden="false" customHeight="true" outlineLevel="0" collapsed="false">
      <c r="B104" s="6" t="n">
        <f aca="false">+B103+1</f>
        <v>100</v>
      </c>
      <c r="C104" s="7" t="n">
        <f aca="false">F103</f>
        <v>4677221.1343264</v>
      </c>
      <c r="D104" s="7" t="n">
        <f aca="false">'Debt Financing'!$D$3/12*C104</f>
        <v>18903.7687512359</v>
      </c>
      <c r="E104" s="7" t="n">
        <f aca="false">IF(B104&lt;='Debt Financing'!$D$4,0,'Debt Financing'!$D$7/12-D104)</f>
        <v>9415.9785657744</v>
      </c>
      <c r="F104" s="7" t="n">
        <f aca="false">C104-E104</f>
        <v>4667805.15576062</v>
      </c>
      <c r="H104" s="6" t="n">
        <f aca="false">+H103+1</f>
        <v>100</v>
      </c>
      <c r="I104" s="7" t="n">
        <f aca="false">L103</f>
        <v>0</v>
      </c>
      <c r="J104" s="7" t="n">
        <f aca="false">'Debt Financing'!$D$27/12*I104</f>
        <v>0</v>
      </c>
      <c r="K104" s="7" t="n">
        <f aca="false">IF('Executive Summary'!$L$18=0,0,'Debt Financing'!$D$30/12-J104)</f>
        <v>0</v>
      </c>
      <c r="L104" s="7" t="n">
        <f aca="false">I104-K104</f>
        <v>0</v>
      </c>
    </row>
    <row r="105" customFormat="false" ht="13.5" hidden="false" customHeight="true" outlineLevel="0" collapsed="false">
      <c r="B105" s="6" t="n">
        <f aca="false">+B104+1</f>
        <v>101</v>
      </c>
      <c r="C105" s="7" t="n">
        <f aca="false">F104</f>
        <v>4667805.15576062</v>
      </c>
      <c r="D105" s="7" t="n">
        <f aca="false">'Debt Financing'!$D$3/12*C105</f>
        <v>18865.7125045325</v>
      </c>
      <c r="E105" s="7" t="n">
        <f aca="false">IF(B105&lt;='Debt Financing'!$D$4,0,'Debt Financing'!$D$7/12-D105)</f>
        <v>9454.03481247774</v>
      </c>
      <c r="F105" s="7" t="n">
        <f aca="false">C105-E105</f>
        <v>4658351.12094814</v>
      </c>
      <c r="H105" s="6" t="n">
        <f aca="false">+H104+1</f>
        <v>101</v>
      </c>
      <c r="I105" s="7" t="n">
        <f aca="false">L104</f>
        <v>0</v>
      </c>
      <c r="J105" s="7" t="n">
        <f aca="false">'Debt Financing'!$D$27/12*I105</f>
        <v>0</v>
      </c>
      <c r="K105" s="7" t="n">
        <f aca="false">IF('Executive Summary'!$L$18=0,0,'Debt Financing'!$D$30/12-J105)</f>
        <v>0</v>
      </c>
      <c r="L105" s="7" t="n">
        <f aca="false">I105-K105</f>
        <v>0</v>
      </c>
    </row>
    <row r="106" customFormat="false" ht="13.5" hidden="false" customHeight="true" outlineLevel="0" collapsed="false">
      <c r="B106" s="6" t="n">
        <f aca="false">+B105+1</f>
        <v>102</v>
      </c>
      <c r="C106" s="7" t="n">
        <f aca="false">F105</f>
        <v>4658351.12094814</v>
      </c>
      <c r="D106" s="7" t="n">
        <f aca="false">'Debt Financing'!$D$3/12*C106</f>
        <v>18827.5024471654</v>
      </c>
      <c r="E106" s="7" t="n">
        <f aca="false">IF(B106&lt;='Debt Financing'!$D$4,0,'Debt Financing'!$D$7/12-D106)</f>
        <v>9492.24486984484</v>
      </c>
      <c r="F106" s="7" t="n">
        <f aca="false">C106-E106</f>
        <v>4648858.8760783</v>
      </c>
      <c r="H106" s="6" t="n">
        <f aca="false">+H105+1</f>
        <v>102</v>
      </c>
      <c r="I106" s="7" t="n">
        <f aca="false">L105</f>
        <v>0</v>
      </c>
      <c r="J106" s="7" t="n">
        <f aca="false">'Debt Financing'!$D$27/12*I106</f>
        <v>0</v>
      </c>
      <c r="K106" s="7" t="n">
        <f aca="false">IF('Executive Summary'!$L$18=0,0,'Debt Financing'!$D$30/12-J106)</f>
        <v>0</v>
      </c>
      <c r="L106" s="7" t="n">
        <f aca="false">I106-K106</f>
        <v>0</v>
      </c>
    </row>
    <row r="107" customFormat="false" ht="13.5" hidden="false" customHeight="true" outlineLevel="0" collapsed="false">
      <c r="B107" s="6" t="n">
        <f aca="false">+B106+1</f>
        <v>103</v>
      </c>
      <c r="C107" s="7" t="n">
        <f aca="false">F106</f>
        <v>4648858.8760783</v>
      </c>
      <c r="D107" s="7" t="n">
        <f aca="false">'Debt Financing'!$D$3/12*C107</f>
        <v>18789.1379574831</v>
      </c>
      <c r="E107" s="7" t="n">
        <f aca="false">IF(B107&lt;='Debt Financing'!$D$4,0,'Debt Financing'!$D$7/12-D107)</f>
        <v>9530.60935952712</v>
      </c>
      <c r="F107" s="7" t="n">
        <f aca="false">C107-E107</f>
        <v>4639328.26671877</v>
      </c>
      <c r="H107" s="6" t="n">
        <f aca="false">+H106+1</f>
        <v>103</v>
      </c>
      <c r="I107" s="7" t="n">
        <f aca="false">L106</f>
        <v>0</v>
      </c>
      <c r="J107" s="7" t="n">
        <f aca="false">'Debt Financing'!$D$27/12*I107</f>
        <v>0</v>
      </c>
      <c r="K107" s="7" t="n">
        <f aca="false">IF('Executive Summary'!$L$18=0,0,'Debt Financing'!$D$30/12-J107)</f>
        <v>0</v>
      </c>
      <c r="L107" s="7" t="n">
        <f aca="false">I107-K107</f>
        <v>0</v>
      </c>
    </row>
    <row r="108" customFormat="false" ht="13.5" hidden="false" customHeight="true" outlineLevel="0" collapsed="false">
      <c r="B108" s="6" t="n">
        <f aca="false">+B107+1</f>
        <v>104</v>
      </c>
      <c r="C108" s="7" t="n">
        <f aca="false">F107</f>
        <v>4639328.26671877</v>
      </c>
      <c r="D108" s="7" t="n">
        <f aca="false">'Debt Financing'!$D$3/12*C108</f>
        <v>18750.6184113217</v>
      </c>
      <c r="E108" s="7" t="n">
        <f aca="false">IF(B108&lt;='Debt Financing'!$D$4,0,'Debt Financing'!$D$7/12-D108)</f>
        <v>9569.12890568855</v>
      </c>
      <c r="F108" s="7" t="n">
        <f aca="false">C108-E108</f>
        <v>4629759.13781308</v>
      </c>
      <c r="H108" s="6" t="n">
        <f aca="false">+H107+1</f>
        <v>104</v>
      </c>
      <c r="I108" s="7" t="n">
        <f aca="false">L107</f>
        <v>0</v>
      </c>
      <c r="J108" s="7" t="n">
        <f aca="false">'Debt Financing'!$D$27/12*I108</f>
        <v>0</v>
      </c>
      <c r="K108" s="7" t="n">
        <f aca="false">IF('Executive Summary'!$L$18=0,0,'Debt Financing'!$D$30/12-J108)</f>
        <v>0</v>
      </c>
      <c r="L108" s="7" t="n">
        <f aca="false">I108-K108</f>
        <v>0</v>
      </c>
    </row>
    <row r="109" customFormat="false" ht="13.5" hidden="false" customHeight="true" outlineLevel="0" collapsed="false">
      <c r="B109" s="6" t="n">
        <f aca="false">+B108+1</f>
        <v>105</v>
      </c>
      <c r="C109" s="7" t="n">
        <f aca="false">F108</f>
        <v>4629759.13781308</v>
      </c>
      <c r="D109" s="7" t="n">
        <f aca="false">'Debt Financing'!$D$3/12*C109</f>
        <v>18711.9431819945</v>
      </c>
      <c r="E109" s="7" t="n">
        <f aca="false">IF(B109&lt;='Debt Financing'!$D$4,0,'Debt Financing'!$D$7/12-D109)</f>
        <v>9607.8041350157</v>
      </c>
      <c r="F109" s="7" t="n">
        <f aca="false">C109-E109</f>
        <v>4620151.33367807</v>
      </c>
      <c r="H109" s="6" t="n">
        <f aca="false">+H108+1</f>
        <v>105</v>
      </c>
      <c r="I109" s="7" t="n">
        <f aca="false">L108</f>
        <v>0</v>
      </c>
      <c r="J109" s="7" t="n">
        <f aca="false">'Debt Financing'!$D$27/12*I109</f>
        <v>0</v>
      </c>
      <c r="K109" s="7" t="n">
        <f aca="false">IF('Executive Summary'!$L$18=0,0,'Debt Financing'!$D$30/12-J109)</f>
        <v>0</v>
      </c>
      <c r="L109" s="7" t="n">
        <f aca="false">I109-K109</f>
        <v>0</v>
      </c>
    </row>
    <row r="110" customFormat="false" ht="13.5" hidden="false" customHeight="true" outlineLevel="0" collapsed="false">
      <c r="B110" s="6" t="n">
        <f aca="false">+B109+1</f>
        <v>106</v>
      </c>
      <c r="C110" s="7" t="n">
        <f aca="false">F109</f>
        <v>4620151.33367807</v>
      </c>
      <c r="D110" s="7" t="n">
        <f aca="false">'Debt Financing'!$D$3/12*C110</f>
        <v>18673.1116402822</v>
      </c>
      <c r="E110" s="7" t="n">
        <f aca="false">IF(B110&lt;='Debt Financing'!$D$4,0,'Debt Financing'!$D$7/12-D110)</f>
        <v>9646.63567672806</v>
      </c>
      <c r="F110" s="7" t="n">
        <f aca="false">C110-E110</f>
        <v>4610504.69800134</v>
      </c>
      <c r="H110" s="6" t="n">
        <f aca="false">+H109+1</f>
        <v>106</v>
      </c>
      <c r="I110" s="7" t="n">
        <f aca="false">L109</f>
        <v>0</v>
      </c>
      <c r="J110" s="7" t="n">
        <f aca="false">'Debt Financing'!$D$27/12*I110</f>
        <v>0</v>
      </c>
      <c r="K110" s="7" t="n">
        <f aca="false">IF('Executive Summary'!$L$18=0,0,'Debt Financing'!$D$30/12-J110)</f>
        <v>0</v>
      </c>
      <c r="L110" s="7" t="n">
        <f aca="false">I110-K110</f>
        <v>0</v>
      </c>
    </row>
    <row r="111" customFormat="false" ht="13.5" hidden="false" customHeight="true" outlineLevel="0" collapsed="false">
      <c r="B111" s="6" t="n">
        <f aca="false">+B110+1</f>
        <v>107</v>
      </c>
      <c r="C111" s="7" t="n">
        <f aca="false">F110</f>
        <v>4610504.69800134</v>
      </c>
      <c r="D111" s="7" t="n">
        <f aca="false">'Debt Financing'!$D$3/12*C111</f>
        <v>18634.1231544221</v>
      </c>
      <c r="E111" s="7" t="n">
        <f aca="false">IF(B111&lt;='Debt Financing'!$D$4,0,'Debt Financing'!$D$7/12-D111)</f>
        <v>9685.62416258817</v>
      </c>
      <c r="F111" s="7" t="n">
        <f aca="false">C111-E111</f>
        <v>4600819.07383875</v>
      </c>
      <c r="H111" s="6" t="n">
        <f aca="false">+H110+1</f>
        <v>107</v>
      </c>
      <c r="I111" s="7" t="n">
        <f aca="false">L110</f>
        <v>0</v>
      </c>
      <c r="J111" s="7" t="n">
        <f aca="false">'Debt Financing'!$D$27/12*I111</f>
        <v>0</v>
      </c>
      <c r="K111" s="7" t="n">
        <f aca="false">IF('Executive Summary'!$L$18=0,0,'Debt Financing'!$D$30/12-J111)</f>
        <v>0</v>
      </c>
      <c r="L111" s="7" t="n">
        <f aca="false">I111-K111</f>
        <v>0</v>
      </c>
    </row>
    <row r="112" customFormat="false" ht="13.5" hidden="false" customHeight="true" outlineLevel="0" collapsed="false">
      <c r="B112" s="6" t="n">
        <f aca="false">+B111+1</f>
        <v>108</v>
      </c>
      <c r="C112" s="7" t="n">
        <f aca="false">F111</f>
        <v>4600819.07383875</v>
      </c>
      <c r="D112" s="7" t="n">
        <f aca="false">'Debt Financing'!$D$3/12*C112</f>
        <v>18594.9770900983</v>
      </c>
      <c r="E112" s="7" t="n">
        <f aca="false">IF(B112&lt;='Debt Financing'!$D$4,0,'Debt Financing'!$D$7/12-D112)</f>
        <v>9724.77022691196</v>
      </c>
      <c r="F112" s="7" t="n">
        <f aca="false">C112-E112</f>
        <v>4591094.30361184</v>
      </c>
      <c r="H112" s="6" t="n">
        <f aca="false">+H111+1</f>
        <v>108</v>
      </c>
      <c r="I112" s="7" t="n">
        <f aca="false">L111</f>
        <v>0</v>
      </c>
      <c r="J112" s="7" t="n">
        <f aca="false">'Debt Financing'!$D$27/12*I112</f>
        <v>0</v>
      </c>
      <c r="K112" s="7" t="n">
        <f aca="false">IF('Executive Summary'!$L$18=0,0,'Debt Financing'!$D$30/12-J112)</f>
        <v>0</v>
      </c>
      <c r="L112" s="7" t="n">
        <f aca="false">I112-K112</f>
        <v>0</v>
      </c>
    </row>
    <row r="113" customFormat="false" ht="13.5" hidden="false" customHeight="true" outlineLevel="0" collapsed="false">
      <c r="B113" s="6" t="n">
        <f aca="false">+B112+1</f>
        <v>109</v>
      </c>
      <c r="C113" s="7" t="n">
        <f aca="false">F112</f>
        <v>4591094.30361184</v>
      </c>
      <c r="D113" s="7" t="n">
        <f aca="false">'Debt Financing'!$D$3/12*C113</f>
        <v>18555.6728104312</v>
      </c>
      <c r="E113" s="7" t="n">
        <f aca="false">IF(B113&lt;='Debt Financing'!$D$4,0,'Debt Financing'!$D$7/12-D113)</f>
        <v>9764.07450657906</v>
      </c>
      <c r="F113" s="7" t="n">
        <f aca="false">C113-E113</f>
        <v>4581330.22910526</v>
      </c>
      <c r="H113" s="6" t="n">
        <f aca="false">+H112+1</f>
        <v>109</v>
      </c>
      <c r="I113" s="7" t="n">
        <f aca="false">L112</f>
        <v>0</v>
      </c>
      <c r="J113" s="7" t="n">
        <f aca="false">'Debt Financing'!$D$27/12*I113</f>
        <v>0</v>
      </c>
      <c r="K113" s="7" t="n">
        <f aca="false">IF('Executive Summary'!$L$18=0,0,'Debt Financing'!$D$30/12-J113)</f>
        <v>0</v>
      </c>
      <c r="L113" s="7" t="n">
        <f aca="false">I113-K113</f>
        <v>0</v>
      </c>
    </row>
    <row r="114" customFormat="false" ht="13.5" hidden="false" customHeight="true" outlineLevel="0" collapsed="false">
      <c r="B114" s="6" t="n">
        <f aca="false">+B113+1</f>
        <v>110</v>
      </c>
      <c r="C114" s="7" t="n">
        <f aca="false">F113</f>
        <v>4581330.22910526</v>
      </c>
      <c r="D114" s="7" t="n">
        <f aca="false">'Debt Financing'!$D$3/12*C114</f>
        <v>18516.2096759671</v>
      </c>
      <c r="E114" s="7" t="n">
        <f aca="false">IF(B114&lt;='Debt Financing'!$D$4,0,'Debt Financing'!$D$7/12-D114)</f>
        <v>9803.53764104315</v>
      </c>
      <c r="F114" s="7" t="n">
        <f aca="false">C114-E114</f>
        <v>4571526.69146422</v>
      </c>
      <c r="H114" s="6" t="n">
        <f aca="false">+H113+1</f>
        <v>110</v>
      </c>
      <c r="I114" s="7" t="n">
        <f aca="false">L113</f>
        <v>0</v>
      </c>
      <c r="J114" s="7" t="n">
        <f aca="false">'Debt Financing'!$D$27/12*I114</f>
        <v>0</v>
      </c>
      <c r="K114" s="7" t="n">
        <f aca="false">IF('Executive Summary'!$L$18=0,0,'Debt Financing'!$D$30/12-J114)</f>
        <v>0</v>
      </c>
      <c r="L114" s="7" t="n">
        <f aca="false">I114-K114</f>
        <v>0</v>
      </c>
    </row>
    <row r="115" customFormat="false" ht="13.5" hidden="false" customHeight="true" outlineLevel="0" collapsed="false">
      <c r="B115" s="6" t="n">
        <f aca="false">+B114+1</f>
        <v>111</v>
      </c>
      <c r="C115" s="7" t="n">
        <f aca="false">F114</f>
        <v>4571526.69146422</v>
      </c>
      <c r="D115" s="7" t="n">
        <f aca="false">'Debt Financing'!$D$3/12*C115</f>
        <v>18476.5870446679</v>
      </c>
      <c r="E115" s="7" t="n">
        <f aca="false">IF(B115&lt;='Debt Financing'!$D$4,0,'Debt Financing'!$D$7/12-D115)</f>
        <v>9843.16027234237</v>
      </c>
      <c r="F115" s="7" t="n">
        <f aca="false">C115-E115</f>
        <v>4561683.53119188</v>
      </c>
      <c r="H115" s="6" t="n">
        <f aca="false">+H114+1</f>
        <v>111</v>
      </c>
      <c r="I115" s="7" t="n">
        <f aca="false">L114</f>
        <v>0</v>
      </c>
      <c r="J115" s="7" t="n">
        <f aca="false">'Debt Financing'!$D$27/12*I115</f>
        <v>0</v>
      </c>
      <c r="K115" s="7" t="n">
        <f aca="false">IF('Executive Summary'!$L$18=0,0,'Debt Financing'!$D$30/12-J115)</f>
        <v>0</v>
      </c>
      <c r="L115" s="7" t="n">
        <f aca="false">I115-K115</f>
        <v>0</v>
      </c>
    </row>
    <row r="116" customFormat="false" ht="13.5" hidden="false" customHeight="true" outlineLevel="0" collapsed="false">
      <c r="B116" s="6" t="n">
        <f aca="false">+B115+1</f>
        <v>112</v>
      </c>
      <c r="C116" s="7" t="n">
        <f aca="false">F115</f>
        <v>4561683.53119188</v>
      </c>
      <c r="D116" s="7" t="n">
        <f aca="false">'Debt Financing'!$D$3/12*C116</f>
        <v>18436.8042719005</v>
      </c>
      <c r="E116" s="7" t="n">
        <f aca="false">IF(B116&lt;='Debt Financing'!$D$4,0,'Debt Financing'!$D$7/12-D116)</f>
        <v>9882.94304510975</v>
      </c>
      <c r="F116" s="7" t="n">
        <f aca="false">C116-E116</f>
        <v>4551800.58814677</v>
      </c>
      <c r="H116" s="6" t="n">
        <f aca="false">+H115+1</f>
        <v>112</v>
      </c>
      <c r="I116" s="7" t="n">
        <f aca="false">L115</f>
        <v>0</v>
      </c>
      <c r="J116" s="7" t="n">
        <f aca="false">'Debt Financing'!$D$27/12*I116</f>
        <v>0</v>
      </c>
      <c r="K116" s="7" t="n">
        <f aca="false">IF('Executive Summary'!$L$18=0,0,'Debt Financing'!$D$30/12-J116)</f>
        <v>0</v>
      </c>
      <c r="L116" s="7" t="n">
        <f aca="false">I116-K116</f>
        <v>0</v>
      </c>
    </row>
    <row r="117" customFormat="false" ht="13.5" hidden="false" customHeight="true" outlineLevel="0" collapsed="false">
      <c r="B117" s="6" t="n">
        <f aca="false">+B116+1</f>
        <v>113</v>
      </c>
      <c r="C117" s="7" t="n">
        <f aca="false">F116</f>
        <v>4551800.58814677</v>
      </c>
      <c r="D117" s="7" t="n">
        <f aca="false">'Debt Financing'!$D$3/12*C117</f>
        <v>18396.8607104265</v>
      </c>
      <c r="E117" s="7" t="n">
        <f aca="false">IF(B117&lt;='Debt Financing'!$D$4,0,'Debt Financing'!$D$7/12-D117)</f>
        <v>9922.88660658374</v>
      </c>
      <c r="F117" s="7" t="n">
        <f aca="false">C117-E117</f>
        <v>4541877.70154018</v>
      </c>
      <c r="H117" s="6" t="n">
        <f aca="false">+H116+1</f>
        <v>113</v>
      </c>
      <c r="I117" s="7" t="n">
        <f aca="false">L116</f>
        <v>0</v>
      </c>
      <c r="J117" s="7" t="n">
        <f aca="false">'Debt Financing'!$D$27/12*I117</f>
        <v>0</v>
      </c>
      <c r="K117" s="7" t="n">
        <f aca="false">IF('Executive Summary'!$L$18=0,0,'Debt Financing'!$D$30/12-J117)</f>
        <v>0</v>
      </c>
      <c r="L117" s="7" t="n">
        <f aca="false">I117-K117</f>
        <v>0</v>
      </c>
    </row>
    <row r="118" customFormat="false" ht="13.5" hidden="false" customHeight="true" outlineLevel="0" collapsed="false">
      <c r="B118" s="6" t="n">
        <f aca="false">+B117+1</f>
        <v>114</v>
      </c>
      <c r="C118" s="7" t="n">
        <f aca="false">F117</f>
        <v>4541877.70154018</v>
      </c>
      <c r="D118" s="7" t="n">
        <f aca="false">'Debt Financing'!$D$3/12*C118</f>
        <v>18356.7557103916</v>
      </c>
      <c r="E118" s="7" t="n">
        <f aca="false">IF(B118&lt;='Debt Financing'!$D$4,0,'Debt Financing'!$D$7/12-D118)</f>
        <v>9962.99160661868</v>
      </c>
      <c r="F118" s="7" t="n">
        <f aca="false">C118-E118</f>
        <v>4531914.70993356</v>
      </c>
      <c r="H118" s="6" t="n">
        <f aca="false">+H117+1</f>
        <v>114</v>
      </c>
      <c r="I118" s="7" t="n">
        <f aca="false">L117</f>
        <v>0</v>
      </c>
      <c r="J118" s="7" t="n">
        <f aca="false">'Debt Financing'!$D$27/12*I118</f>
        <v>0</v>
      </c>
      <c r="K118" s="7" t="n">
        <f aca="false">IF('Executive Summary'!$L$18=0,0,'Debt Financing'!$D$30/12-J118)</f>
        <v>0</v>
      </c>
      <c r="L118" s="7" t="n">
        <f aca="false">I118-K118</f>
        <v>0</v>
      </c>
    </row>
    <row r="119" customFormat="false" ht="13.5" hidden="false" customHeight="true" outlineLevel="0" collapsed="false">
      <c r="B119" s="6" t="n">
        <f aca="false">+B118+1</f>
        <v>115</v>
      </c>
      <c r="C119" s="7" t="n">
        <f aca="false">F118</f>
        <v>4531914.70993356</v>
      </c>
      <c r="D119" s="7" t="n">
        <f aca="false">'Debt Financing'!$D$3/12*C119</f>
        <v>18316.4886193148</v>
      </c>
      <c r="E119" s="7" t="n">
        <f aca="false">IF(B119&lt;='Debt Financing'!$D$4,0,'Debt Financing'!$D$7/12-D119)</f>
        <v>10003.2586976954</v>
      </c>
      <c r="F119" s="7" t="n">
        <f aca="false">C119-E119</f>
        <v>4521911.45123587</v>
      </c>
      <c r="H119" s="6" t="n">
        <f aca="false">+H118+1</f>
        <v>115</v>
      </c>
      <c r="I119" s="7" t="n">
        <f aca="false">L118</f>
        <v>0</v>
      </c>
      <c r="J119" s="7" t="n">
        <f aca="false">'Debt Financing'!$D$27/12*I119</f>
        <v>0</v>
      </c>
      <c r="K119" s="7" t="n">
        <f aca="false">IF('Executive Summary'!$L$18=0,0,'Debt Financing'!$D$30/12-J119)</f>
        <v>0</v>
      </c>
      <c r="L119" s="7" t="n">
        <f aca="false">I119-K119</f>
        <v>0</v>
      </c>
    </row>
    <row r="120" customFormat="false" ht="13.5" hidden="false" customHeight="true" outlineLevel="0" collapsed="false">
      <c r="B120" s="6" t="n">
        <f aca="false">+B119+1</f>
        <v>116</v>
      </c>
      <c r="C120" s="7" t="n">
        <f aca="false">F119</f>
        <v>4521911.45123587</v>
      </c>
      <c r="D120" s="7" t="n">
        <f aca="false">'Debt Financing'!$D$3/12*C120</f>
        <v>18276.0587820783</v>
      </c>
      <c r="E120" s="7" t="n">
        <f aca="false">IF(B120&lt;='Debt Financing'!$D$4,0,'Debt Financing'!$D$7/12-D120)</f>
        <v>10043.6885349319</v>
      </c>
      <c r="F120" s="7" t="n">
        <f aca="false">C120-E120</f>
        <v>4511867.76270094</v>
      </c>
      <c r="H120" s="6" t="n">
        <f aca="false">+H119+1</f>
        <v>116</v>
      </c>
      <c r="I120" s="7" t="n">
        <f aca="false">L119</f>
        <v>0</v>
      </c>
      <c r="J120" s="7" t="n">
        <f aca="false">'Debt Financing'!$D$27/12*I120</f>
        <v>0</v>
      </c>
      <c r="K120" s="7" t="n">
        <f aca="false">IF('Executive Summary'!$L$18=0,0,'Debt Financing'!$D$30/12-J120)</f>
        <v>0</v>
      </c>
      <c r="L120" s="7" t="n">
        <f aca="false">I120-K120</f>
        <v>0</v>
      </c>
    </row>
    <row r="121" customFormat="false" ht="13.5" hidden="false" customHeight="true" outlineLevel="0" collapsed="false">
      <c r="B121" s="6" t="n">
        <f aca="false">+B120+1</f>
        <v>117</v>
      </c>
      <c r="C121" s="7" t="n">
        <f aca="false">F120</f>
        <v>4511867.76270094</v>
      </c>
      <c r="D121" s="7" t="n">
        <f aca="false">'Debt Financing'!$D$3/12*C121</f>
        <v>18235.4655409163</v>
      </c>
      <c r="E121" s="7" t="n">
        <f aca="false">IF(B121&lt;='Debt Financing'!$D$4,0,'Debt Financing'!$D$7/12-D121)</f>
        <v>10084.281776094</v>
      </c>
      <c r="F121" s="7" t="n">
        <f aca="false">C121-E121</f>
        <v>4501783.48092484</v>
      </c>
      <c r="H121" s="6" t="n">
        <f aca="false">+H120+1</f>
        <v>117</v>
      </c>
      <c r="I121" s="7" t="n">
        <f aca="false">L120</f>
        <v>0</v>
      </c>
      <c r="J121" s="7" t="n">
        <f aca="false">'Debt Financing'!$D$27/12*I121</f>
        <v>0</v>
      </c>
      <c r="K121" s="7" t="n">
        <f aca="false">IF('Executive Summary'!$L$18=0,0,'Debt Financing'!$D$30/12-J121)</f>
        <v>0</v>
      </c>
      <c r="L121" s="7" t="n">
        <f aca="false">I121-K121</f>
        <v>0</v>
      </c>
    </row>
    <row r="122" customFormat="false" ht="13.5" hidden="false" customHeight="true" outlineLevel="0" collapsed="false">
      <c r="B122" s="6" t="n">
        <f aca="false">+B121+1</f>
        <v>118</v>
      </c>
      <c r="C122" s="7" t="n">
        <f aca="false">F121</f>
        <v>4501783.48092484</v>
      </c>
      <c r="D122" s="7" t="n">
        <f aca="false">'Debt Financing'!$D$3/12*C122</f>
        <v>18194.7082354046</v>
      </c>
      <c r="E122" s="7" t="n">
        <f aca="false">IF(B122&lt;='Debt Financing'!$D$4,0,'Debt Financing'!$D$7/12-D122)</f>
        <v>10125.0390816057</v>
      </c>
      <c r="F122" s="7" t="n">
        <f aca="false">C122-E122</f>
        <v>4491658.44184324</v>
      </c>
      <c r="H122" s="6" t="n">
        <f aca="false">+H121+1</f>
        <v>118</v>
      </c>
      <c r="I122" s="7" t="n">
        <f aca="false">L121</f>
        <v>0</v>
      </c>
      <c r="J122" s="7" t="n">
        <f aca="false">'Debt Financing'!$D$27/12*I122</f>
        <v>0</v>
      </c>
      <c r="K122" s="7" t="n">
        <f aca="false">IF('Executive Summary'!$L$18=0,0,'Debt Financing'!$D$30/12-J122)</f>
        <v>0</v>
      </c>
      <c r="L122" s="7" t="n">
        <f aca="false">I122-K122</f>
        <v>0</v>
      </c>
    </row>
    <row r="123" customFormat="false" ht="13.5" hidden="false" customHeight="true" outlineLevel="0" collapsed="false">
      <c r="B123" s="6" t="n">
        <f aca="false">+B122+1</f>
        <v>119</v>
      </c>
      <c r="C123" s="7" t="n">
        <f aca="false">F122</f>
        <v>4491658.44184324</v>
      </c>
      <c r="D123" s="7" t="n">
        <f aca="false">'Debt Financing'!$D$3/12*C123</f>
        <v>18153.7862024497</v>
      </c>
      <c r="E123" s="7" t="n">
        <f aca="false">IF(B123&lt;='Debt Financing'!$D$4,0,'Debt Financing'!$D$7/12-D123)</f>
        <v>10165.9611145605</v>
      </c>
      <c r="F123" s="7" t="n">
        <f aca="false">C123-E123</f>
        <v>4481492.48072868</v>
      </c>
      <c r="H123" s="6" t="n">
        <f aca="false">+H122+1</f>
        <v>119</v>
      </c>
      <c r="I123" s="7" t="n">
        <f aca="false">L122</f>
        <v>0</v>
      </c>
      <c r="J123" s="7" t="n">
        <f aca="false">'Debt Financing'!$D$27/12*I123</f>
        <v>0</v>
      </c>
      <c r="K123" s="7" t="n">
        <f aca="false">IF('Executive Summary'!$L$18=0,0,'Debt Financing'!$D$30/12-J123)</f>
        <v>0</v>
      </c>
      <c r="L123" s="7" t="n">
        <f aca="false">I123-K123</f>
        <v>0</v>
      </c>
    </row>
    <row r="124" customFormat="false" ht="13.5" hidden="false" customHeight="true" outlineLevel="0" collapsed="false">
      <c r="B124" s="6" t="n">
        <f aca="false">+B123+1</f>
        <v>120</v>
      </c>
      <c r="C124" s="7" t="n">
        <f aca="false">F123</f>
        <v>4481492.48072868</v>
      </c>
      <c r="D124" s="7" t="n">
        <f aca="false">'Debt Financing'!$D$3/12*C124</f>
        <v>18112.6987762784</v>
      </c>
      <c r="E124" s="7" t="n">
        <f aca="false">IF(B124&lt;='Debt Financing'!$D$4,0,'Debt Financing'!$D$7/12-D124)</f>
        <v>10207.0485407318</v>
      </c>
      <c r="F124" s="7" t="n">
        <f aca="false">C124-E124</f>
        <v>4471285.43218795</v>
      </c>
      <c r="H124" s="6" t="n">
        <f aca="false">+H123+1</f>
        <v>120</v>
      </c>
      <c r="I124" s="7" t="n">
        <f aca="false">L123</f>
        <v>0</v>
      </c>
      <c r="J124" s="7" t="n">
        <f aca="false">'Debt Financing'!$D$27/12*I124</f>
        <v>0</v>
      </c>
      <c r="K124" s="7" t="n">
        <f aca="false">IF('Executive Summary'!$L$18=0,0,'Debt Financing'!$D$30/12-J124)</f>
        <v>0</v>
      </c>
      <c r="L124" s="7" t="n">
        <f aca="false">I124-K124</f>
        <v>0</v>
      </c>
    </row>
  </sheetData>
  <mergeCells count="2">
    <mergeCell ref="B2:F2"/>
    <mergeCell ref="H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B2:F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3" activeCellId="0" sqref="F3"/>
    </sheetView>
  </sheetViews>
  <sheetFormatPr defaultColWidth="8.83203125" defaultRowHeight="13.5" zeroHeight="false" outlineLevelRow="0" outlineLevelCol="0"/>
  <cols>
    <col collapsed="false" customWidth="true" hidden="false" outlineLevel="0" max="1" min="1" style="10" width="2.67"/>
    <col collapsed="false" customWidth="true" hidden="false" outlineLevel="0" max="2" min="2" style="10" width="16.83"/>
    <col collapsed="false" customWidth="true" hidden="false" outlineLevel="0" max="3" min="3" style="10" width="2.67"/>
    <col collapsed="false" customWidth="true" hidden="false" outlineLevel="0" max="4" min="4" style="10" width="12.16"/>
    <col collapsed="false" customWidth="true" hidden="false" outlineLevel="0" max="5" min="5" style="10" width="2.67"/>
    <col collapsed="false" customWidth="true" hidden="false" outlineLevel="0" max="6" min="6" style="10" width="12.16"/>
    <col collapsed="false" customWidth="false" hidden="false" outlineLevel="0" max="16384" min="7" style="10" width="8.83"/>
  </cols>
  <sheetData>
    <row r="2" customFormat="false" ht="13.5" hidden="false" customHeight="true" outlineLevel="0" collapsed="false">
      <c r="B2" s="11" t="s">
        <v>7</v>
      </c>
      <c r="D2" s="11" t="s">
        <v>8</v>
      </c>
      <c r="F2" s="11" t="s">
        <v>9</v>
      </c>
    </row>
    <row r="3" customFormat="false" ht="13.5" hidden="false" customHeight="true" outlineLevel="0" collapsed="false">
      <c r="B3" s="11" t="s">
        <v>10</v>
      </c>
      <c r="D3" s="11" t="s">
        <v>11</v>
      </c>
      <c r="F3" s="11" t="s">
        <v>12</v>
      </c>
    </row>
    <row r="4" customFormat="false" ht="13.5" hidden="false" customHeight="true" outlineLevel="0" collapsed="false">
      <c r="B4" s="11" t="s">
        <v>13</v>
      </c>
    </row>
    <row r="5" customFormat="false" ht="13.5" hidden="false" customHeight="true" outlineLevel="0" collapsed="false">
      <c r="B5" s="11" t="s">
        <v>14</v>
      </c>
    </row>
    <row r="6" customFormat="false" ht="13.5" hidden="false" customHeight="true" outlineLevel="0" collapsed="false">
      <c r="B6" s="11" t="s">
        <v>15</v>
      </c>
    </row>
    <row r="7" customFormat="false" ht="13.5" hidden="false" customHeight="true" outlineLevel="0" collapsed="false">
      <c r="B7" s="1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T55"/>
  <sheetViews>
    <sheetView showFormulas="false" showGridLines="true" showRowColHeaders="true" showZeros="true" rightToLeft="false" tabSelected="true" showOutlineSymbols="true" defaultGridColor="true" view="normal" topLeftCell="A4" colorId="64" zoomScale="90" zoomScaleNormal="90" zoomScalePageLayoutView="100" workbookViewId="0">
      <selection pane="topLeft" activeCell="Q11" activeCellId="0" sqref="Q11"/>
    </sheetView>
  </sheetViews>
  <sheetFormatPr defaultColWidth="8.83203125" defaultRowHeight="13.5" zeroHeight="false" outlineLevelRow="0" outlineLevelCol="0"/>
  <cols>
    <col collapsed="false" customWidth="true" hidden="false" outlineLevel="0" max="1" min="1" style="10" width="2.67"/>
    <col collapsed="false" customWidth="true" hidden="false" outlineLevel="0" max="2" min="2" style="10" width="32.67"/>
    <col collapsed="false" customWidth="true" hidden="false" outlineLevel="0" max="3" min="3" style="10" width="22.16"/>
    <col collapsed="false" customWidth="true" hidden="false" outlineLevel="0" max="4" min="4" style="10" width="13.5"/>
    <col collapsed="false" customWidth="true" hidden="false" outlineLevel="0" max="5" min="5" style="10" width="11.5"/>
    <col collapsed="false" customWidth="true" hidden="false" outlineLevel="0" max="6" min="6" style="10" width="7.5"/>
    <col collapsed="false" customWidth="true" hidden="false" outlineLevel="0" max="7" min="7" style="10" width="5.66"/>
    <col collapsed="false" customWidth="true" hidden="false" outlineLevel="0" max="8" min="8" style="10" width="32.5"/>
    <col collapsed="false" customWidth="true" hidden="false" outlineLevel="0" max="9" min="9" style="10" width="13"/>
    <col collapsed="false" customWidth="true" hidden="false" outlineLevel="0" max="10" min="10" style="10" width="5.66"/>
    <col collapsed="false" customWidth="true" hidden="false" outlineLevel="0" max="11" min="11" style="10" width="32.67"/>
    <col collapsed="false" customWidth="true" hidden="false" outlineLevel="0" max="12" min="12" style="10" width="12"/>
    <col collapsed="false" customWidth="true" hidden="false" outlineLevel="0" max="13" min="13" style="10" width="5.66"/>
    <col collapsed="false" customWidth="true" hidden="false" outlineLevel="0" max="14" min="14" style="10" width="31"/>
    <col collapsed="false" customWidth="true" hidden="false" outlineLevel="0" max="15" min="15" style="10" width="8.67"/>
    <col collapsed="false" customWidth="true" hidden="false" outlineLevel="0" max="16" min="16" style="10" width="14.33"/>
    <col collapsed="false" customWidth="true" hidden="false" outlineLevel="0" max="18" min="17" style="10" width="12.33"/>
    <col collapsed="false" customWidth="true" hidden="false" outlineLevel="0" max="19" min="19" style="10" width="10"/>
    <col collapsed="false" customWidth="false" hidden="false" outlineLevel="0" max="21" min="20" style="10" width="8.83"/>
    <col collapsed="false" customWidth="true" hidden="false" outlineLevel="0" max="22" min="22" style="10" width="12.5"/>
    <col collapsed="false" customWidth="false" hidden="false" outlineLevel="0" max="16384" min="23" style="10" width="8.83"/>
  </cols>
  <sheetData>
    <row r="2" customFormat="false" ht="13.5" hidden="false" customHeight="true" outlineLevel="0" collapsed="false">
      <c r="B2" s="12" t="s">
        <v>17</v>
      </c>
      <c r="C2" s="13"/>
      <c r="D2" s="13"/>
      <c r="E2" s="13"/>
      <c r="F2" s="13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</row>
    <row r="3" customFormat="false" ht="13.5" hidden="false" customHeight="true" outlineLevel="0" collapsed="false">
      <c r="B3" s="16"/>
      <c r="C3" s="17"/>
      <c r="D3" s="17"/>
      <c r="E3" s="17"/>
      <c r="F3" s="18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9"/>
    </row>
    <row r="4" customFormat="false" ht="13.5" hidden="false" customHeight="true" outlineLevel="0" collapsed="false">
      <c r="B4" s="20" t="s">
        <v>18</v>
      </c>
      <c r="C4" s="15"/>
      <c r="D4" s="17"/>
      <c r="E4" s="17"/>
      <c r="F4" s="17"/>
      <c r="G4" s="17"/>
      <c r="H4" s="20" t="s">
        <v>19</v>
      </c>
      <c r="I4" s="15"/>
      <c r="J4" s="17"/>
      <c r="K4" s="20" t="s">
        <v>20</v>
      </c>
      <c r="L4" s="15"/>
      <c r="M4" s="17"/>
      <c r="N4" s="21" t="s">
        <v>21</v>
      </c>
      <c r="O4" s="22" t="s">
        <v>22</v>
      </c>
      <c r="P4" s="23" t="s">
        <v>23</v>
      </c>
      <c r="Q4" s="17"/>
      <c r="R4" s="17"/>
      <c r="S4" s="17"/>
      <c r="T4" s="19"/>
    </row>
    <row r="5" customFormat="false" ht="13.5" hidden="false" customHeight="true" outlineLevel="0" collapsed="false">
      <c r="B5" s="16" t="s">
        <v>24</v>
      </c>
      <c r="C5" s="24" t="s">
        <v>17</v>
      </c>
      <c r="D5" s="17"/>
      <c r="E5" s="17"/>
      <c r="F5" s="17"/>
      <c r="G5" s="17"/>
      <c r="H5" s="16" t="s">
        <v>25</v>
      </c>
      <c r="I5" s="25" t="n">
        <f aca="false">'Cignal Market Read'!$C$43</f>
        <v>0.0066</v>
      </c>
      <c r="J5" s="17"/>
      <c r="K5" s="16" t="s">
        <v>26</v>
      </c>
      <c r="L5" s="26" t="n">
        <f aca="false">'Debt Financing'!D17</f>
        <v>5200000</v>
      </c>
      <c r="M5" s="17"/>
      <c r="N5" s="16" t="s">
        <v>27</v>
      </c>
      <c r="O5" s="27" t="n">
        <f aca="false">1-O6</f>
        <v>0.9</v>
      </c>
      <c r="P5" s="28" t="n">
        <f aca="false">O5*$P$7</f>
        <v>1873961.1</v>
      </c>
      <c r="Q5" s="17"/>
      <c r="R5" s="17"/>
      <c r="S5" s="17"/>
      <c r="T5" s="19"/>
    </row>
    <row r="6" customFormat="false" ht="13.5" hidden="false" customHeight="true" outlineLevel="0" collapsed="false">
      <c r="B6" s="16" t="s">
        <v>28</v>
      </c>
      <c r="C6" s="24" t="s">
        <v>29</v>
      </c>
      <c r="D6" s="29"/>
      <c r="E6" s="17"/>
      <c r="F6" s="17"/>
      <c r="G6" s="17"/>
      <c r="H6" s="16" t="s">
        <v>30</v>
      </c>
      <c r="I6" s="25" t="n">
        <f aca="false">'Cignal Market Read'!$C$44</f>
        <v>0.0326</v>
      </c>
      <c r="J6" s="17"/>
      <c r="K6" s="16" t="s">
        <v>31</v>
      </c>
      <c r="L6" s="30" t="n">
        <f aca="false">IFERROR(L5/C30,0)</f>
        <v>0.784905660377359</v>
      </c>
      <c r="M6" s="17"/>
      <c r="N6" s="31" t="s">
        <v>32</v>
      </c>
      <c r="O6" s="32" t="n">
        <v>0.1</v>
      </c>
      <c r="P6" s="33" t="n">
        <f aca="false">O6*$P$7</f>
        <v>208217.9</v>
      </c>
      <c r="Q6" s="17"/>
      <c r="R6" s="17"/>
      <c r="S6" s="17"/>
      <c r="T6" s="19"/>
    </row>
    <row r="7" customFormat="false" ht="13.5" hidden="false" customHeight="true" outlineLevel="0" collapsed="false">
      <c r="B7" s="16" t="s">
        <v>33</v>
      </c>
      <c r="C7" s="24" t="s">
        <v>34</v>
      </c>
      <c r="D7" s="17"/>
      <c r="E7" s="17"/>
      <c r="F7" s="17"/>
      <c r="G7" s="17"/>
      <c r="H7" s="31" t="s">
        <v>35</v>
      </c>
      <c r="I7" s="34" t="n">
        <f aca="false">'Cignal Market Read'!$C$45</f>
        <v>0.03</v>
      </c>
      <c r="J7" s="17"/>
      <c r="K7" s="16" t="s">
        <v>36</v>
      </c>
      <c r="L7" s="30" t="n">
        <f aca="false">L5/I23</f>
        <v>0.741982663289694</v>
      </c>
      <c r="M7" s="17"/>
      <c r="N7" s="35" t="s">
        <v>37</v>
      </c>
      <c r="O7" s="36" t="n">
        <f aca="false">SUM(O5:O6)</f>
        <v>1</v>
      </c>
      <c r="P7" s="37" t="n">
        <f aca="false">C33-C24</f>
        <v>2082179</v>
      </c>
      <c r="Q7" s="38"/>
      <c r="R7" s="17"/>
      <c r="S7" s="17"/>
      <c r="T7" s="19"/>
    </row>
    <row r="8" customFormat="false" ht="13.5" hidden="false" customHeight="true" outlineLevel="0" collapsed="false">
      <c r="B8" s="16" t="s">
        <v>38</v>
      </c>
      <c r="C8" s="24" t="s">
        <v>39</v>
      </c>
      <c r="D8" s="17"/>
      <c r="E8" s="17"/>
      <c r="F8" s="17"/>
      <c r="G8" s="17"/>
      <c r="H8" s="16" t="s">
        <v>40</v>
      </c>
      <c r="I8" s="39" t="n">
        <v>0.02</v>
      </c>
      <c r="J8" s="17"/>
      <c r="K8" s="16" t="s">
        <v>41</v>
      </c>
      <c r="L8" s="39" t="n">
        <v>0.0485</v>
      </c>
      <c r="M8" s="17"/>
      <c r="N8" s="17"/>
      <c r="O8" s="40"/>
      <c r="P8" s="17"/>
      <c r="Q8" s="17"/>
      <c r="R8" s="17"/>
      <c r="S8" s="17"/>
      <c r="T8" s="19"/>
    </row>
    <row r="9" customFormat="false" ht="13.5" hidden="false" customHeight="true" outlineLevel="0" collapsed="false">
      <c r="B9" s="16" t="s">
        <v>42</v>
      </c>
      <c r="C9" s="24" t="n">
        <v>1982</v>
      </c>
      <c r="D9" s="17"/>
      <c r="E9" s="17"/>
      <c r="F9" s="17"/>
      <c r="G9" s="17"/>
      <c r="H9" s="16" t="s">
        <v>43</v>
      </c>
      <c r="I9" s="39" t="n">
        <v>0.02</v>
      </c>
      <c r="J9" s="17"/>
      <c r="K9" s="16" t="s">
        <v>44</v>
      </c>
      <c r="L9" s="41" t="n">
        <v>10</v>
      </c>
      <c r="M9" s="17"/>
      <c r="N9" s="20" t="s">
        <v>45</v>
      </c>
      <c r="O9" s="14"/>
      <c r="P9" s="15"/>
      <c r="Q9" s="17"/>
      <c r="R9" s="17"/>
      <c r="S9" s="17"/>
      <c r="T9" s="19"/>
    </row>
    <row r="10" customFormat="false" ht="13.5" hidden="false" customHeight="true" outlineLevel="0" collapsed="false">
      <c r="B10" s="16" t="s">
        <v>46</v>
      </c>
      <c r="C10" s="24" t="s">
        <v>47</v>
      </c>
      <c r="D10" s="17"/>
      <c r="E10" s="17"/>
      <c r="F10" s="17"/>
      <c r="G10" s="17"/>
      <c r="H10" s="31" t="s">
        <v>48</v>
      </c>
      <c r="I10" s="42" t="n">
        <v>0.02</v>
      </c>
      <c r="J10" s="17"/>
      <c r="K10" s="16" t="s">
        <v>49</v>
      </c>
      <c r="L10" s="43" t="n">
        <v>36</v>
      </c>
      <c r="M10" s="17"/>
      <c r="N10" s="16" t="s">
        <v>50</v>
      </c>
      <c r="O10" s="44" t="n">
        <f aca="false">C37</f>
        <v>0.02</v>
      </c>
      <c r="P10" s="45" t="n">
        <f aca="false">D37</f>
        <v>132500</v>
      </c>
      <c r="Q10" s="17"/>
      <c r="R10" s="17"/>
      <c r="S10" s="17"/>
      <c r="T10" s="19"/>
    </row>
    <row r="11" customFormat="false" ht="13.5" hidden="false" customHeight="true" outlineLevel="0" collapsed="false">
      <c r="B11" s="16" t="s">
        <v>51</v>
      </c>
      <c r="C11" s="46" t="n">
        <v>10</v>
      </c>
      <c r="D11" s="17"/>
      <c r="E11" s="17"/>
      <c r="F11" s="17"/>
      <c r="G11" s="17"/>
      <c r="H11" s="17"/>
      <c r="I11" s="17"/>
      <c r="J11" s="17"/>
      <c r="K11" s="16" t="s">
        <v>52</v>
      </c>
      <c r="L11" s="41" t="n">
        <v>28</v>
      </c>
      <c r="M11" s="17"/>
      <c r="N11" s="16" t="s">
        <v>53</v>
      </c>
      <c r="O11" s="44" t="n">
        <f aca="false">C38</f>
        <v>0.02</v>
      </c>
      <c r="P11" s="45" t="n">
        <f aca="false">D38</f>
        <v>37479.222</v>
      </c>
      <c r="Q11" s="17"/>
      <c r="R11" s="17"/>
      <c r="S11" s="17"/>
      <c r="T11" s="19"/>
    </row>
    <row r="12" customFormat="false" ht="13.5" hidden="false" customHeight="true" outlineLevel="0" collapsed="false">
      <c r="B12" s="16" t="s">
        <v>54</v>
      </c>
      <c r="C12" s="46" t="n">
        <v>80</v>
      </c>
      <c r="D12" s="17"/>
      <c r="E12" s="17"/>
      <c r="F12" s="18"/>
      <c r="G12" s="17"/>
      <c r="H12" s="20" t="s">
        <v>55</v>
      </c>
      <c r="I12" s="15"/>
      <c r="J12" s="17"/>
      <c r="K12" s="16" t="s">
        <v>56</v>
      </c>
      <c r="L12" s="47" t="n">
        <v>1</v>
      </c>
      <c r="M12" s="17"/>
      <c r="N12" s="16" t="s">
        <v>57</v>
      </c>
      <c r="O12" s="48" t="n">
        <v>0.01</v>
      </c>
      <c r="P12" s="45" t="n">
        <f aca="false">'Cash Flow - Monthly'!E149</f>
        <v>43342.3551899411</v>
      </c>
      <c r="Q12" s="17"/>
      <c r="R12" s="17"/>
      <c r="S12" s="17"/>
      <c r="T12" s="19"/>
    </row>
    <row r="13" customFormat="false" ht="13.5" hidden="false" customHeight="true" outlineLevel="0" collapsed="false">
      <c r="B13" s="31" t="s">
        <v>58</v>
      </c>
      <c r="C13" s="49" t="n">
        <v>80640</v>
      </c>
      <c r="D13" s="17"/>
      <c r="E13" s="17"/>
      <c r="F13" s="18"/>
      <c r="G13" s="17"/>
      <c r="H13" s="16" t="s">
        <v>59</v>
      </c>
      <c r="I13" s="43" t="n">
        <v>60</v>
      </c>
      <c r="J13" s="17"/>
      <c r="K13" s="16" t="s">
        <v>60</v>
      </c>
      <c r="L13" s="39" t="n">
        <v>0</v>
      </c>
      <c r="M13" s="17"/>
      <c r="N13" s="31" t="s">
        <v>61</v>
      </c>
      <c r="O13" s="50" t="n">
        <v>0</v>
      </c>
      <c r="P13" s="51" t="n">
        <f aca="false">O13*I16</f>
        <v>0</v>
      </c>
      <c r="Q13" s="17"/>
      <c r="R13" s="17"/>
      <c r="S13" s="17"/>
      <c r="T13" s="19"/>
    </row>
    <row r="14" customFormat="false" ht="13.5" hidden="false" customHeight="true" outlineLevel="0" collapsed="false">
      <c r="B14" s="16"/>
      <c r="C14" s="17"/>
      <c r="D14" s="17"/>
      <c r="E14" s="17"/>
      <c r="F14" s="18"/>
      <c r="G14" s="17"/>
      <c r="H14" s="16" t="s">
        <v>62</v>
      </c>
      <c r="I14" s="45" t="n">
        <f aca="false">'Cash Flow - Monthly'!E59</f>
        <v>606550.054486373</v>
      </c>
      <c r="J14" s="17"/>
      <c r="K14" s="16" t="s">
        <v>63</v>
      </c>
      <c r="L14" s="52" t="n">
        <v>0</v>
      </c>
      <c r="M14" s="17"/>
      <c r="N14" s="17"/>
      <c r="O14" s="17"/>
      <c r="P14" s="17"/>
      <c r="Q14" s="17"/>
      <c r="R14" s="17"/>
      <c r="S14" s="17"/>
      <c r="T14" s="19"/>
    </row>
    <row r="15" customFormat="false" ht="13.5" hidden="false" customHeight="true" outlineLevel="0" collapsed="false">
      <c r="B15" s="20" t="s">
        <v>64</v>
      </c>
      <c r="C15" s="14"/>
      <c r="D15" s="14"/>
      <c r="E15" s="14"/>
      <c r="F15" s="15"/>
      <c r="G15" s="17"/>
      <c r="H15" s="16" t="s">
        <v>65</v>
      </c>
      <c r="I15" s="25" t="n">
        <f aca="false">'Cignal Market Read'!$C$47</f>
        <v>0.0677063396226415</v>
      </c>
      <c r="J15" s="17"/>
      <c r="K15" s="16"/>
      <c r="L15" s="19"/>
      <c r="M15" s="17"/>
      <c r="N15" s="53" t="s">
        <v>66</v>
      </c>
      <c r="O15" s="54" t="n">
        <v>0</v>
      </c>
      <c r="P15" s="17"/>
      <c r="Q15" s="17"/>
      <c r="R15" s="17"/>
      <c r="S15" s="17"/>
      <c r="T15" s="19"/>
    </row>
    <row r="16" customFormat="false" ht="13.5" hidden="false" customHeight="true" outlineLevel="0" collapsed="false">
      <c r="B16" s="55" t="s">
        <v>67</v>
      </c>
      <c r="C16" s="56" t="s">
        <v>68</v>
      </c>
      <c r="D16" s="56" t="s">
        <v>69</v>
      </c>
      <c r="E16" s="56" t="s">
        <v>70</v>
      </c>
      <c r="F16" s="57" t="s">
        <v>71</v>
      </c>
      <c r="G16" s="17"/>
      <c r="H16" s="16" t="s">
        <v>72</v>
      </c>
      <c r="I16" s="45" t="n">
        <f aca="false">'Cash Flow - Monthly'!E120</f>
        <v>8958541.51718959</v>
      </c>
      <c r="J16" s="17"/>
      <c r="K16" s="58" t="s">
        <v>15</v>
      </c>
      <c r="L16" s="59" t="s">
        <v>12</v>
      </c>
      <c r="M16" s="17"/>
      <c r="N16" s="17"/>
      <c r="O16" s="17"/>
      <c r="P16" s="17"/>
      <c r="Q16" s="17"/>
      <c r="R16" s="17"/>
      <c r="S16" s="17"/>
      <c r="T16" s="19"/>
    </row>
    <row r="17" customFormat="false" ht="13.5" hidden="false" customHeight="true" outlineLevel="0" collapsed="false">
      <c r="B17" s="60" t="s">
        <v>73</v>
      </c>
      <c r="C17" s="61" t="n">
        <f aca="false">'Unit Mix &amp; Comparables'!J51</f>
        <v>0</v>
      </c>
      <c r="D17" s="61" t="n">
        <f aca="false">'Unit Mix &amp; Comparables'!K51</f>
        <v>0</v>
      </c>
      <c r="E17" s="62" t="n">
        <f aca="false">'Unit Mix &amp; Comparables'!Q51</f>
        <v>0</v>
      </c>
      <c r="F17" s="63" t="n">
        <f aca="false">IFERROR(IF(C17, E17/D17, 0),0)</f>
        <v>0</v>
      </c>
      <c r="G17" s="17"/>
      <c r="H17" s="31" t="s">
        <v>74</v>
      </c>
      <c r="I17" s="42" t="n">
        <v>0.02</v>
      </c>
      <c r="J17" s="17"/>
      <c r="K17" s="64" t="s">
        <v>75</v>
      </c>
      <c r="L17" s="65" t="n">
        <v>0</v>
      </c>
      <c r="M17" s="17"/>
      <c r="N17" s="21" t="s">
        <v>76</v>
      </c>
      <c r="O17" s="66"/>
      <c r="P17" s="66"/>
      <c r="Q17" s="67"/>
      <c r="R17" s="22"/>
      <c r="S17" s="22"/>
      <c r="T17" s="23"/>
    </row>
    <row r="18" customFormat="false" ht="13.5" hidden="false" customHeight="true" outlineLevel="0" collapsed="false">
      <c r="B18" s="60" t="s">
        <v>77</v>
      </c>
      <c r="C18" s="61" t="n">
        <f aca="false">'Unit Mix &amp; Comparables'!J52</f>
        <v>0</v>
      </c>
      <c r="D18" s="61" t="n">
        <f aca="false">'Unit Mix &amp; Comparables'!K52</f>
        <v>0</v>
      </c>
      <c r="E18" s="62" t="n">
        <f aca="false">'Unit Mix &amp; Comparables'!Q52</f>
        <v>0</v>
      </c>
      <c r="F18" s="63" t="n">
        <f aca="false">IFERROR(IF(C18, E18/D18, 0),0)</f>
        <v>0</v>
      </c>
      <c r="G18" s="17"/>
      <c r="H18" s="17"/>
      <c r="I18" s="17"/>
      <c r="J18" s="17"/>
      <c r="K18" s="58" t="s">
        <v>78</v>
      </c>
      <c r="L18" s="68" t="n">
        <f aca="false">IF(L16="No",0,'Debt Financing'!D38)</f>
        <v>0</v>
      </c>
      <c r="M18" s="17"/>
      <c r="N18" s="69"/>
      <c r="O18" s="70"/>
      <c r="P18" s="70"/>
      <c r="Q18" s="71"/>
      <c r="R18" s="72"/>
      <c r="S18" s="70" t="s">
        <v>79</v>
      </c>
      <c r="T18" s="73"/>
    </row>
    <row r="19" customFormat="false" ht="13.5" hidden="false" customHeight="true" outlineLevel="0" collapsed="false">
      <c r="B19" s="60" t="s">
        <v>80</v>
      </c>
      <c r="C19" s="61" t="n">
        <f aca="false">'Unit Mix &amp; Comparables'!J53</f>
        <v>80</v>
      </c>
      <c r="D19" s="61" t="n">
        <f aca="false">'Unit Mix &amp; Comparables'!K53</f>
        <v>1008</v>
      </c>
      <c r="E19" s="62" t="n">
        <f aca="false">'Unit Mix &amp; Comparables'!Q53</f>
        <v>827.225</v>
      </c>
      <c r="F19" s="63" t="n">
        <f aca="false">IFERROR(IF(C19, E19/D19, 0),0)</f>
        <v>0.820659722222222</v>
      </c>
      <c r="G19" s="17"/>
      <c r="H19" s="20" t="s">
        <v>81</v>
      </c>
      <c r="I19" s="15"/>
      <c r="J19" s="17"/>
      <c r="K19" s="58" t="s">
        <v>82</v>
      </c>
      <c r="L19" s="74" t="str">
        <f aca="true">IF($L$16="No","N/A",IF($K$17="Refinance Month",$L$18/(4*SUM(OFFSET('Cash Flow - Monthly'!$G$55,0,$L$17-1,1,-3))/$I$15),($L$18+'Cash Flow - Monthly'!E98)/C30))</f>
        <v>N/A</v>
      </c>
      <c r="M19" s="17"/>
      <c r="N19" s="75" t="s">
        <v>83</v>
      </c>
      <c r="O19" s="76" t="s">
        <v>84</v>
      </c>
      <c r="P19" s="76" t="s">
        <v>85</v>
      </c>
      <c r="Q19" s="76" t="s">
        <v>86</v>
      </c>
      <c r="R19" s="76"/>
      <c r="S19" s="76" t="s">
        <v>87</v>
      </c>
      <c r="T19" s="77" t="s">
        <v>88</v>
      </c>
    </row>
    <row r="20" customFormat="false" ht="13.5" hidden="false" customHeight="true" outlineLevel="0" collapsed="false">
      <c r="B20" s="78" t="s">
        <v>89</v>
      </c>
      <c r="C20" s="79" t="n">
        <f aca="false">'Unit Mix &amp; Comparables'!J54</f>
        <v>0</v>
      </c>
      <c r="D20" s="79" t="n">
        <f aca="false">'Unit Mix &amp; Comparables'!K54</f>
        <v>0</v>
      </c>
      <c r="E20" s="80" t="n">
        <f aca="false">'Unit Mix &amp; Comparables'!Q54</f>
        <v>0</v>
      </c>
      <c r="F20" s="81" t="n">
        <f aca="false">IFERROR(IF(C20, E20/D20, 0),0)</f>
        <v>0</v>
      </c>
      <c r="G20" s="17"/>
      <c r="H20" s="16" t="s">
        <v>90</v>
      </c>
      <c r="I20" s="45" t="n">
        <f aca="false">'Operating Inputs'!J36</f>
        <v>4311.68197836063</v>
      </c>
      <c r="J20" s="17"/>
      <c r="K20" s="58" t="s">
        <v>91</v>
      </c>
      <c r="L20" s="74" t="str">
        <f aca="true">IF($L$16="No","N/A",IF($K$17="Refinance Month",$L$18/(C30+$D$36+$D$43+SUM(OFFSET('Cash Flow - Monthly'!$G$61,0,0,4,$L$17))),($L$18+$L$5)/(C30+$D$36+$D$43+SUM(OFFSET('Cash Flow - Monthly'!$G$61,0,0,4,$L$17)))))</f>
        <v>N/A</v>
      </c>
      <c r="M20" s="17"/>
      <c r="N20" s="69" t="s">
        <v>92</v>
      </c>
      <c r="O20" s="82"/>
      <c r="P20" s="83" t="n">
        <f aca="false">O21</f>
        <v>0.08</v>
      </c>
      <c r="Q20" s="84" t="s">
        <v>93</v>
      </c>
      <c r="R20" s="84" t="s">
        <v>94</v>
      </c>
      <c r="S20" s="83" t="n">
        <f aca="false">O6</f>
        <v>0.1</v>
      </c>
      <c r="T20" s="85" t="n">
        <f aca="false">1-S20</f>
        <v>0.9</v>
      </c>
    </row>
    <row r="21" customFormat="false" ht="13.5" hidden="false" customHeight="true" outlineLevel="0" collapsed="false">
      <c r="B21" s="55" t="s">
        <v>95</v>
      </c>
      <c r="C21" s="86" t="n">
        <f aca="false">'Unit Mix &amp; Comparables'!J55</f>
        <v>80</v>
      </c>
      <c r="D21" s="86" t="n">
        <f aca="false">'Unit Mix &amp; Comparables'!K55</f>
        <v>1008</v>
      </c>
      <c r="E21" s="87" t="n">
        <f aca="false">SUMPRODUCT(C17:C20, E17:E20)/SUM(C17:C20)</f>
        <v>827.225</v>
      </c>
      <c r="F21" s="88" t="n">
        <f aca="false">IFERROR(IF(C21, E21/D21, 0),0)</f>
        <v>0.820659722222222</v>
      </c>
      <c r="G21" s="17"/>
      <c r="H21" s="16" t="s">
        <v>96</v>
      </c>
      <c r="I21" s="45" t="n">
        <f aca="false">I30</f>
        <v>11808200</v>
      </c>
      <c r="J21" s="17"/>
      <c r="K21" s="16" t="s">
        <v>41</v>
      </c>
      <c r="L21" s="39" t="n">
        <v>0</v>
      </c>
      <c r="M21" s="17"/>
      <c r="N21" s="69" t="s">
        <v>97</v>
      </c>
      <c r="O21" s="89" t="n">
        <v>0.08</v>
      </c>
      <c r="P21" s="83" t="n">
        <f aca="false">O22</f>
        <v>0.1</v>
      </c>
      <c r="Q21" s="90" t="n">
        <v>0.25</v>
      </c>
      <c r="R21" s="82" t="n">
        <f aca="false">1-Q21</f>
        <v>0.75</v>
      </c>
      <c r="S21" s="83" t="n">
        <f aca="false">1-(O5*R21)</f>
        <v>0.325</v>
      </c>
      <c r="T21" s="85" t="n">
        <f aca="false">1-S21</f>
        <v>0.675</v>
      </c>
    </row>
    <row r="22" customFormat="false" ht="13.5" hidden="false" customHeight="true" outlineLevel="0" collapsed="false">
      <c r="B22" s="16"/>
      <c r="C22" s="17"/>
      <c r="D22" s="17"/>
      <c r="E22" s="17"/>
      <c r="F22" s="18"/>
      <c r="G22" s="17"/>
      <c r="H22" s="16" t="s">
        <v>98</v>
      </c>
      <c r="I22" s="91" t="n">
        <f aca="false">IFERROR(C33/I21,0)</f>
        <v>0.616705255669789</v>
      </c>
      <c r="J22" s="17"/>
      <c r="K22" s="16" t="s">
        <v>44</v>
      </c>
      <c r="L22" s="41" t="n">
        <v>0</v>
      </c>
      <c r="M22" s="17"/>
      <c r="N22" s="69" t="s">
        <v>99</v>
      </c>
      <c r="O22" s="89" t="n">
        <v>0.1</v>
      </c>
      <c r="P22" s="83" t="n">
        <f aca="false">O23</f>
        <v>0.12</v>
      </c>
      <c r="Q22" s="90" t="n">
        <v>0.3</v>
      </c>
      <c r="R22" s="82" t="n">
        <f aca="false">1-Q22</f>
        <v>0.7</v>
      </c>
      <c r="S22" s="83" t="n">
        <f aca="false">1-(O5*R22)</f>
        <v>0.37</v>
      </c>
      <c r="T22" s="85" t="n">
        <f aca="false">1-S22</f>
        <v>0.63</v>
      </c>
    </row>
    <row r="23" customFormat="false" ht="13.5" hidden="false" customHeight="true" outlineLevel="0" collapsed="false">
      <c r="B23" s="92" t="s">
        <v>100</v>
      </c>
      <c r="C23" s="93" t="s">
        <v>101</v>
      </c>
      <c r="D23" s="93" t="s">
        <v>102</v>
      </c>
      <c r="E23" s="93" t="s">
        <v>71</v>
      </c>
      <c r="F23" s="94" t="s">
        <v>22</v>
      </c>
      <c r="G23" s="17"/>
      <c r="H23" s="31" t="s">
        <v>103</v>
      </c>
      <c r="I23" s="51" t="n">
        <f aca="false">C30+D39+'Renovation Plan'!O21+'Renovation Plan'!O18+'Renovation Plan'!I35+'Renovation Plan'!J35</f>
        <v>7008250</v>
      </c>
      <c r="J23" s="17"/>
      <c r="K23" s="16" t="s">
        <v>49</v>
      </c>
      <c r="L23" s="43" t="n">
        <v>0</v>
      </c>
      <c r="M23" s="17"/>
      <c r="N23" s="95" t="s">
        <v>104</v>
      </c>
      <c r="O23" s="96" t="n">
        <v>0.12</v>
      </c>
      <c r="P23" s="97"/>
      <c r="Q23" s="98" t="n">
        <v>0.35</v>
      </c>
      <c r="R23" s="99" t="n">
        <f aca="false">1-Q23</f>
        <v>0.65</v>
      </c>
      <c r="S23" s="97" t="n">
        <f aca="false">1-(O5*R23)</f>
        <v>0.415</v>
      </c>
      <c r="T23" s="100" t="n">
        <f aca="false">1-S23</f>
        <v>0.585</v>
      </c>
    </row>
    <row r="24" customFormat="false" ht="13.5" hidden="false" customHeight="true" outlineLevel="0" collapsed="false">
      <c r="B24" s="16" t="s">
        <v>105</v>
      </c>
      <c r="C24" s="101" t="n">
        <f aca="false">'Debt Financing'!D17</f>
        <v>5200000</v>
      </c>
      <c r="D24" s="62" t="n">
        <f aca="false">C24/$C$12</f>
        <v>65000</v>
      </c>
      <c r="E24" s="62" t="n">
        <f aca="false">C24/$C$13</f>
        <v>64.484126984127</v>
      </c>
      <c r="F24" s="102" t="n">
        <f aca="false">C24/C$33</f>
        <v>0.714071983124831</v>
      </c>
      <c r="G24" s="17"/>
      <c r="H24" s="17"/>
      <c r="I24" s="17"/>
      <c r="J24" s="17"/>
      <c r="K24" s="16" t="s">
        <v>52</v>
      </c>
      <c r="L24" s="41" t="n">
        <v>30</v>
      </c>
      <c r="M24" s="17"/>
      <c r="N24" s="17"/>
      <c r="O24" s="17"/>
      <c r="P24" s="17"/>
      <c r="Q24" s="17"/>
      <c r="R24" s="17"/>
      <c r="S24" s="17"/>
      <c r="T24" s="19"/>
    </row>
    <row r="25" customFormat="false" ht="13.5" hidden="false" customHeight="true" outlineLevel="0" collapsed="false">
      <c r="B25" s="103" t="s">
        <v>106</v>
      </c>
      <c r="C25" s="38" t="n">
        <f aca="false">P5</f>
        <v>1873961.1</v>
      </c>
      <c r="D25" s="62" t="n">
        <f aca="false">C25/$C$12</f>
        <v>23424.51375</v>
      </c>
      <c r="E25" s="62" t="n">
        <f aca="false">C25/$C$13</f>
        <v>23.2386049107143</v>
      </c>
      <c r="F25" s="102" t="n">
        <f aca="false">C25/C$27</f>
        <v>0.257335215187652</v>
      </c>
      <c r="G25" s="17"/>
      <c r="H25" s="20" t="s">
        <v>107</v>
      </c>
      <c r="I25" s="15"/>
      <c r="J25" s="17"/>
      <c r="K25" s="31" t="s">
        <v>108</v>
      </c>
      <c r="L25" s="42" t="n">
        <v>0.015</v>
      </c>
      <c r="M25" s="17"/>
      <c r="N25" s="92" t="s">
        <v>109</v>
      </c>
      <c r="O25" s="104" t="s">
        <v>110</v>
      </c>
      <c r="P25" s="104" t="s">
        <v>111</v>
      </c>
      <c r="Q25" s="104" t="s">
        <v>112</v>
      </c>
      <c r="R25" s="105" t="s">
        <v>113</v>
      </c>
      <c r="S25" s="106" t="s">
        <v>114</v>
      </c>
      <c r="T25" s="19"/>
    </row>
    <row r="26" customFormat="false" ht="13.5" hidden="false" customHeight="true" outlineLevel="0" collapsed="false">
      <c r="B26" s="107" t="s">
        <v>115</v>
      </c>
      <c r="C26" s="108" t="n">
        <f aca="false">P6</f>
        <v>208217.9</v>
      </c>
      <c r="D26" s="80" t="n">
        <f aca="false">C26/$C$12</f>
        <v>2602.72375</v>
      </c>
      <c r="E26" s="80" t="n">
        <f aca="false">C26/$C$13</f>
        <v>2.58206721230159</v>
      </c>
      <c r="F26" s="109" t="n">
        <f aca="false">C26/C$27</f>
        <v>0.0285928016875169</v>
      </c>
      <c r="G26" s="17"/>
      <c r="H26" s="16" t="s">
        <v>116</v>
      </c>
      <c r="I26" s="52" t="n">
        <v>70</v>
      </c>
      <c r="J26" s="17"/>
      <c r="K26" s="17"/>
      <c r="L26" s="17"/>
      <c r="M26" s="17"/>
      <c r="N26" s="16" t="s">
        <v>117</v>
      </c>
      <c r="O26" s="110" t="n">
        <f aca="false">'Equity Waterfall - Monthly'!D8</f>
        <v>0.203566445148232</v>
      </c>
      <c r="P26" s="111" t="n">
        <f aca="false">1+R26/Q26</f>
        <v>2.24521006189913</v>
      </c>
      <c r="Q26" s="112" t="n">
        <f aca="false">-'Cash Flow - Monthly'!G152</f>
        <v>2083229.222</v>
      </c>
      <c r="R26" s="28" t="n">
        <f aca="false">'Equity Waterfall - Annual'!D7</f>
        <v>2594057.9884767</v>
      </c>
      <c r="S26" s="113" t="n">
        <f aca="false">R26/Q26</f>
        <v>1.24521006189913</v>
      </c>
      <c r="T26" s="19"/>
    </row>
    <row r="27" customFormat="false" ht="13.5" hidden="false" customHeight="true" outlineLevel="0" collapsed="false">
      <c r="B27" s="114" t="s">
        <v>118</v>
      </c>
      <c r="C27" s="115" t="n">
        <f aca="false">SUM(C24:C26)</f>
        <v>7282179</v>
      </c>
      <c r="D27" s="116" t="n">
        <f aca="false">C27/$C$12</f>
        <v>91027.2375</v>
      </c>
      <c r="E27" s="116" t="n">
        <f aca="false">C27/$C$13</f>
        <v>90.3047991071429</v>
      </c>
      <c r="F27" s="117" t="n">
        <f aca="false">SUM(F24:F26)</f>
        <v>1</v>
      </c>
      <c r="G27" s="17"/>
      <c r="H27" s="16" t="s">
        <v>119</v>
      </c>
      <c r="I27" s="52" t="n">
        <v>130</v>
      </c>
      <c r="J27" s="17"/>
      <c r="K27" s="20" t="s">
        <v>120</v>
      </c>
      <c r="L27" s="15"/>
      <c r="M27" s="17"/>
      <c r="N27" s="16" t="s">
        <v>94</v>
      </c>
      <c r="O27" s="110" t="e">
        <f aca="false">'Equity Waterfall - Monthly'!D15</f>
        <v>#VALUE!</v>
      </c>
      <c r="P27" s="111" t="e">
        <f aca="false">1+R27/Q27</f>
        <v>#VALUE!</v>
      </c>
      <c r="Q27" s="112" t="n">
        <f aca="false">O5*$Q$26</f>
        <v>1874906.2998</v>
      </c>
      <c r="R27" s="28" t="e">
        <f aca="false">'Equity Waterfall - Annual'!D27</f>
        <v>#VALUE!</v>
      </c>
      <c r="S27" s="118" t="e">
        <f aca="false">R27/Q27</f>
        <v>#VALUE!</v>
      </c>
      <c r="T27" s="19"/>
    </row>
    <row r="28" customFormat="false" ht="13.5" hidden="false" customHeight="true" outlineLevel="0" collapsed="false">
      <c r="B28" s="16"/>
      <c r="C28" s="62"/>
      <c r="D28" s="62"/>
      <c r="E28" s="62"/>
      <c r="F28" s="102"/>
      <c r="G28" s="17"/>
      <c r="H28" s="31" t="s">
        <v>121</v>
      </c>
      <c r="I28" s="119" t="n">
        <v>1325000</v>
      </c>
      <c r="J28" s="17"/>
      <c r="K28" s="103" t="s">
        <v>122</v>
      </c>
      <c r="L28" s="120" t="n">
        <f aca="false">'Debt Financing'!C18</f>
        <v>1.23503338295413</v>
      </c>
      <c r="M28" s="17"/>
      <c r="N28" s="31" t="s">
        <v>93</v>
      </c>
      <c r="O28" s="121" t="e">
        <f aca="false">'Equity Waterfall - Monthly'!D26</f>
        <v>#VALUE!</v>
      </c>
      <c r="P28" s="122" t="e">
        <f aca="false">1+R28/Q28</f>
        <v>#VALUE!</v>
      </c>
      <c r="Q28" s="123" t="n">
        <f aca="false">O6*$Q$26</f>
        <v>208322.9222</v>
      </c>
      <c r="R28" s="33" t="e">
        <f aca="false">'Equity Waterfall - Annual'!D22</f>
        <v>#VALUE!</v>
      </c>
      <c r="S28" s="124" t="e">
        <f aca="false">R28/Q28</f>
        <v>#VALUE!</v>
      </c>
      <c r="T28" s="19"/>
    </row>
    <row r="29" customFormat="false" ht="13.5" hidden="false" customHeight="true" outlineLevel="0" collapsed="false">
      <c r="B29" s="35" t="s">
        <v>123</v>
      </c>
      <c r="C29" s="87" t="s">
        <v>101</v>
      </c>
      <c r="D29" s="87" t="s">
        <v>102</v>
      </c>
      <c r="E29" s="87" t="s">
        <v>71</v>
      </c>
      <c r="F29" s="125" t="s">
        <v>22</v>
      </c>
      <c r="G29" s="17"/>
      <c r="H29" s="16" t="s">
        <v>124</v>
      </c>
      <c r="I29" s="45" t="n">
        <f aca="false">C13*I26</f>
        <v>5644800</v>
      </c>
      <c r="J29" s="17"/>
      <c r="K29" s="103" t="s">
        <v>125</v>
      </c>
      <c r="L29" s="120" t="n">
        <f aca="false">('Operating Inputs'!I38-'Executive Summary'!L36*'Executive Summary'!C12)/-PMT(L8,L11,L5)</f>
        <v>1.24420055751977</v>
      </c>
      <c r="M29" s="17"/>
      <c r="N29" s="53" t="s">
        <v>126</v>
      </c>
      <c r="O29" s="126" t="n">
        <f aca="false">(1+IRR('Cash Flow - Monthly'!G159:EI159,0.1/12))^12-1</f>
        <v>0.101654691125795</v>
      </c>
      <c r="P29" s="127" t="n">
        <f aca="false">1+R29/Q29</f>
        <v>1.53432596426717</v>
      </c>
      <c r="Q29" s="128" t="n">
        <f aca="false">-'Cash Flow - Monthly'!E160</f>
        <v>7282179</v>
      </c>
      <c r="R29" s="129" t="n">
        <f aca="false">'Cash Flow - Monthly'!E159</f>
        <v>3891057.31614114</v>
      </c>
      <c r="S29" s="130" t="n">
        <f aca="false">R29/Q29</f>
        <v>0.53432596426717</v>
      </c>
      <c r="T29" s="19"/>
    </row>
    <row r="30" customFormat="false" ht="13.5" hidden="false" customHeight="true" outlineLevel="0" collapsed="false">
      <c r="B30" s="16" t="s">
        <v>127</v>
      </c>
      <c r="C30" s="131" t="n">
        <v>6625000</v>
      </c>
      <c r="D30" s="62" t="n">
        <f aca="false">C30/$C$12</f>
        <v>82812.5</v>
      </c>
      <c r="E30" s="62" t="n">
        <f aca="false">C30/$C$13</f>
        <v>82.1552579365079</v>
      </c>
      <c r="F30" s="102" t="n">
        <f aca="false">C30/C$33</f>
        <v>0.909755170808078</v>
      </c>
      <c r="G30" s="17"/>
      <c r="H30" s="31" t="s">
        <v>128</v>
      </c>
      <c r="I30" s="51" t="n">
        <f aca="false">C13*I27+I28</f>
        <v>11808200</v>
      </c>
      <c r="J30" s="17"/>
      <c r="K30" s="107" t="s">
        <v>129</v>
      </c>
      <c r="L30" s="132" t="n">
        <f aca="false">('Operating Inputs'!K38-'Executive Summary'!L36*'Executive Summary'!C12)/-PMT(L8,L11,L5)</f>
        <v>1.36510338083613</v>
      </c>
      <c r="M30" s="17"/>
      <c r="N30" s="17"/>
      <c r="O30" s="17"/>
      <c r="P30" s="17"/>
      <c r="Q30" s="17"/>
      <c r="R30" s="17"/>
      <c r="S30" s="17"/>
      <c r="T30" s="19"/>
    </row>
    <row r="31" customFormat="false" ht="13.5" hidden="false" customHeight="true" outlineLevel="0" collapsed="false">
      <c r="B31" s="16" t="s">
        <v>130</v>
      </c>
      <c r="C31" s="38" t="n">
        <f aca="false">'Renovation Plan'!I19</f>
        <v>383250</v>
      </c>
      <c r="D31" s="62" t="n">
        <f aca="false">C31/$C$12</f>
        <v>4790.625</v>
      </c>
      <c r="E31" s="62" t="n">
        <f aca="false">C31/$C$13</f>
        <v>4.75260416666667</v>
      </c>
      <c r="F31" s="102" t="n">
        <f aca="false">C31/C$33</f>
        <v>0.0526284783716522</v>
      </c>
      <c r="G31" s="17"/>
      <c r="H31" s="17"/>
      <c r="I31" s="17"/>
      <c r="J31" s="17"/>
      <c r="K31" s="17"/>
      <c r="L31" s="17"/>
      <c r="M31" s="17"/>
      <c r="N31" s="92" t="s">
        <v>131</v>
      </c>
      <c r="O31" s="104" t="s">
        <v>132</v>
      </c>
      <c r="P31" s="104" t="s">
        <v>133</v>
      </c>
      <c r="Q31" s="104" t="s">
        <v>134</v>
      </c>
      <c r="R31" s="105" t="s">
        <v>59</v>
      </c>
      <c r="S31" s="17"/>
      <c r="T31" s="19"/>
    </row>
    <row r="32" customFormat="false" ht="13.5" hidden="false" customHeight="true" outlineLevel="0" collapsed="false">
      <c r="B32" s="31" t="s">
        <v>135</v>
      </c>
      <c r="C32" s="133" t="n">
        <v>273929</v>
      </c>
      <c r="D32" s="80" t="n">
        <f aca="false">C32/$C$12</f>
        <v>3424.1125</v>
      </c>
      <c r="E32" s="80" t="n">
        <f aca="false">C32/$C$13</f>
        <v>3.39693700396825</v>
      </c>
      <c r="F32" s="109" t="n">
        <f aca="false">C32/C$33</f>
        <v>0.0376163508202696</v>
      </c>
      <c r="G32" s="17"/>
      <c r="H32" s="20" t="s">
        <v>136</v>
      </c>
      <c r="I32" s="15"/>
      <c r="J32" s="17"/>
      <c r="K32" s="20" t="s">
        <v>137</v>
      </c>
      <c r="L32" s="15"/>
      <c r="M32" s="17"/>
      <c r="N32" s="53" t="s">
        <v>138</v>
      </c>
      <c r="O32" s="134" t="n">
        <f aca="false">'Cash Flow - Monthly'!EK157</f>
        <v>0.0839416195586533</v>
      </c>
      <c r="P32" s="134" t="n">
        <f aca="false">'Cash Flow - Monthly'!EL157</f>
        <v>0.100143281798416</v>
      </c>
      <c r="Q32" s="134" t="n">
        <f aca="false">'Cash Flow - Monthly'!EM157</f>
        <v>0.111576928821636</v>
      </c>
      <c r="R32" s="135" t="n">
        <f aca="false">'Cash Flow - Monthly'!E157</f>
        <v>0.091979766743118</v>
      </c>
      <c r="S32" s="17"/>
      <c r="T32" s="19"/>
    </row>
    <row r="33" customFormat="false" ht="13.5" hidden="false" customHeight="true" outlineLevel="0" collapsed="false">
      <c r="B33" s="35" t="s">
        <v>139</v>
      </c>
      <c r="C33" s="136" t="n">
        <f aca="false">SUM(C30:C32)</f>
        <v>7282179</v>
      </c>
      <c r="D33" s="87" t="n">
        <f aca="false">C33/$C$12</f>
        <v>91027.2375</v>
      </c>
      <c r="E33" s="87" t="n">
        <f aca="false">C33/$C$13</f>
        <v>90.3047991071429</v>
      </c>
      <c r="F33" s="125" t="n">
        <f aca="false">SUM(F30:F32)</f>
        <v>1</v>
      </c>
      <c r="G33" s="17"/>
      <c r="H33" s="16" t="s">
        <v>140</v>
      </c>
      <c r="I33" s="137" t="n">
        <v>0.4</v>
      </c>
      <c r="J33" s="17"/>
      <c r="K33" s="114" t="s">
        <v>141</v>
      </c>
      <c r="L33" s="19"/>
      <c r="M33" s="17"/>
      <c r="N33" s="17"/>
      <c r="O33" s="17"/>
      <c r="P33" s="17"/>
      <c r="Q33" s="17"/>
      <c r="R33" s="17"/>
      <c r="S33" s="17"/>
      <c r="T33" s="19"/>
    </row>
    <row r="34" customFormat="false" ht="13.5" hidden="false" customHeight="true" outlineLevel="0" collapsed="false">
      <c r="B34" s="16"/>
      <c r="C34" s="17"/>
      <c r="D34" s="17"/>
      <c r="E34" s="17"/>
      <c r="F34" s="17"/>
      <c r="G34" s="17"/>
      <c r="H34" s="16" t="s">
        <v>142</v>
      </c>
      <c r="I34" s="39" t="n">
        <v>0.0247</v>
      </c>
      <c r="J34" s="17"/>
      <c r="K34" s="16" t="s">
        <v>143</v>
      </c>
      <c r="L34" s="45" t="n">
        <f aca="false">'Operating Inputs'!C38</f>
        <v>446567</v>
      </c>
      <c r="M34" s="17"/>
      <c r="N34" s="17"/>
      <c r="O34" s="17"/>
      <c r="P34" s="17"/>
      <c r="Q34" s="138"/>
      <c r="R34" s="17"/>
      <c r="S34" s="17"/>
      <c r="T34" s="19"/>
    </row>
    <row r="35" customFormat="false" ht="13.5" hidden="false" customHeight="true" outlineLevel="0" collapsed="false">
      <c r="B35" s="20" t="s">
        <v>144</v>
      </c>
      <c r="C35" s="139"/>
      <c r="D35" s="140"/>
      <c r="E35" s="17"/>
      <c r="F35" s="17"/>
      <c r="G35" s="17"/>
      <c r="H35" s="16" t="s">
        <v>145</v>
      </c>
      <c r="I35" s="141" t="n">
        <v>0</v>
      </c>
      <c r="J35" s="17"/>
      <c r="K35" s="16" t="s">
        <v>146</v>
      </c>
      <c r="L35" s="142" t="n">
        <v>1.25</v>
      </c>
      <c r="M35" s="17"/>
      <c r="N35" s="17"/>
      <c r="O35" s="17"/>
      <c r="P35" s="17"/>
      <c r="Q35" s="138"/>
      <c r="R35" s="17"/>
      <c r="S35" s="17"/>
      <c r="T35" s="19"/>
    </row>
    <row r="36" customFormat="false" ht="13.5" hidden="false" customHeight="true" outlineLevel="0" collapsed="false">
      <c r="B36" s="16" t="s">
        <v>147</v>
      </c>
      <c r="C36" s="143" t="n">
        <v>0.0075</v>
      </c>
      <c r="D36" s="45" t="n">
        <f aca="false">C36*C24</f>
        <v>39000</v>
      </c>
      <c r="E36" s="17"/>
      <c r="F36" s="17"/>
      <c r="G36" s="17"/>
      <c r="H36" s="31" t="s">
        <v>148</v>
      </c>
      <c r="I36" s="51" t="n">
        <f aca="false">I35*'Operating Inputs'!M20</f>
        <v>0</v>
      </c>
      <c r="J36" s="17"/>
      <c r="K36" s="16" t="s">
        <v>149</v>
      </c>
      <c r="L36" s="52" t="n">
        <v>275</v>
      </c>
      <c r="M36" s="17"/>
      <c r="N36" s="17"/>
      <c r="O36" s="17"/>
      <c r="P36" s="17"/>
      <c r="Q36" s="138"/>
      <c r="R36" s="17"/>
      <c r="S36" s="17"/>
      <c r="T36" s="19"/>
    </row>
    <row r="37" customFormat="false" ht="13.5" hidden="false" customHeight="true" outlineLevel="0" collapsed="false">
      <c r="B37" s="16" t="s">
        <v>50</v>
      </c>
      <c r="C37" s="143" t="n">
        <v>0.02</v>
      </c>
      <c r="D37" s="52" t="n">
        <f aca="false">C37*'Executive Summary'!C30</f>
        <v>132500</v>
      </c>
      <c r="E37" s="17"/>
      <c r="F37" s="17"/>
      <c r="G37" s="17"/>
      <c r="H37" s="16" t="s">
        <v>150</v>
      </c>
      <c r="I37" s="45" t="n">
        <f aca="false">C30*I33*I34+I36</f>
        <v>65455</v>
      </c>
      <c r="J37" s="17"/>
      <c r="K37" s="16" t="s">
        <v>41</v>
      </c>
      <c r="L37" s="39" t="n">
        <v>0.0485</v>
      </c>
      <c r="M37" s="17"/>
      <c r="N37" s="17"/>
      <c r="O37" s="17"/>
      <c r="P37" s="17"/>
      <c r="Q37" s="138"/>
      <c r="R37" s="17"/>
      <c r="S37" s="17"/>
      <c r="T37" s="19"/>
    </row>
    <row r="38" customFormat="false" ht="13.5" hidden="false" customHeight="true" outlineLevel="0" collapsed="false">
      <c r="B38" s="16" t="s">
        <v>53</v>
      </c>
      <c r="C38" s="143" t="n">
        <v>0.02</v>
      </c>
      <c r="D38" s="52" t="n">
        <f aca="false">C38*'Executive Summary'!P5</f>
        <v>37479.222</v>
      </c>
      <c r="E38" s="101"/>
      <c r="F38" s="17"/>
      <c r="G38" s="17"/>
      <c r="H38" s="31" t="s">
        <v>151</v>
      </c>
      <c r="I38" s="51" t="n">
        <f aca="false">AVERAGE(I37,'Operating Inputs'!C32)</f>
        <v>60150.5</v>
      </c>
      <c r="J38" s="17"/>
      <c r="K38" s="16" t="s">
        <v>152</v>
      </c>
      <c r="L38" s="45" t="n">
        <f aca="false">(L34-L36*$C$12)/L35</f>
        <v>339653.6</v>
      </c>
      <c r="M38" s="17"/>
      <c r="N38" s="17"/>
      <c r="O38" s="17"/>
      <c r="P38" s="17"/>
      <c r="Q38" s="138"/>
      <c r="R38" s="17"/>
      <c r="S38" s="17"/>
      <c r="T38" s="19"/>
    </row>
    <row r="39" customFormat="false" ht="13.5" hidden="false" customHeight="true" outlineLevel="0" collapsed="false">
      <c r="B39" s="16" t="s">
        <v>153</v>
      </c>
      <c r="C39" s="143" t="n">
        <v>0</v>
      </c>
      <c r="D39" s="45" t="n">
        <f aca="false">C39*'Executive Summary'!C24</f>
        <v>0</v>
      </c>
      <c r="E39" s="101"/>
      <c r="F39" s="17"/>
      <c r="G39" s="17"/>
      <c r="H39" s="17"/>
      <c r="I39" s="17"/>
      <c r="J39" s="17"/>
      <c r="K39" s="31" t="s">
        <v>154</v>
      </c>
      <c r="L39" s="51" t="n">
        <f aca="false">-PV(L37/12,L11*12,L38/12)</f>
        <v>5197194.20583467</v>
      </c>
      <c r="M39" s="17"/>
      <c r="N39" s="17"/>
      <c r="O39" s="17"/>
      <c r="P39" s="17"/>
      <c r="Q39" s="138"/>
      <c r="R39" s="17"/>
      <c r="S39" s="17"/>
      <c r="T39" s="19"/>
    </row>
    <row r="40" customFormat="false" ht="13.5" hidden="false" customHeight="true" outlineLevel="0" collapsed="false">
      <c r="B40" s="16" t="s">
        <v>155</v>
      </c>
      <c r="C40" s="144"/>
      <c r="D40" s="52" t="n">
        <v>20000</v>
      </c>
      <c r="E40" s="17"/>
      <c r="F40" s="17"/>
      <c r="G40" s="17"/>
      <c r="H40" s="20" t="s">
        <v>156</v>
      </c>
      <c r="I40" s="15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9"/>
    </row>
    <row r="41" customFormat="false" ht="13.5" hidden="false" customHeight="true" outlineLevel="0" collapsed="false">
      <c r="B41" s="16" t="s">
        <v>157</v>
      </c>
      <c r="C41" s="144"/>
      <c r="D41" s="52" t="n">
        <v>20000</v>
      </c>
      <c r="E41" s="17"/>
      <c r="F41" s="17"/>
      <c r="G41" s="17"/>
      <c r="H41" s="145" t="s">
        <v>158</v>
      </c>
      <c r="I41" s="19"/>
      <c r="J41" s="17"/>
      <c r="K41" s="17"/>
      <c r="L41" s="101"/>
      <c r="M41" s="17"/>
      <c r="N41" s="17"/>
      <c r="O41" s="17"/>
      <c r="P41" s="17"/>
      <c r="Q41" s="17"/>
      <c r="R41" s="17"/>
      <c r="S41" s="17"/>
      <c r="T41" s="19"/>
    </row>
    <row r="42" customFormat="false" ht="13.5" hidden="false" customHeight="true" outlineLevel="0" collapsed="false">
      <c r="B42" s="16" t="s">
        <v>159</v>
      </c>
      <c r="C42" s="144"/>
      <c r="D42" s="52" t="n">
        <v>10000</v>
      </c>
      <c r="E42" s="17"/>
      <c r="F42" s="17"/>
      <c r="G42" s="17"/>
      <c r="H42" s="16" t="s">
        <v>160</v>
      </c>
      <c r="I42" s="45" t="n">
        <f aca="false">'Operating Inputs'!I14</f>
        <v>700161.933800108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9"/>
    </row>
    <row r="43" customFormat="false" ht="13.5" hidden="false" customHeight="true" outlineLevel="0" collapsed="false">
      <c r="B43" s="31" t="s">
        <v>161</v>
      </c>
      <c r="C43" s="146"/>
      <c r="D43" s="119" t="n">
        <v>16000</v>
      </c>
      <c r="E43" s="17"/>
      <c r="F43" s="17"/>
      <c r="G43" s="17"/>
      <c r="H43" s="16" t="s">
        <v>162</v>
      </c>
      <c r="I43" s="147" t="n">
        <v>0.45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9"/>
    </row>
    <row r="44" customFormat="false" ht="13.5" hidden="false" customHeight="true" outlineLevel="0" collapsed="false">
      <c r="B44" s="35" t="s">
        <v>163</v>
      </c>
      <c r="C44" s="148"/>
      <c r="D44" s="149" t="n">
        <f aca="false">SUM(D35:D43)</f>
        <v>274979.222</v>
      </c>
      <c r="E44" s="17"/>
      <c r="F44" s="17"/>
      <c r="G44" s="17"/>
      <c r="H44" s="16" t="s">
        <v>164</v>
      </c>
      <c r="I44" s="52" t="n">
        <v>200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9"/>
    </row>
    <row r="45" customFormat="false" ht="13.5" hidden="false" customHeight="true" outlineLevel="0" collapsed="false">
      <c r="B45" s="16"/>
      <c r="C45" s="17"/>
      <c r="D45" s="17"/>
      <c r="E45" s="17"/>
      <c r="F45" s="17"/>
      <c r="G45" s="17"/>
      <c r="H45" s="16" t="s">
        <v>165</v>
      </c>
      <c r="I45" s="45" t="n">
        <f aca="false">(I29+I42)/100*I43</f>
        <v>28552.3287021005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9"/>
    </row>
    <row r="46" customFormat="false" ht="13.5" hidden="false" customHeight="true" outlineLevel="0" collapsed="false">
      <c r="B46" s="20" t="s">
        <v>166</v>
      </c>
      <c r="C46" s="15"/>
      <c r="D46" s="17"/>
      <c r="E46" s="17"/>
      <c r="F46" s="17"/>
      <c r="G46" s="17"/>
      <c r="H46" s="16" t="s">
        <v>167</v>
      </c>
      <c r="I46" s="45" t="n">
        <f aca="false">I44*C12</f>
        <v>16000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9"/>
    </row>
    <row r="47" customFormat="false" ht="13.5" hidden="false" customHeight="true" outlineLevel="0" collapsed="false">
      <c r="B47" s="16" t="s">
        <v>168</v>
      </c>
      <c r="C47" s="150" t="n">
        <f aca="false">'Operating Inputs'!C40</f>
        <v>0.0674063396226415</v>
      </c>
      <c r="D47" s="17"/>
      <c r="E47" s="17"/>
      <c r="F47" s="17"/>
      <c r="G47" s="17"/>
      <c r="H47" s="16" t="s">
        <v>169</v>
      </c>
      <c r="I47" s="52" t="n">
        <v>0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9"/>
    </row>
    <row r="48" customFormat="false" ht="13.5" hidden="false" customHeight="true" outlineLevel="0" collapsed="false">
      <c r="B48" s="31" t="s">
        <v>170</v>
      </c>
      <c r="C48" s="151" t="n">
        <f aca="false">'Operating Inputs'!K40</f>
        <v>0.0740729498023237</v>
      </c>
      <c r="D48" s="17"/>
      <c r="E48" s="17"/>
      <c r="F48" s="17"/>
      <c r="G48" s="17"/>
      <c r="H48" s="31" t="s">
        <v>171</v>
      </c>
      <c r="I48" s="119" t="n">
        <v>0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9"/>
    </row>
    <row r="49" customFormat="false" ht="13.5" hidden="false" customHeight="true" outlineLevel="0" collapsed="false">
      <c r="B49" s="16"/>
      <c r="C49" s="17"/>
      <c r="D49" s="17"/>
      <c r="E49" s="17"/>
      <c r="F49" s="17"/>
      <c r="G49" s="17"/>
      <c r="H49" s="16" t="s">
        <v>172</v>
      </c>
      <c r="I49" s="45" t="n">
        <f aca="false">SUM(I45:I48)</f>
        <v>44552.3287021005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9"/>
    </row>
    <row r="50" customFormat="false" ht="13.5" hidden="false" customHeight="true" outlineLevel="0" collapsed="false">
      <c r="B50" s="20" t="s">
        <v>173</v>
      </c>
      <c r="C50" s="15"/>
      <c r="D50" s="17"/>
      <c r="E50" s="17"/>
      <c r="F50" s="17"/>
      <c r="G50" s="17"/>
      <c r="H50" s="145" t="s">
        <v>174</v>
      </c>
      <c r="I50" s="19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9"/>
    </row>
    <row r="51" customFormat="false" ht="13.5" hidden="false" customHeight="true" outlineLevel="0" collapsed="false">
      <c r="B51" s="16" t="s">
        <v>175</v>
      </c>
      <c r="C51" s="45" t="n">
        <f aca="false">'Cash Flow - Monthly'!E62+'Cash Flow - Monthly'!E63+'Cash Flow - Monthly'!E64</f>
        <v>383250</v>
      </c>
      <c r="D51" s="17"/>
      <c r="E51" s="17"/>
      <c r="F51" s="17"/>
      <c r="G51" s="17"/>
      <c r="H51" s="16" t="s">
        <v>176</v>
      </c>
      <c r="I51" s="52" t="n">
        <v>16000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9"/>
    </row>
    <row r="52" customFormat="false" ht="13.5" hidden="false" customHeight="true" outlineLevel="0" collapsed="false">
      <c r="B52" s="16" t="s">
        <v>177</v>
      </c>
      <c r="C52" s="45" t="n">
        <f aca="false">'Renovation Plan'!D24</f>
        <v>0</v>
      </c>
      <c r="D52" s="17"/>
      <c r="E52" s="17"/>
      <c r="F52" s="17"/>
      <c r="G52" s="17"/>
      <c r="H52" s="16" t="s">
        <v>178</v>
      </c>
      <c r="I52" s="52" t="n">
        <v>0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9"/>
    </row>
    <row r="53" customFormat="false" ht="13.5" hidden="false" customHeight="true" outlineLevel="0" collapsed="false">
      <c r="B53" s="16" t="s">
        <v>179</v>
      </c>
      <c r="C53" s="152" t="s">
        <v>11</v>
      </c>
      <c r="D53" s="17"/>
      <c r="E53" s="17"/>
      <c r="F53" s="17"/>
      <c r="G53" s="17"/>
      <c r="H53" s="16" t="s">
        <v>180</v>
      </c>
      <c r="I53" s="52" t="n">
        <v>0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9"/>
    </row>
    <row r="54" customFormat="false" ht="13.5" hidden="false" customHeight="true" outlineLevel="0" collapsed="false">
      <c r="B54" s="16" t="s">
        <v>181</v>
      </c>
      <c r="C54" s="52" t="n">
        <v>275</v>
      </c>
      <c r="D54" s="17"/>
      <c r="E54" s="17"/>
      <c r="F54" s="17"/>
      <c r="G54" s="17"/>
      <c r="H54" s="31" t="s">
        <v>182</v>
      </c>
      <c r="I54" s="119" t="n">
        <v>0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9"/>
    </row>
    <row r="55" customFormat="false" ht="13.5" hidden="false" customHeight="true" outlineLevel="0" collapsed="false">
      <c r="B55" s="31" t="s">
        <v>183</v>
      </c>
      <c r="C55" s="119" t="n">
        <v>275</v>
      </c>
      <c r="D55" s="146"/>
      <c r="E55" s="146"/>
      <c r="F55" s="146"/>
      <c r="G55" s="146"/>
      <c r="H55" s="31" t="s">
        <v>184</v>
      </c>
      <c r="I55" s="51" t="n">
        <f aca="false">SUM(I51:I54)</f>
        <v>16000</v>
      </c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53"/>
    </row>
  </sheetData>
  <printOptions headings="false" gridLines="false" gridLinesSet="true" horizontalCentered="true" verticalCentered="false"/>
  <pageMargins left="0.7" right="0.7" top="0.75" bottom="0.75" header="0.3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&amp;R&amp;"Calibri,Italic"Confidential and For Discussion Purposes Only</oddHeader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4" width="2"/>
    <col collapsed="false" customWidth="true" hidden="false" outlineLevel="0" max="2" min="2" style="154" width="40"/>
    <col collapsed="false" customWidth="true" hidden="false" outlineLevel="0" max="3" min="3" style="154" width="13"/>
    <col collapsed="false" customWidth="true" hidden="false" outlineLevel="0" max="4" min="4" style="154" width="11"/>
    <col collapsed="false" customWidth="true" hidden="false" outlineLevel="0" max="5" min="5" style="154" width="52"/>
    <col collapsed="false" customWidth="true" hidden="false" outlineLevel="0" max="8" min="6" style="154" width="10"/>
  </cols>
  <sheetData>
    <row r="2" customFormat="false" ht="25.5" hidden="false" customHeight="true" outlineLevel="0" collapsed="false">
      <c r="B2" s="155" t="s">
        <v>185</v>
      </c>
      <c r="C2" s="155"/>
      <c r="D2" s="155"/>
      <c r="E2" s="155"/>
    </row>
    <row r="3" customFormat="false" ht="15.75" hidden="false" customHeight="true" outlineLevel="0" collapsed="false">
      <c r="B3" s="156" t="s">
        <v>186</v>
      </c>
      <c r="C3" s="156"/>
      <c r="D3" s="156"/>
      <c r="E3" s="156"/>
    </row>
    <row r="5" customFormat="false" ht="15" hidden="false" customHeight="true" outlineLevel="0" collapsed="false">
      <c r="B5" s="157" t="s">
        <v>187</v>
      </c>
      <c r="C5" s="158" t="s">
        <v>188</v>
      </c>
      <c r="D5" s="158"/>
      <c r="E5" s="158"/>
    </row>
    <row r="6" customFormat="false" ht="15" hidden="false" customHeight="true" outlineLevel="0" collapsed="false">
      <c r="B6" s="157" t="s">
        <v>189</v>
      </c>
      <c r="C6" s="159" t="s">
        <v>190</v>
      </c>
      <c r="D6" s="159"/>
      <c r="E6" s="159"/>
    </row>
    <row r="7" customFormat="false" ht="15" hidden="false" customHeight="true" outlineLevel="0" collapsed="false">
      <c r="B7" s="157" t="s">
        <v>191</v>
      </c>
      <c r="C7" s="160" t="s">
        <v>192</v>
      </c>
      <c r="D7" s="161" t="s">
        <v>193</v>
      </c>
    </row>
    <row r="8" customFormat="false" ht="15" hidden="false" customHeight="true" outlineLevel="0" collapsed="false">
      <c r="B8" s="157" t="s">
        <v>194</v>
      </c>
      <c r="C8" s="162" t="str">
        <f aca="false">C48</f>
        <v>Late Hypersupply -&gt; Recovery (turning up)</v>
      </c>
      <c r="D8" s="162"/>
      <c r="E8" s="162"/>
    </row>
    <row r="10" customFormat="false" ht="18" hidden="false" customHeight="true" outlineLevel="0" collapsed="false">
      <c r="B10" s="163" t="s">
        <v>195</v>
      </c>
      <c r="C10" s="163"/>
      <c r="D10" s="163"/>
      <c r="E10" s="163"/>
    </row>
    <row r="11" customFormat="false" ht="15" hidden="false" customHeight="true" outlineLevel="0" collapsed="false">
      <c r="B11" s="157" t="s">
        <v>196</v>
      </c>
      <c r="C11" s="164" t="n">
        <v>0.03</v>
      </c>
    </row>
    <row r="12" customFormat="false" ht="15" hidden="false" customHeight="true" outlineLevel="0" collapsed="false">
      <c r="B12" s="157" t="s">
        <v>197</v>
      </c>
      <c r="C12" s="164" t="n">
        <v>0.012</v>
      </c>
      <c r="E12" s="165" t="s">
        <v>198</v>
      </c>
    </row>
    <row r="13" customFormat="false" ht="15" hidden="false" customHeight="true" outlineLevel="0" collapsed="false">
      <c r="B13" s="157" t="s">
        <v>199</v>
      </c>
      <c r="C13" s="164" t="n">
        <v>0.006</v>
      </c>
    </row>
    <row r="14" customFormat="false" ht="15" hidden="false" customHeight="true" outlineLevel="0" collapsed="false">
      <c r="B14" s="157" t="s">
        <v>200</v>
      </c>
      <c r="C14" s="166" t="n">
        <v>0.6</v>
      </c>
      <c r="E14" s="165" t="s">
        <v>201</v>
      </c>
    </row>
    <row r="15" customFormat="false" ht="15" hidden="false" customHeight="true" outlineLevel="0" collapsed="false">
      <c r="B15" s="157" t="s">
        <v>202</v>
      </c>
      <c r="C15" s="166" t="n">
        <v>0.2</v>
      </c>
      <c r="E15" s="165" t="s">
        <v>203</v>
      </c>
    </row>
    <row r="16" customFormat="false" ht="15" hidden="false" customHeight="true" outlineLevel="0" collapsed="false">
      <c r="B16" s="157" t="s">
        <v>204</v>
      </c>
      <c r="C16" s="166" t="n">
        <v>0.5</v>
      </c>
      <c r="E16" s="165" t="s">
        <v>205</v>
      </c>
    </row>
    <row r="17" customFormat="false" ht="15" hidden="false" customHeight="true" outlineLevel="0" collapsed="false">
      <c r="B17" s="157" t="s">
        <v>206</v>
      </c>
      <c r="C17" s="166" t="n">
        <v>0.8</v>
      </c>
      <c r="E17" s="165" t="s">
        <v>207</v>
      </c>
    </row>
    <row r="18" customFormat="false" ht="15" hidden="false" customHeight="true" outlineLevel="0" collapsed="false">
      <c r="B18" s="157" t="s">
        <v>208</v>
      </c>
      <c r="C18" s="166" t="n">
        <v>0.5</v>
      </c>
      <c r="E18" s="165" t="s">
        <v>209</v>
      </c>
    </row>
    <row r="19" customFormat="false" ht="15" hidden="false" customHeight="true" outlineLevel="0" collapsed="false">
      <c r="B19" s="157" t="s">
        <v>210</v>
      </c>
      <c r="C19" s="164" t="n">
        <v>0.06</v>
      </c>
      <c r="E19" s="165" t="s">
        <v>211</v>
      </c>
    </row>
    <row r="20" customFormat="false" ht="15" hidden="false" customHeight="true" outlineLevel="0" collapsed="false">
      <c r="B20" s="157" t="s">
        <v>212</v>
      </c>
      <c r="C20" s="164" t="n">
        <v>0.05</v>
      </c>
    </row>
    <row r="21" customFormat="false" ht="15" hidden="false" customHeight="true" outlineLevel="0" collapsed="false">
      <c r="B21" s="157" t="s">
        <v>213</v>
      </c>
      <c r="C21" s="164" t="n">
        <v>0.043</v>
      </c>
      <c r="E21" s="165" t="s">
        <v>214</v>
      </c>
    </row>
    <row r="22" customFormat="false" ht="15" hidden="false" customHeight="true" outlineLevel="0" collapsed="false">
      <c r="B22" s="157" t="s">
        <v>215</v>
      </c>
      <c r="C22" s="164" t="n">
        <v>0.043</v>
      </c>
      <c r="E22" s="165" t="s">
        <v>216</v>
      </c>
    </row>
    <row r="23" customFormat="false" ht="15" hidden="false" customHeight="true" outlineLevel="0" collapsed="false">
      <c r="B23" s="157" t="s">
        <v>217</v>
      </c>
      <c r="C23" s="167" t="n">
        <f aca="false">'Executive Summary'!$C$47</f>
        <v>0.0674063396226415</v>
      </c>
      <c r="E23" s="165" t="s">
        <v>218</v>
      </c>
    </row>
    <row r="25" customFormat="false" ht="18" hidden="false" customHeight="true" outlineLevel="0" collapsed="false">
      <c r="B25" s="163" t="s">
        <v>219</v>
      </c>
      <c r="C25" s="163"/>
      <c r="D25" s="163"/>
      <c r="E25" s="163"/>
    </row>
    <row r="26" customFormat="false" ht="15" hidden="false" customHeight="true" outlineLevel="0" collapsed="false">
      <c r="B26" s="157" t="s">
        <v>220</v>
      </c>
      <c r="C26" s="168" t="n">
        <v>0.065</v>
      </c>
      <c r="E26" s="165" t="s">
        <v>221</v>
      </c>
    </row>
    <row r="27" customFormat="false" ht="15" hidden="false" customHeight="true" outlineLevel="0" collapsed="false">
      <c r="B27" s="157" t="s">
        <v>222</v>
      </c>
      <c r="C27" s="168" t="n">
        <v>0.01</v>
      </c>
      <c r="E27" s="165" t="s">
        <v>223</v>
      </c>
    </row>
    <row r="28" customFormat="false" ht="15" hidden="false" customHeight="true" outlineLevel="0" collapsed="false">
      <c r="B28" s="157" t="s">
        <v>224</v>
      </c>
      <c r="C28" s="166" t="n">
        <v>0.5</v>
      </c>
      <c r="E28" s="165" t="s">
        <v>225</v>
      </c>
    </row>
    <row r="29" customFormat="false" ht="15" hidden="false" customHeight="true" outlineLevel="0" collapsed="false">
      <c r="B29" s="157" t="s">
        <v>226</v>
      </c>
      <c r="C29" s="168" t="n">
        <v>0.01</v>
      </c>
      <c r="E29" s="165" t="s">
        <v>227</v>
      </c>
    </row>
    <row r="30" customFormat="false" ht="15" hidden="false" customHeight="true" outlineLevel="0" collapsed="false">
      <c r="B30" s="157" t="s">
        <v>228</v>
      </c>
      <c r="C30" s="169" t="n">
        <v>0.0035</v>
      </c>
      <c r="E30" s="165" t="s">
        <v>229</v>
      </c>
    </row>
    <row r="31" customFormat="false" ht="15" hidden="false" customHeight="true" outlineLevel="0" collapsed="false">
      <c r="B31" s="157" t="s">
        <v>230</v>
      </c>
      <c r="C31" s="166" t="n">
        <v>0.45</v>
      </c>
      <c r="D31" s="166" t="n">
        <v>0.35</v>
      </c>
      <c r="E31" s="166" t="n">
        <v>0.2</v>
      </c>
    </row>
    <row r="32" customFormat="false" ht="15" hidden="false" customHeight="true" outlineLevel="0" collapsed="false">
      <c r="E32" s="165" t="s">
        <v>231</v>
      </c>
    </row>
    <row r="33" customFormat="false" ht="18" hidden="false" customHeight="true" outlineLevel="0" collapsed="false">
      <c r="B33" s="163" t="s">
        <v>232</v>
      </c>
      <c r="C33" s="163"/>
      <c r="D33" s="163"/>
      <c r="E33" s="163"/>
    </row>
    <row r="34" customFormat="false" ht="15" hidden="false" customHeight="true" outlineLevel="0" collapsed="false">
      <c r="B34" s="157" t="s">
        <v>233</v>
      </c>
      <c r="C34" s="170" t="n">
        <f aca="false">C31*C14+D31*C15+E31*C16</f>
        <v>0.44</v>
      </c>
    </row>
    <row r="35" customFormat="false" ht="15" hidden="false" customHeight="true" outlineLevel="0" collapsed="false">
      <c r="B35" s="157" t="s">
        <v>234</v>
      </c>
      <c r="C35" s="170" t="n">
        <f aca="false">C17</f>
        <v>0.8</v>
      </c>
    </row>
    <row r="36" customFormat="false" ht="15" hidden="false" customHeight="true" outlineLevel="0" collapsed="false">
      <c r="B36" s="157" t="s">
        <v>235</v>
      </c>
      <c r="C36" s="170" t="n">
        <f aca="false">C17*(1-C18)</f>
        <v>0.4</v>
      </c>
    </row>
    <row r="37" customFormat="false" ht="15" hidden="false" customHeight="true" outlineLevel="0" collapsed="false">
      <c r="B37" s="157" t="s">
        <v>236</v>
      </c>
      <c r="C37" s="170" t="n">
        <f aca="false">C34-C35</f>
        <v>-0.36</v>
      </c>
    </row>
    <row r="38" customFormat="false" ht="15" hidden="false" customHeight="true" outlineLevel="0" collapsed="false">
      <c r="B38" s="157" t="s">
        <v>237</v>
      </c>
      <c r="C38" s="170" t="n">
        <f aca="false">C34-C36</f>
        <v>0.04</v>
      </c>
    </row>
    <row r="39" customFormat="false" ht="15" hidden="false" customHeight="true" outlineLevel="0" collapsed="false">
      <c r="B39" s="157" t="s">
        <v>238</v>
      </c>
      <c r="C39" s="170" t="n">
        <f aca="false">C34-C17*0.15</f>
        <v>0.32</v>
      </c>
    </row>
    <row r="40" customFormat="false" ht="15" hidden="false" customHeight="true" outlineLevel="0" collapsed="false">
      <c r="B40" s="157" t="s">
        <v>239</v>
      </c>
      <c r="C40" s="171" t="n">
        <f aca="false">IF(C7="Bear",-0.015,IF(C7="Bull",0.015,0))</f>
        <v>0</v>
      </c>
      <c r="D40" s="171" t="n">
        <f aca="false">IF(C7="Bear",0.01,IF(C7="Bull",-0.0075,0))</f>
        <v>0</v>
      </c>
      <c r="E40" s="172" t="n">
        <f aca="false">IF(C7="Bear",0.0035,IF(C7="Bull",-0.0035,0))</f>
        <v>0</v>
      </c>
    </row>
    <row r="42" customFormat="false" ht="19.5" hidden="false" customHeight="true" outlineLevel="0" collapsed="false">
      <c r="B42" s="173" t="s">
        <v>240</v>
      </c>
      <c r="C42" s="173"/>
      <c r="D42" s="173"/>
      <c r="E42" s="173"/>
    </row>
    <row r="43" customFormat="false" ht="15" hidden="false" customHeight="true" outlineLevel="0" collapsed="false">
      <c r="B43" s="157" t="s">
        <v>241</v>
      </c>
      <c r="C43" s="174" t="n">
        <f aca="false">C11+C37*C26+C40</f>
        <v>0.0066</v>
      </c>
    </row>
    <row r="44" customFormat="false" ht="15" hidden="false" customHeight="true" outlineLevel="0" collapsed="false">
      <c r="B44" s="157" t="s">
        <v>242</v>
      </c>
      <c r="C44" s="174" t="n">
        <f aca="false">C11+C38*C26+C40</f>
        <v>0.0326</v>
      </c>
    </row>
    <row r="45" customFormat="false" ht="15" hidden="false" customHeight="true" outlineLevel="0" collapsed="false">
      <c r="B45" s="157" t="s">
        <v>243</v>
      </c>
      <c r="C45" s="174" t="n">
        <f aca="false">C11+C40</f>
        <v>0.03</v>
      </c>
    </row>
    <row r="46" customFormat="false" ht="15" hidden="false" customHeight="true" outlineLevel="0" collapsed="false">
      <c r="B46" s="157" t="s">
        <v>244</v>
      </c>
      <c r="C46" s="174" t="n">
        <f aca="false">C20+((C35+C36)/2)*C27+D40</f>
        <v>0.056</v>
      </c>
    </row>
    <row r="47" customFormat="false" ht="15" hidden="false" customHeight="true" outlineLevel="0" collapsed="false">
      <c r="B47" s="157" t="s">
        <v>65</v>
      </c>
      <c r="C47" s="175" t="n">
        <f aca="false">C23+(C22-C21)*C28-C39*C29+C30+E40</f>
        <v>0.0677063396226415</v>
      </c>
    </row>
    <row r="48" customFormat="false" ht="15" hidden="false" customHeight="true" outlineLevel="0" collapsed="false">
      <c r="B48" s="157" t="s">
        <v>245</v>
      </c>
      <c r="C48" s="176" t="str">
        <f aca="false">IF(AND(C37&lt;0,C38&gt;0),"Late Hypersupply -&gt; Recovery (turning up)",IF(C37&lt;-0.15,"Hypersupply / soft",IF(C34&gt;0.35,"Expansion","Recovery")))</f>
        <v>Late Hypersupply -&gt; Recovery (turning up)</v>
      </c>
      <c r="D48" s="176"/>
      <c r="E48" s="176"/>
    </row>
    <row r="50" customFormat="false" ht="18" hidden="false" customHeight="true" outlineLevel="0" collapsed="false">
      <c r="B50" s="163" t="s">
        <v>246</v>
      </c>
      <c r="C50" s="163"/>
      <c r="D50" s="163"/>
      <c r="E50" s="163"/>
    </row>
    <row r="51" customFormat="false" ht="15" hidden="false" customHeight="true" outlineLevel="0" collapsed="false">
      <c r="B51" s="157" t="s">
        <v>247</v>
      </c>
      <c r="C51" s="171" t="n">
        <v>0.03</v>
      </c>
      <c r="D51" s="171" t="n">
        <v>0.04</v>
      </c>
      <c r="E51" s="172" t="n">
        <v>0.0725</v>
      </c>
    </row>
    <row r="53" customFormat="false" ht="15" hidden="false" customHeight="true" outlineLevel="0" collapsed="false">
      <c r="B53" s="177" t="s">
        <v>248</v>
      </c>
      <c r="C53" s="177" t="s">
        <v>249</v>
      </c>
      <c r="D53" s="177" t="s">
        <v>250</v>
      </c>
    </row>
    <row r="54" customFormat="false" ht="15" hidden="false" customHeight="true" outlineLevel="0" collapsed="false">
      <c r="B54" s="178" t="n">
        <v>0</v>
      </c>
      <c r="C54" s="179" t="n">
        <v>100</v>
      </c>
      <c r="D54" s="179" t="n">
        <v>100</v>
      </c>
    </row>
    <row r="55" customFormat="false" ht="15" hidden="false" customHeight="true" outlineLevel="0" collapsed="false">
      <c r="B55" s="178" t="n">
        <v>1</v>
      </c>
      <c r="C55" s="179" t="n">
        <f aca="false">C54*(1+$C$43)</f>
        <v>100.66</v>
      </c>
      <c r="D55" s="179" t="n">
        <f aca="false">D54*(1+$C$51)</f>
        <v>103</v>
      </c>
    </row>
    <row r="56" customFormat="false" ht="15" hidden="false" customHeight="true" outlineLevel="0" collapsed="false">
      <c r="B56" s="178" t="n">
        <v>2</v>
      </c>
      <c r="C56" s="179" t="n">
        <f aca="false">C55*(1+$C$44)</f>
        <v>103.941516</v>
      </c>
      <c r="D56" s="179" t="n">
        <f aca="false">D55*(1+$C$51)</f>
        <v>106.09</v>
      </c>
    </row>
    <row r="57" customFormat="false" ht="15" hidden="false" customHeight="true" outlineLevel="0" collapsed="false">
      <c r="B57" s="178" t="n">
        <v>3</v>
      </c>
      <c r="C57" s="179" t="n">
        <f aca="false">C56*(1+$C$45)</f>
        <v>107.05976148</v>
      </c>
      <c r="D57" s="179" t="n">
        <f aca="false">D56*(1+$C$51)</f>
        <v>109.2727</v>
      </c>
    </row>
    <row r="58" customFormat="false" ht="15" hidden="false" customHeight="true" outlineLevel="0" collapsed="false">
      <c r="B58" s="178" t="n">
        <v>4</v>
      </c>
      <c r="C58" s="179" t="n">
        <f aca="false">C57*(1+$C$45)</f>
        <v>110.2715543244</v>
      </c>
      <c r="D58" s="179" t="n">
        <f aca="false">D57*(1+$C$51)</f>
        <v>112.550881</v>
      </c>
    </row>
    <row r="59" customFormat="false" ht="15" hidden="false" customHeight="true" outlineLevel="0" collapsed="false">
      <c r="B59" s="178" t="n">
        <v>5</v>
      </c>
      <c r="C59" s="179" t="n">
        <f aca="false">C58*(1+$C$45)</f>
        <v>113.579700954132</v>
      </c>
      <c r="D59" s="179" t="n">
        <f aca="false">D58*(1+$C$51)</f>
        <v>115.92740743</v>
      </c>
    </row>
  </sheetData>
  <mergeCells count="11">
    <mergeCell ref="B2:E2"/>
    <mergeCell ref="B3:E3"/>
    <mergeCell ref="C5:E5"/>
    <mergeCell ref="C6:E6"/>
    <mergeCell ref="C8:E8"/>
    <mergeCell ref="B10:E10"/>
    <mergeCell ref="B25:E25"/>
    <mergeCell ref="B33:E33"/>
    <mergeCell ref="B42:E42"/>
    <mergeCell ref="C48:E48"/>
    <mergeCell ref="B50:E50"/>
  </mergeCells>
  <dataValidations count="1">
    <dataValidation allowBlank="false" errorStyle="stop" operator="between" showDropDown="false" showErrorMessage="false" showInputMessage="false" sqref="C7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4" width="2"/>
    <col collapsed="false" customWidth="true" hidden="false" outlineLevel="0" max="2" min="2" style="154" width="34"/>
    <col collapsed="false" customWidth="true" hidden="false" outlineLevel="0" max="3" min="3" style="154" width="14"/>
    <col collapsed="false" customWidth="true" hidden="false" outlineLevel="0" max="15" min="4" style="154" width="9.52"/>
  </cols>
  <sheetData>
    <row r="2" customFormat="false" ht="25.5" hidden="false" customHeight="true" outlineLevel="0" collapsed="false">
      <c r="B2" s="180" t="s">
        <v>251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</row>
    <row r="3" customFormat="false" ht="15.75" hidden="false" customHeight="true" outlineLevel="0" collapsed="false">
      <c r="B3" s="181" t="s">
        <v>252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</row>
    <row r="5" customFormat="false" ht="18" hidden="false" customHeight="true" outlineLevel="0" collapsed="false">
      <c r="B5" s="182" t="s">
        <v>253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</row>
    <row r="6" customFormat="false" ht="15" hidden="false" customHeight="true" outlineLevel="0" collapsed="false">
      <c r="B6" s="183" t="s">
        <v>254</v>
      </c>
      <c r="C6" s="184" t="n">
        <v>5</v>
      </c>
    </row>
    <row r="7" customFormat="false" ht="15" hidden="false" customHeight="true" outlineLevel="0" collapsed="false">
      <c r="B7" s="183" t="s">
        <v>255</v>
      </c>
      <c r="C7" s="184" t="n">
        <v>3</v>
      </c>
    </row>
    <row r="8" customFormat="false" ht="15" hidden="false" customHeight="true" outlineLevel="0" collapsed="false">
      <c r="B8" s="183" t="s">
        <v>256</v>
      </c>
      <c r="C8" s="184" t="n">
        <v>7</v>
      </c>
    </row>
    <row r="9" customFormat="false" ht="15" hidden="false" customHeight="true" outlineLevel="0" collapsed="false">
      <c r="B9" s="183" t="s">
        <v>257</v>
      </c>
      <c r="C9" s="164" t="n">
        <v>0.7</v>
      </c>
    </row>
    <row r="10" customFormat="false" ht="15" hidden="false" customHeight="true" outlineLevel="0" collapsed="false">
      <c r="B10" s="183" t="s">
        <v>258</v>
      </c>
      <c r="C10" s="185" t="n">
        <f aca="false">'Cignal Market Read'!$C$23</f>
        <v>0.0674063396226415</v>
      </c>
    </row>
    <row r="11" customFormat="false" ht="15" hidden="false" customHeight="true" outlineLevel="0" collapsed="false">
      <c r="B11" s="183" t="s">
        <v>259</v>
      </c>
      <c r="C11" s="164" t="n">
        <v>0.055</v>
      </c>
    </row>
    <row r="12" customFormat="false" ht="15" hidden="false" customHeight="true" outlineLevel="0" collapsed="false">
      <c r="B12" s="183" t="s">
        <v>260</v>
      </c>
      <c r="C12" s="164" t="n">
        <v>0.01</v>
      </c>
    </row>
    <row r="13" customFormat="false" ht="15" hidden="false" customHeight="true" outlineLevel="0" collapsed="false">
      <c r="B13" s="183" t="s">
        <v>261</v>
      </c>
      <c r="C13" s="186" t="n">
        <f aca="false">'Executive Summary'!$I$17</f>
        <v>0.02</v>
      </c>
    </row>
    <row r="14" customFormat="false" ht="15" hidden="false" customHeight="true" outlineLevel="0" collapsed="false">
      <c r="B14" s="183" t="s">
        <v>262</v>
      </c>
      <c r="C14" s="185" t="n">
        <f aca="false">'Cignal Market Read'!$C$47</f>
        <v>0.0677063396226415</v>
      </c>
      <c r="E14" s="161" t="s">
        <v>263</v>
      </c>
    </row>
    <row r="15" customFormat="false" ht="15" hidden="false" customHeight="true" outlineLevel="0" collapsed="false">
      <c r="B15" s="183" t="s">
        <v>264</v>
      </c>
      <c r="C15" s="185" t="n">
        <f aca="false">'Cignal Market Read'!$C$47</f>
        <v>0.0677063396226415</v>
      </c>
    </row>
    <row r="17" customFormat="false" ht="15" hidden="false" customHeight="true" outlineLevel="0" collapsed="false">
      <c r="B17" s="183" t="s">
        <v>265</v>
      </c>
      <c r="C17" s="187" t="n">
        <f aca="false">'Executive Summary'!$P$5+'Executive Summary'!$P$6</f>
        <v>2082179</v>
      </c>
    </row>
    <row r="18" customFormat="false" ht="15" hidden="false" customHeight="true" outlineLevel="0" collapsed="false">
      <c r="B18" s="183" t="s">
        <v>266</v>
      </c>
      <c r="C18" s="179" t="n">
        <f aca="false">'Executive Summary'!$L$10/12</f>
        <v>3</v>
      </c>
      <c r="D18" s="187" t="n">
        <f aca="false">'Debt Financing'!$D$8</f>
        <v>252200</v>
      </c>
      <c r="E18" s="187" t="n">
        <f aca="false">'Debt Financing'!$D$7</f>
        <v>339836.967804123</v>
      </c>
    </row>
    <row r="20" customFormat="false" ht="18" hidden="false" customHeight="true" outlineLevel="0" collapsed="false">
      <c r="B20" s="182" t="s">
        <v>267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</row>
    <row r="21" customFormat="false" ht="15" hidden="false" customHeight="true" outlineLevel="0" collapsed="false">
      <c r="B21" s="188" t="s">
        <v>248</v>
      </c>
      <c r="D21" s="188" t="n">
        <v>0</v>
      </c>
      <c r="E21" s="188" t="n">
        <v>1</v>
      </c>
      <c r="F21" s="188" t="n">
        <v>2</v>
      </c>
      <c r="G21" s="188" t="n">
        <v>3</v>
      </c>
      <c r="H21" s="188" t="n">
        <v>4</v>
      </c>
      <c r="I21" s="188" t="n">
        <v>5</v>
      </c>
      <c r="J21" s="188" t="n">
        <v>6</v>
      </c>
      <c r="K21" s="188" t="n">
        <v>7</v>
      </c>
      <c r="L21" s="188" t="n">
        <v>8</v>
      </c>
      <c r="M21" s="188" t="n">
        <v>9</v>
      </c>
      <c r="N21" s="188" t="n">
        <v>10</v>
      </c>
      <c r="O21" s="188" t="n">
        <v>11</v>
      </c>
    </row>
    <row r="22" customFormat="false" ht="15" hidden="false" customHeight="true" outlineLevel="0" collapsed="false">
      <c r="B22" s="183" t="s">
        <v>268</v>
      </c>
      <c r="D22" s="189" t="n">
        <v>0</v>
      </c>
      <c r="E22" s="189" t="n">
        <f aca="false">SUM('Cash Flow - Monthly'!H55:S55)</f>
        <v>449219.089755097</v>
      </c>
      <c r="F22" s="189" t="n">
        <f aca="false">SUM('Cash Flow - Monthly'!T55:AE55)</f>
        <v>483398.602881506</v>
      </c>
      <c r="G22" s="189" t="n">
        <f aca="false">SUM('Cash Flow - Monthly'!AF55:AQ55)</f>
        <v>507659.149897263</v>
      </c>
      <c r="H22" s="189" t="n">
        <f aca="false">SUM('Cash Flow - Monthly'!AR55:BC55)</f>
        <v>525544.01229498</v>
      </c>
      <c r="I22" s="189" t="n">
        <f aca="false">SUM('Cash Flow - Monthly'!BD55:BO55)</f>
        <v>543770.201855356</v>
      </c>
      <c r="J22" s="189" t="n">
        <f aca="false">SUM('Cash Flow - Monthly'!BP55:CA55)</f>
        <v>606550.054486373</v>
      </c>
      <c r="K22" s="189" t="n">
        <f aca="false">SUM('Cash Flow - Monthly'!CB55:CM55)</f>
        <v>582029.393627828</v>
      </c>
      <c r="L22" s="189" t="n">
        <f aca="false">SUM('Cash Flow - Monthly'!CN55:CY55)</f>
        <v>602100.708301664</v>
      </c>
      <c r="M22" s="189" t="n">
        <f aca="false">SUM('Cash Flow - Monthly'!CZ55:DK55)</f>
        <v>622826.371073015</v>
      </c>
      <c r="N22" s="189" t="n">
        <f aca="false">SUM('Cash Flow - Monthly'!DL55:DW55)</f>
        <v>644227.056557953</v>
      </c>
      <c r="O22" s="189" t="n">
        <f aca="false">SUM('Cash Flow - Monthly'!DX55:EI55)</f>
        <v>666324.080494494</v>
      </c>
    </row>
    <row r="23" customFormat="false" ht="15" hidden="false" customHeight="true" outlineLevel="0" collapsed="false">
      <c r="B23" s="183" t="s">
        <v>269</v>
      </c>
      <c r="D23" s="189" t="n">
        <v>0</v>
      </c>
      <c r="E23" s="189" t="n">
        <f aca="false">IF(1&lt;=$C$18,$D$18,$E$18)</f>
        <v>252200</v>
      </c>
      <c r="F23" s="189" t="n">
        <f aca="false">IF(2&lt;=$C$18,$D$18,$E$18)</f>
        <v>252200</v>
      </c>
      <c r="G23" s="189" t="n">
        <f aca="false">IF(3&lt;=$C$18,$D$18,$E$18)</f>
        <v>252200</v>
      </c>
      <c r="H23" s="189" t="n">
        <f aca="false">IF(4&lt;=$C$18,$D$18,$E$18)</f>
        <v>339836.967804123</v>
      </c>
      <c r="I23" s="189" t="n">
        <f aca="false">IF(5&lt;=$C$18,$D$18,$E$18)</f>
        <v>339836.967804123</v>
      </c>
      <c r="J23" s="189" t="n">
        <f aca="false">IF(6&lt;=$C$18,$D$18,$E$18)</f>
        <v>339836.967804123</v>
      </c>
      <c r="K23" s="189" t="n">
        <f aca="false">IF(7&lt;=$C$18,$D$18,$E$18)</f>
        <v>339836.967804123</v>
      </c>
      <c r="L23" s="189" t="n">
        <f aca="false">IF(8&lt;=$C$18,$D$18,$E$18)</f>
        <v>339836.967804123</v>
      </c>
      <c r="M23" s="189" t="n">
        <f aca="false">IF(9&lt;=$C$18,$D$18,$E$18)</f>
        <v>339836.967804123</v>
      </c>
      <c r="N23" s="189" t="n">
        <f aca="false">IF(10&lt;=$C$18,$D$18,$E$18)</f>
        <v>339836.967804123</v>
      </c>
    </row>
    <row r="24" customFormat="false" ht="15" hidden="false" customHeight="true" outlineLevel="0" collapsed="false">
      <c r="B24" s="183" t="s">
        <v>270</v>
      </c>
      <c r="D24" s="189" t="n">
        <f aca="false">$C$17*0+'Executive Summary'!$C$24</f>
        <v>5200000</v>
      </c>
      <c r="E24" s="189" t="n">
        <f aca="false">'Amortization Table'!F16</f>
        <v>5200000</v>
      </c>
      <c r="F24" s="189" t="n">
        <f aca="false">'Amortization Table'!F28</f>
        <v>5200000</v>
      </c>
      <c r="G24" s="189" t="n">
        <f aca="false">'Amortization Table'!F40</f>
        <v>5200000</v>
      </c>
      <c r="H24" s="189" t="n">
        <f aca="false">'Amortization Table'!F52</f>
        <v>5110388.45002199</v>
      </c>
      <c r="I24" s="189" t="n">
        <f aca="false">'Amortization Table'!F64</f>
        <v>5016332.81486625</v>
      </c>
      <c r="J24" s="189" t="n">
        <f aca="false">'Amortization Table'!F76</f>
        <v>4917612.70002927</v>
      </c>
      <c r="K24" s="189" t="n">
        <f aca="false">'Amortization Table'!F88</f>
        <v>4813996.78103315</v>
      </c>
      <c r="L24" s="189" t="n">
        <f aca="false">'Amortization Table'!F100</f>
        <v>4705242.26137785</v>
      </c>
      <c r="M24" s="189" t="n">
        <f aca="false">'Amortization Table'!F112</f>
        <v>4591094.30361184</v>
      </c>
      <c r="N24" s="189" t="n">
        <f aca="false">'Amortization Table'!F124</f>
        <v>4471285.43218795</v>
      </c>
    </row>
    <row r="26" customFormat="false" ht="18" hidden="false" customHeight="true" outlineLevel="0" collapsed="false">
      <c r="B26" s="182" t="s">
        <v>271</v>
      </c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</row>
    <row r="27" customFormat="false" ht="15" hidden="false" customHeight="true" outlineLevel="0" collapsed="false">
      <c r="B27" s="183" t="s">
        <v>272</v>
      </c>
      <c r="C27" s="187" t="n">
        <f aca="false">INDEX($E$22:$O$22,$C$7+1)</f>
        <v>525544.01229498</v>
      </c>
    </row>
    <row r="28" customFormat="false" ht="15" hidden="false" customHeight="true" outlineLevel="0" collapsed="false">
      <c r="B28" s="183" t="s">
        <v>273</v>
      </c>
      <c r="C28" s="187" t="n">
        <f aca="false">C27/$C$10</f>
        <v>7796655.55550286</v>
      </c>
    </row>
    <row r="29" customFormat="false" ht="15" hidden="false" customHeight="true" outlineLevel="0" collapsed="false">
      <c r="B29" s="183" t="s">
        <v>274</v>
      </c>
      <c r="C29" s="187" t="n">
        <f aca="false">$C$9*C28</f>
        <v>5457658.888852</v>
      </c>
    </row>
    <row r="30" customFormat="false" ht="15" hidden="false" customHeight="true" outlineLevel="0" collapsed="false">
      <c r="B30" s="183" t="s">
        <v>275</v>
      </c>
      <c r="C30" s="187" t="n">
        <f aca="false">INDEX($E$24:$N$24,$C$7)</f>
        <v>5200000</v>
      </c>
    </row>
    <row r="31" customFormat="false" ht="15" hidden="false" customHeight="true" outlineLevel="0" collapsed="false">
      <c r="B31" s="183" t="s">
        <v>276</v>
      </c>
      <c r="C31" s="190" t="n">
        <f aca="false">C29-C30-C29*$C$12</f>
        <v>203082.299963481</v>
      </c>
    </row>
    <row r="32" customFormat="false" ht="15" hidden="false" customHeight="true" outlineLevel="0" collapsed="false">
      <c r="B32" s="183" t="s">
        <v>277</v>
      </c>
      <c r="C32" s="187" t="n">
        <f aca="false">C29*$C$11</f>
        <v>300171.23888686</v>
      </c>
    </row>
    <row r="33" customFormat="false" ht="15" hidden="false" customHeight="true" outlineLevel="0" collapsed="false">
      <c r="B33" s="183" t="s">
        <v>278</v>
      </c>
      <c r="C33" s="187" t="n">
        <f aca="false">(INDEX($E$22:$O$22,$C$6+1)/$C$14)*(1-$C$13)-INDEX($E$24:$N$24,$C$6)</f>
        <v>3763037.87197955</v>
      </c>
    </row>
    <row r="34" customFormat="false" ht="15" hidden="false" customHeight="true" outlineLevel="0" collapsed="false">
      <c r="B34" s="183" t="s">
        <v>279</v>
      </c>
      <c r="C34" s="187" t="n">
        <f aca="false">(INDEX($E$22:$O$22,$C$8+1)/$C$15)*(1-$C$13)-C29</f>
        <v>3257310.74950532</v>
      </c>
    </row>
    <row r="36" customFormat="false" ht="18" hidden="false" customHeight="true" outlineLevel="0" collapsed="false">
      <c r="B36" s="191" t="s">
        <v>280</v>
      </c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</row>
    <row r="37" customFormat="false" ht="15" hidden="false" customHeight="true" outlineLevel="0" collapsed="false">
      <c r="B37" s="183" t="s">
        <v>281</v>
      </c>
      <c r="D37" s="189" t="n">
        <f aca="false">IF(0=0,-$C$17,IF(0&gt;$C$6,0,(D22-D23)+IF(0=$C$6,$C$33,0)))</f>
        <v>-2082179</v>
      </c>
      <c r="E37" s="189" t="n">
        <f aca="false">IF(1=0,-$C$17,IF(1&gt;$C$6,0,(E22-E23)+IF(1=$C$6,$C$33,0)))</f>
        <v>197019.089755097</v>
      </c>
      <c r="F37" s="189" t="n">
        <f aca="false">IF(2=0,-$C$17,IF(2&gt;$C$6,0,(F22-F23)+IF(2=$C$6,$C$33,0)))</f>
        <v>231198.602881506</v>
      </c>
      <c r="G37" s="189" t="n">
        <f aca="false">IF(3=0,-$C$17,IF(3&gt;$C$6,0,(G22-G23)+IF(3=$C$6,$C$33,0)))</f>
        <v>255459.149897263</v>
      </c>
      <c r="H37" s="189" t="n">
        <f aca="false">IF(4=0,-$C$17,IF(4&gt;$C$6,0,(H22-H23)+IF(4=$C$6,$C$33,0)))</f>
        <v>185707.044490857</v>
      </c>
      <c r="I37" s="189" t="n">
        <f aca="false">IF(5=0,-$C$17,IF(5&gt;$C$6,0,(I22-I23)+IF(5=$C$6,$C$33,0)))</f>
        <v>3966971.10603078</v>
      </c>
      <c r="J37" s="189" t="n">
        <f aca="false">IF(6=0,-$C$17,IF(6&gt;$C$6,0,(J22-J23)+IF(6=$C$6,$C$33,0)))</f>
        <v>0</v>
      </c>
      <c r="K37" s="189" t="n">
        <f aca="false">IF(7=0,-$C$17,IF(7&gt;$C$6,0,(K22-K23)+IF(7=$C$6,$C$33,0)))</f>
        <v>0</v>
      </c>
      <c r="L37" s="189" t="n">
        <f aca="false">IF(8=0,-$C$17,IF(8&gt;$C$6,0,(L22-L23)+IF(8=$C$6,$C$33,0)))</f>
        <v>0</v>
      </c>
      <c r="M37" s="189" t="n">
        <f aca="false">IF(9=0,-$C$17,IF(9&gt;$C$6,0,(M22-M23)+IF(9=$C$6,$C$33,0)))</f>
        <v>0</v>
      </c>
      <c r="N37" s="189" t="n">
        <f aca="false">IF(10=0,-$C$17,IF(10&gt;$C$6,0,(N22-N23)+IF(10=$C$6,$C$33,0)))</f>
        <v>0</v>
      </c>
      <c r="O37" s="189" t="n">
        <f aca="false">0</f>
        <v>0</v>
      </c>
    </row>
    <row r="39" customFormat="false" ht="15" hidden="false" customHeight="true" outlineLevel="0" collapsed="false">
      <c r="B39" s="183" t="s">
        <v>282</v>
      </c>
      <c r="C39" s="174" t="n">
        <f aca="false">IRR(D37:O37)</f>
        <v>0.209841254269164</v>
      </c>
    </row>
    <row r="40" customFormat="false" ht="15" hidden="false" customHeight="true" outlineLevel="0" collapsed="false">
      <c r="B40" s="183" t="s">
        <v>283</v>
      </c>
      <c r="C40" s="192" t="n">
        <f aca="false">SUM(E37:O37)/$C$17</f>
        <v>2.3227373789936</v>
      </c>
    </row>
    <row r="41" customFormat="false" ht="15" hidden="false" customHeight="true" outlineLevel="0" collapsed="false">
      <c r="B41" s="183" t="s">
        <v>284</v>
      </c>
      <c r="C41" s="190" t="n">
        <f aca="false">SUM(E37:O37)-$C$17</f>
        <v>2754175.9930555</v>
      </c>
    </row>
    <row r="43" customFormat="false" ht="18" hidden="false" customHeight="true" outlineLevel="0" collapsed="false">
      <c r="B43" s="191" t="s">
        <v>285</v>
      </c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</row>
    <row r="44" customFormat="false" ht="15" hidden="false" customHeight="true" outlineLevel="0" collapsed="false">
      <c r="B44" s="183" t="s">
        <v>281</v>
      </c>
      <c r="D44" s="189" t="n">
        <f aca="false">IF(0=0,-$C$17,IF(0&gt;$C$8,0,(IF(0&lt;=$C$7,D22-D23,IF(0&lt;=$C$8,D22-$C$32,0)))+IF(0=$C$7,$C$31,0)+IF(0=$C$8,$C$34,0)))</f>
        <v>-2082179</v>
      </c>
      <c r="E44" s="189" t="n">
        <f aca="false">IF(1=0,-$C$17,IF(1&gt;$C$8,0,(IF(1&lt;=$C$7,E22-E23,IF(1&lt;=$C$8,E22-$C$32,0)))+IF(1=$C$7,$C$31,0)+IF(1=$C$8,$C$34,0)))</f>
        <v>197019.089755097</v>
      </c>
      <c r="F44" s="189" t="n">
        <f aca="false">IF(2=0,-$C$17,IF(2&gt;$C$8,0,(IF(2&lt;=$C$7,F22-F23,IF(2&lt;=$C$8,F22-$C$32,0)))+IF(2=$C$7,$C$31,0)+IF(2=$C$8,$C$34,0)))</f>
        <v>231198.602881506</v>
      </c>
      <c r="G44" s="189" t="n">
        <f aca="false">IF(3=0,-$C$17,IF(3&gt;$C$8,0,(IF(3&lt;=$C$7,G22-G23,IF(3&lt;=$C$8,G22-$C$32,0)))+IF(3=$C$7,$C$31,0)+IF(3=$C$8,$C$34,0)))</f>
        <v>458541.449860744</v>
      </c>
      <c r="H44" s="189" t="n">
        <f aca="false">IF(4=0,-$C$17,IF(4&gt;$C$8,0,(IF(4&lt;=$C$7,H22-H23,IF(4&lt;=$C$8,H22-$C$32,0)))+IF(4=$C$7,$C$31,0)+IF(4=$C$8,$C$34,0)))</f>
        <v>225372.77340812</v>
      </c>
      <c r="I44" s="189" t="n">
        <f aca="false">IF(5=0,-$C$17,IF(5&gt;$C$8,0,(IF(5&lt;=$C$7,I22-I23,IF(5&lt;=$C$8,I22-$C$32,0)))+IF(5=$C$7,$C$31,0)+IF(5=$C$8,$C$34,0)))</f>
        <v>243598.962968496</v>
      </c>
      <c r="J44" s="189" t="n">
        <f aca="false">IF(6=0,-$C$17,IF(6&gt;$C$8,0,(IF(6&lt;=$C$7,J22-J23,IF(6&lt;=$C$8,J22-$C$32,0)))+IF(6=$C$7,$C$31,0)+IF(6=$C$8,$C$34,0)))</f>
        <v>306378.815599513</v>
      </c>
      <c r="K44" s="189" t="n">
        <f aca="false">IF(7=0,-$C$17,IF(7&gt;$C$8,0,(IF(7&lt;=$C$7,K22-K23,IF(7&lt;=$C$8,K22-$C$32,0)))+IF(7=$C$7,$C$31,0)+IF(7=$C$8,$C$34,0)))</f>
        <v>3539168.90424629</v>
      </c>
      <c r="L44" s="189" t="n">
        <f aca="false">IF(8=0,-$C$17,IF(8&gt;$C$8,0,(IF(8&lt;=$C$7,L22-L23,IF(8&lt;=$C$8,L22-$C$32,0)))+IF(8=$C$7,$C$31,0)+IF(8=$C$8,$C$34,0)))</f>
        <v>0</v>
      </c>
      <c r="M44" s="189" t="n">
        <f aca="false">IF(9=0,-$C$17,IF(9&gt;$C$8,0,(IF(9&lt;=$C$7,M22-M23,IF(9&lt;=$C$8,M22-$C$32,0)))+IF(9=$C$7,$C$31,0)+IF(9=$C$8,$C$34,0)))</f>
        <v>0</v>
      </c>
      <c r="N44" s="189" t="n">
        <f aca="false">IF(10=0,-$C$17,IF(10&gt;$C$8,0,(IF(10&lt;=$C$7,N22-N23,IF(10&lt;=$C$8,N22-$C$32,0)))+IF(10=$C$7,$C$31,0)+IF(10=$C$8,$C$34,0)))</f>
        <v>0</v>
      </c>
      <c r="O44" s="189" t="n">
        <f aca="false">0</f>
        <v>0</v>
      </c>
    </row>
    <row r="46" customFormat="false" ht="15" hidden="false" customHeight="true" outlineLevel="0" collapsed="false">
      <c r="B46" s="183" t="s">
        <v>282</v>
      </c>
      <c r="C46" s="174" t="n">
        <f aca="false">IRR(D44:O44)</f>
        <v>0.17752161080959</v>
      </c>
    </row>
    <row r="47" customFormat="false" ht="15" hidden="false" customHeight="true" outlineLevel="0" collapsed="false">
      <c r="B47" s="183" t="s">
        <v>283</v>
      </c>
      <c r="C47" s="192" t="n">
        <f aca="false">SUM(E44:O44)/$C$17</f>
        <v>2.49799781801649</v>
      </c>
    </row>
    <row r="48" customFormat="false" ht="15" hidden="false" customHeight="true" outlineLevel="0" collapsed="false">
      <c r="B48" s="183" t="s">
        <v>284</v>
      </c>
      <c r="C48" s="190" t="n">
        <f aca="false">SUM(E44:O44)-$C$17</f>
        <v>3119099.59871977</v>
      </c>
    </row>
    <row r="50" customFormat="false" ht="21.75" hidden="false" customHeight="true" outlineLevel="0" collapsed="false">
      <c r="B50" s="193" t="s">
        <v>286</v>
      </c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</row>
    <row r="52" customFormat="false" ht="15" hidden="false" customHeight="true" outlineLevel="0" collapsed="false">
      <c r="B52" s="183" t="s">
        <v>287</v>
      </c>
      <c r="C52" s="194" t="str">
        <f aca="false">IF(C46&gt;C39,"Path B - Refi &amp; Hold","Path A - Sell at hold-end")</f>
        <v>Path A - Sell at hold-end</v>
      </c>
      <c r="D52" s="194"/>
      <c r="E52" s="194"/>
      <c r="F52" s="194"/>
    </row>
    <row r="53" customFormat="false" ht="15" hidden="false" customHeight="true" outlineLevel="0" collapsed="false">
      <c r="B53" s="183" t="s">
        <v>288</v>
      </c>
      <c r="C53" s="195" t="str">
        <f aca="false">IF(AND('Cignal Market Read'!C37&lt;0,'Cignal Market Read'!C38&gt;0),"REFINANCE &amp; HOLD",IF(AND('Cignal Market Read'!C34&gt;0.35,'Cignal Market Read'!C17&gt;0.4),"SELL INTO STRENGTH",IF(AND('Cignal Market Read'!C37&lt;-0.15,'Cignal Market Read'!C38&lt;0),"SELL / DE-RISK","NEUTRAL")))</f>
        <v>REFINANCE &amp; HOLD</v>
      </c>
      <c r="D53" s="195"/>
      <c r="E53" s="195"/>
      <c r="F53" s="195"/>
    </row>
    <row r="54" customFormat="false" ht="15.75" hidden="false" customHeight="true" outlineLevel="0" collapsed="false">
      <c r="B54" s="183" t="s">
        <v>289</v>
      </c>
      <c r="C54" s="196" t="str">
        <f aca="false">IF(AND('Cignal Market Read'!C37&lt;0,'Cignal Market Read'!C38&gt;0),"Soft now, recovery ahead - extend the hold to capture the up-leg; refinance to return capital while you wait.",IF(AND('Cignal Market Read'!C34&gt;0.35,'Cignal Market Read'!C17&gt;0.4),"Strong now but supply is building - exit into strength before the softening.",IF(AND('Cignal Market Read'!C37&lt;-0.15,'Cignal Market Read'!C38&lt;0),"Weak and not yet turning - de-risk; do not extend into prolonged softness.","No strong cycle signal - let the deal math decide.")))</f>
        <v>Soft now, recovery ahead - extend the hold to capture the up-leg; refinance to return capital while you wait.</v>
      </c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</row>
    <row r="55" customFormat="false" ht="15.75" hidden="false" customHeight="true" outlineLevel="0" collapsed="false"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</row>
    <row r="57" customFormat="false" ht="15" hidden="false" customHeight="true" outlineLevel="0" collapsed="false">
      <c r="B57" s="183" t="s">
        <v>290</v>
      </c>
      <c r="C57" s="197" t="str">
        <f aca="false">IF(OR(AND(C46&gt;C39,LEFT(C53,3)="REF"),AND(C46&lt;=C39,LEFT(C53,3)="SEL")),"Aligned - cycle and math agree.","Divergent - cycle and math disagree; weigh conviction vs. certainty.")</f>
        <v>Divergent - cycle and math disagree; weigh conviction vs. certainty.</v>
      </c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</row>
  </sheetData>
  <mergeCells count="12">
    <mergeCell ref="B2:O2"/>
    <mergeCell ref="B3:O3"/>
    <mergeCell ref="B5:O5"/>
    <mergeCell ref="B20:O20"/>
    <mergeCell ref="B26:O26"/>
    <mergeCell ref="B36:O36"/>
    <mergeCell ref="B43:O43"/>
    <mergeCell ref="B50:O50"/>
    <mergeCell ref="C52:F52"/>
    <mergeCell ref="C53:F53"/>
    <mergeCell ref="C54:O55"/>
    <mergeCell ref="C57:O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4" width="2"/>
    <col collapsed="false" customWidth="true" hidden="false" outlineLevel="0" max="2" min="2" style="154" width="46"/>
    <col collapsed="false" customWidth="true" hidden="false" outlineLevel="0" max="3" min="3" style="154" width="14"/>
    <col collapsed="false" customWidth="true" hidden="false" outlineLevel="0" max="4" min="4" style="154" width="12"/>
    <col collapsed="false" customWidth="true" hidden="false" outlineLevel="0" max="5" min="5" style="154" width="40"/>
  </cols>
  <sheetData>
    <row r="2" customFormat="false" ht="24" hidden="false" customHeight="true" outlineLevel="0" collapsed="false">
      <c r="B2" s="155" t="s">
        <v>291</v>
      </c>
      <c r="C2" s="155"/>
      <c r="D2" s="155"/>
      <c r="E2" s="155"/>
    </row>
    <row r="4" customFormat="false" ht="15" hidden="false" customHeight="true" outlineLevel="0" collapsed="false">
      <c r="B4" s="198" t="s">
        <v>292</v>
      </c>
    </row>
    <row r="5" customFormat="false" ht="15" hidden="false" customHeight="true" outlineLevel="0" collapsed="false">
      <c r="B5" s="199" t="s">
        <v>293</v>
      </c>
    </row>
    <row r="7" customFormat="false" ht="18" hidden="false" customHeight="true" outlineLevel="0" collapsed="false">
      <c r="B7" s="163" t="s">
        <v>294</v>
      </c>
      <c r="C7" s="163"/>
      <c r="D7" s="163"/>
      <c r="E7" s="163"/>
    </row>
    <row r="8" customFormat="false" ht="15" hidden="false" customHeight="true" outlineLevel="0" collapsed="false">
      <c r="B8" s="199" t="s">
        <v>295</v>
      </c>
      <c r="E8" s="199" t="s">
        <v>296</v>
      </c>
    </row>
    <row r="9" customFormat="false" ht="15" hidden="false" customHeight="true" outlineLevel="0" collapsed="false">
      <c r="B9" s="199" t="s">
        <v>297</v>
      </c>
      <c r="E9" s="199" t="s">
        <v>298</v>
      </c>
    </row>
    <row r="10" customFormat="false" ht="15" hidden="false" customHeight="true" outlineLevel="0" collapsed="false">
      <c r="B10" s="199" t="s">
        <v>299</v>
      </c>
      <c r="E10" s="199" t="s">
        <v>300</v>
      </c>
    </row>
    <row r="11" customFormat="false" ht="15" hidden="false" customHeight="true" outlineLevel="0" collapsed="false">
      <c r="B11" s="199" t="s">
        <v>301</v>
      </c>
      <c r="E11" s="199" t="s">
        <v>302</v>
      </c>
    </row>
    <row r="12" customFormat="false" ht="15" hidden="false" customHeight="true" outlineLevel="0" collapsed="false">
      <c r="B12" s="199" t="s">
        <v>303</v>
      </c>
      <c r="E12" s="199" t="s">
        <v>304</v>
      </c>
    </row>
    <row r="14" customFormat="false" ht="18" hidden="false" customHeight="true" outlineLevel="0" collapsed="false">
      <c r="B14" s="163" t="s">
        <v>305</v>
      </c>
      <c r="C14" s="163"/>
      <c r="D14" s="163"/>
      <c r="E14" s="163"/>
    </row>
    <row r="15" customFormat="false" ht="15" hidden="false" customHeight="true" outlineLevel="0" collapsed="false">
      <c r="B15" s="200" t="s">
        <v>306</v>
      </c>
      <c r="C15" s="201" t="s">
        <v>307</v>
      </c>
      <c r="D15" s="201" t="s">
        <v>308</v>
      </c>
      <c r="E15" s="200" t="s">
        <v>309</v>
      </c>
    </row>
    <row r="16" customFormat="false" ht="15" hidden="false" customHeight="true" outlineLevel="0" collapsed="false">
      <c r="B16" s="199" t="s">
        <v>310</v>
      </c>
      <c r="C16" s="202" t="s">
        <v>311</v>
      </c>
      <c r="D16" s="202" t="s">
        <v>312</v>
      </c>
      <c r="E16" s="199" t="s">
        <v>313</v>
      </c>
    </row>
    <row r="17" customFormat="false" ht="15" hidden="false" customHeight="true" outlineLevel="0" collapsed="false">
      <c r="B17" s="199" t="s">
        <v>314</v>
      </c>
      <c r="C17" s="202" t="s">
        <v>315</v>
      </c>
      <c r="D17" s="202"/>
      <c r="E17" s="199" t="s">
        <v>316</v>
      </c>
    </row>
    <row r="18" customFormat="false" ht="15" hidden="false" customHeight="true" outlineLevel="0" collapsed="false">
      <c r="B18" s="199" t="s">
        <v>317</v>
      </c>
      <c r="C18" s="202" t="s">
        <v>318</v>
      </c>
      <c r="D18" s="202" t="s">
        <v>319</v>
      </c>
      <c r="E18" s="199" t="s">
        <v>320</v>
      </c>
    </row>
    <row r="20" customFormat="false" ht="18" hidden="false" customHeight="true" outlineLevel="0" collapsed="false">
      <c r="B20" s="163" t="s">
        <v>321</v>
      </c>
      <c r="C20" s="163"/>
      <c r="D20" s="163"/>
      <c r="E20" s="163"/>
    </row>
    <row r="21" customFormat="false" ht="15" hidden="false" customHeight="true" outlineLevel="0" collapsed="false">
      <c r="B21" s="199" t="s">
        <v>322</v>
      </c>
      <c r="C21" s="202" t="s">
        <v>323</v>
      </c>
      <c r="E21" s="199" t="s">
        <v>324</v>
      </c>
    </row>
    <row r="22" customFormat="false" ht="15" hidden="false" customHeight="true" outlineLevel="0" collapsed="false">
      <c r="B22" s="199" t="s">
        <v>325</v>
      </c>
      <c r="C22" s="202" t="s">
        <v>326</v>
      </c>
      <c r="E22" s="199" t="s">
        <v>327</v>
      </c>
    </row>
    <row r="23" customFormat="false" ht="15" hidden="false" customHeight="true" outlineLevel="0" collapsed="false">
      <c r="B23" s="199" t="s">
        <v>328</v>
      </c>
      <c r="C23" s="202" t="s">
        <v>329</v>
      </c>
      <c r="E23" s="199" t="s">
        <v>330</v>
      </c>
    </row>
    <row r="24" customFormat="false" ht="15" hidden="false" customHeight="true" outlineLevel="0" collapsed="false">
      <c r="B24" s="199" t="s">
        <v>224</v>
      </c>
      <c r="C24" s="202" t="s">
        <v>331</v>
      </c>
      <c r="E24" s="199" t="s">
        <v>332</v>
      </c>
    </row>
    <row r="25" customFormat="false" ht="15" hidden="false" customHeight="true" outlineLevel="0" collapsed="false">
      <c r="B25" s="199" t="s">
        <v>333</v>
      </c>
      <c r="C25" s="202" t="s">
        <v>334</v>
      </c>
      <c r="E25" s="199" t="s">
        <v>335</v>
      </c>
    </row>
    <row r="27" customFormat="false" ht="18" hidden="false" customHeight="true" outlineLevel="0" collapsed="false">
      <c r="B27" s="203" t="s">
        <v>336</v>
      </c>
      <c r="C27" s="203"/>
      <c r="D27" s="203"/>
      <c r="E27" s="203"/>
    </row>
    <row r="28" customFormat="false" ht="15" hidden="false" customHeight="true" outlineLevel="0" collapsed="false">
      <c r="B28" s="199" t="s">
        <v>337</v>
      </c>
    </row>
    <row r="29" customFormat="false" ht="15" hidden="false" customHeight="true" outlineLevel="0" collapsed="false">
      <c r="B29" s="199" t="s">
        <v>338</v>
      </c>
    </row>
    <row r="30" customFormat="false" ht="15" hidden="false" customHeight="true" outlineLevel="0" collapsed="false">
      <c r="B30" s="199" t="s">
        <v>339</v>
      </c>
    </row>
    <row r="31" customFormat="false" ht="15" hidden="false" customHeight="true" outlineLevel="0" collapsed="false">
      <c r="B31" s="199" t="s">
        <v>340</v>
      </c>
    </row>
  </sheetData>
  <mergeCells count="5">
    <mergeCell ref="B2:E2"/>
    <mergeCell ref="B7:E7"/>
    <mergeCell ref="B14:E14"/>
    <mergeCell ref="B20:E20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8" activeCellId="0" sqref="F18"/>
    </sheetView>
  </sheetViews>
  <sheetFormatPr defaultColWidth="8.83203125" defaultRowHeight="13.5" zeroHeight="false" outlineLevelRow="0" outlineLevelCol="0"/>
  <cols>
    <col collapsed="false" customWidth="true" hidden="false" outlineLevel="0" max="1" min="1" style="1" width="2.67"/>
    <col collapsed="false" customWidth="true" hidden="false" outlineLevel="0" max="2" min="2" style="1" width="39.33"/>
    <col collapsed="false" customWidth="true" hidden="false" outlineLevel="0" max="3" min="3" style="5" width="12.5"/>
    <col collapsed="false" customWidth="true" hidden="false" outlineLevel="0" max="4" min="4" style="5" width="23.67"/>
    <col collapsed="false" customWidth="false" hidden="false" outlineLevel="0" max="5" min="5" style="1" width="8.83"/>
    <col collapsed="false" customWidth="true" hidden="false" outlineLevel="0" max="6" min="6" style="1" width="20.51"/>
    <col collapsed="false" customWidth="true" hidden="false" outlineLevel="0" max="7" min="7" style="3" width="13.16"/>
    <col collapsed="false" customWidth="false" hidden="false" outlineLevel="0" max="16384" min="8" style="1" width="8.83"/>
  </cols>
  <sheetData>
    <row r="2" customFormat="false" ht="13.5" hidden="false" customHeight="true" outlineLevel="0" collapsed="false">
      <c r="B2" s="204" t="s">
        <v>341</v>
      </c>
      <c r="C2" s="204"/>
      <c r="D2" s="204"/>
    </row>
    <row r="3" customFormat="false" ht="13.5" hidden="false" customHeight="true" outlineLevel="0" collapsed="false">
      <c r="B3" s="64" t="s">
        <v>41</v>
      </c>
      <c r="C3" s="205"/>
      <c r="D3" s="206" t="n">
        <f aca="false">'Executive Summary'!L8</f>
        <v>0.0485</v>
      </c>
    </row>
    <row r="4" customFormat="false" ht="13.5" hidden="false" customHeight="true" outlineLevel="0" collapsed="false">
      <c r="B4" s="64" t="s">
        <v>49</v>
      </c>
      <c r="C4" s="205"/>
      <c r="D4" s="207" t="n">
        <f aca="false">'Executive Summary'!L10</f>
        <v>36</v>
      </c>
      <c r="G4" s="208"/>
    </row>
    <row r="5" customFormat="false" ht="13.5" hidden="false" customHeight="true" outlineLevel="0" collapsed="false">
      <c r="B5" s="64" t="s">
        <v>342</v>
      </c>
      <c r="C5" s="205"/>
      <c r="D5" s="209" t="n">
        <f aca="false">'Executive Summary'!L11</f>
        <v>28</v>
      </c>
    </row>
    <row r="6" customFormat="false" ht="13.5" hidden="false" customHeight="true" outlineLevel="0" collapsed="false">
      <c r="B6" s="64" t="s">
        <v>343</v>
      </c>
      <c r="C6" s="205"/>
      <c r="D6" s="210" t="n">
        <f aca="false">'Operating Inputs'!G38</f>
        <v>419710</v>
      </c>
    </row>
    <row r="7" customFormat="false" ht="13.5" hidden="false" customHeight="true" outlineLevel="0" collapsed="false">
      <c r="B7" s="64" t="s">
        <v>344</v>
      </c>
      <c r="C7" s="205"/>
      <c r="D7" s="210" t="n">
        <f aca="false">-PMT(D3/12,D5*12,D17)*12</f>
        <v>339836.967804123</v>
      </c>
    </row>
    <row r="8" customFormat="false" ht="13.5" hidden="false" customHeight="true" outlineLevel="0" collapsed="false">
      <c r="B8" s="64" t="s">
        <v>345</v>
      </c>
      <c r="C8" s="205"/>
      <c r="D8" s="210" t="n">
        <f aca="false">D3*D17</f>
        <v>252200</v>
      </c>
    </row>
    <row r="9" customFormat="false" ht="13.5" hidden="false" customHeight="true" outlineLevel="0" collapsed="false">
      <c r="B9" s="211" t="s">
        <v>346</v>
      </c>
      <c r="C9" s="205"/>
      <c r="D9" s="212"/>
    </row>
    <row r="10" customFormat="false" ht="13.5" hidden="false" customHeight="true" outlineLevel="0" collapsed="false">
      <c r="B10" s="213" t="s">
        <v>347</v>
      </c>
      <c r="C10" s="214" t="n">
        <v>0.08</v>
      </c>
      <c r="D10" s="215" t="n">
        <f aca="false">(D6-'Executive Summary'!L36*'Executive Summary'!C12)/C10</f>
        <v>4971375</v>
      </c>
    </row>
    <row r="11" customFormat="false" ht="13.5" hidden="false" customHeight="true" outlineLevel="0" collapsed="false">
      <c r="B11" s="64" t="s">
        <v>348</v>
      </c>
      <c r="C11" s="216" t="n">
        <v>0.75</v>
      </c>
      <c r="D11" s="210" t="n">
        <f aca="false">C11*'Executive Summary'!C33</f>
        <v>5461634.25</v>
      </c>
    </row>
    <row r="12" customFormat="false" ht="13.5" hidden="false" customHeight="true" outlineLevel="0" collapsed="false">
      <c r="B12" s="64" t="s">
        <v>349</v>
      </c>
      <c r="C12" s="216" t="n">
        <v>0.75</v>
      </c>
      <c r="D12" s="210" t="n">
        <f aca="false">C12*'Executive Summary'!C30</f>
        <v>4968750</v>
      </c>
    </row>
    <row r="13" customFormat="false" ht="13.5" hidden="false" customHeight="true" outlineLevel="0" collapsed="false">
      <c r="B13" s="64" t="s">
        <v>146</v>
      </c>
      <c r="C13" s="217" t="n">
        <v>1.2</v>
      </c>
      <c r="D13" s="210" t="n">
        <f aca="false">-PV(D3/12,30*12,(D6-'Executive Summary'!L36*'Executive Summary'!C12)/C13/12)</f>
        <v>5233878.66875503</v>
      </c>
    </row>
    <row r="14" customFormat="false" ht="13.5" hidden="false" customHeight="true" outlineLevel="0" collapsed="false">
      <c r="B14" s="218" t="s">
        <v>350</v>
      </c>
      <c r="C14" s="219" t="s">
        <v>351</v>
      </c>
      <c r="D14" s="220" t="n">
        <v>0</v>
      </c>
    </row>
    <row r="15" customFormat="false" ht="13.5" hidden="false" customHeight="true" outlineLevel="0" collapsed="false">
      <c r="B15" s="211" t="s">
        <v>352</v>
      </c>
      <c r="C15" s="205"/>
      <c r="D15" s="212"/>
    </row>
    <row r="16" customFormat="false" ht="13.5" hidden="false" customHeight="true" outlineLevel="0" collapsed="false">
      <c r="B16" s="213" t="s">
        <v>347</v>
      </c>
      <c r="C16" s="221" t="n">
        <f aca="false">D6/D17</f>
        <v>0.0807134615384615</v>
      </c>
      <c r="D16" s="222"/>
    </row>
    <row r="17" customFormat="false" ht="13.5" hidden="false" customHeight="true" outlineLevel="0" collapsed="false">
      <c r="B17" s="64" t="s">
        <v>348</v>
      </c>
      <c r="C17" s="223" t="n">
        <f aca="false">D17/'Executive Summary'!C33</f>
        <v>0.714071983124831</v>
      </c>
      <c r="D17" s="224" t="n">
        <v>5200000</v>
      </c>
    </row>
    <row r="18" customFormat="false" ht="13.5" hidden="false" customHeight="true" outlineLevel="0" collapsed="false">
      <c r="B18" s="218" t="s">
        <v>353</v>
      </c>
      <c r="C18" s="219" t="n">
        <f aca="false">D6/D7</f>
        <v>1.23503338295413</v>
      </c>
      <c r="D18" s="225"/>
    </row>
    <row r="19" customFormat="false" ht="13.5" hidden="false" customHeight="true" outlineLevel="0" collapsed="false">
      <c r="B19" s="213"/>
      <c r="C19" s="226"/>
      <c r="D19" s="222"/>
    </row>
    <row r="20" customFormat="false" ht="13.5" hidden="false" customHeight="true" outlineLevel="0" collapsed="false">
      <c r="B20" s="64" t="s">
        <v>354</v>
      </c>
      <c r="C20" s="227"/>
      <c r="D20" s="210" t="str">
        <f aca="false">IF('Executive Summary'!L17=0,"N/A",IPMT('Debt Financing'!D3/12,'Executive Summary'!L17-'Debt Financing'!D4+1,'Debt Financing'!D5*12,-'Debt Financing'!D17)/('Debt Financing'!D3/12))</f>
        <v>N/A</v>
      </c>
    </row>
    <row r="21" customFormat="false" ht="13.5" hidden="false" customHeight="true" outlineLevel="0" collapsed="false">
      <c r="B21" s="218" t="s">
        <v>355</v>
      </c>
      <c r="C21" s="228"/>
      <c r="D21" s="229" t="n">
        <f aca="false">IPMT('Debt Financing'!D3/12,'Executive Summary'!I13-'Debt Financing'!D4+1,'Debt Financing'!D5*12,-'Debt Financing'!D17)/('Debt Financing'!D3/12)</f>
        <v>5016332.81486625</v>
      </c>
      <c r="F21" s="230"/>
    </row>
    <row r="22" customFormat="false" ht="13.5" hidden="false" customHeight="true" outlineLevel="0" collapsed="false">
      <c r="B22" s="231"/>
      <c r="C22" s="205"/>
      <c r="D22" s="205"/>
    </row>
    <row r="23" customFormat="false" ht="13.5" hidden="false" customHeight="true" outlineLevel="0" collapsed="false">
      <c r="B23" s="204" t="s">
        <v>356</v>
      </c>
      <c r="C23" s="204"/>
      <c r="D23" s="204"/>
    </row>
    <row r="24" customFormat="false" ht="13.5" hidden="false" customHeight="true" outlineLevel="0" collapsed="false">
      <c r="B24" s="64" t="s">
        <v>75</v>
      </c>
      <c r="C24" s="205"/>
      <c r="D24" s="232" t="str">
        <f aca="false">IF('Executive Summary'!L17=0,"N/A",'Executive Summary'!L17)</f>
        <v>N/A</v>
      </c>
    </row>
    <row r="25" customFormat="false" ht="13.5" hidden="false" customHeight="true" outlineLevel="0" collapsed="false">
      <c r="B25" s="64" t="s">
        <v>343</v>
      </c>
      <c r="C25" s="205"/>
      <c r="D25" s="210" t="str">
        <f aca="true">IF(D24="N/A","N/A",4*SUM(OFFSET('Cash Flow - Monthly'!$G$55,0,'Executive Summary'!$L$17-1,1,-3)))</f>
        <v>N/A</v>
      </c>
    </row>
    <row r="26" customFormat="false" ht="13.5" hidden="false" customHeight="true" outlineLevel="0" collapsed="false">
      <c r="B26" s="64" t="s">
        <v>357</v>
      </c>
      <c r="C26" s="205"/>
      <c r="D26" s="210" t="str">
        <f aca="false">IF(D24="N/A","N/A",D25/'Executive Summary'!I15)</f>
        <v>N/A</v>
      </c>
    </row>
    <row r="27" customFormat="false" ht="13.5" hidden="false" customHeight="true" outlineLevel="0" collapsed="false">
      <c r="B27" s="64" t="s">
        <v>41</v>
      </c>
      <c r="C27" s="205"/>
      <c r="D27" s="206" t="n">
        <f aca="false">'Executive Summary'!L21</f>
        <v>0</v>
      </c>
    </row>
    <row r="28" customFormat="false" ht="13.5" hidden="false" customHeight="true" outlineLevel="0" collapsed="false">
      <c r="B28" s="64" t="s">
        <v>49</v>
      </c>
      <c r="C28" s="205"/>
      <c r="D28" s="207" t="n">
        <f aca="false">'Executive Summary'!L23</f>
        <v>0</v>
      </c>
    </row>
    <row r="29" customFormat="false" ht="13.5" hidden="false" customHeight="true" outlineLevel="0" collapsed="false">
      <c r="B29" s="64" t="s">
        <v>358</v>
      </c>
      <c r="C29" s="205"/>
      <c r="D29" s="209" t="n">
        <v>30</v>
      </c>
    </row>
    <row r="30" customFormat="false" ht="13.5" hidden="false" customHeight="true" outlineLevel="0" collapsed="false">
      <c r="B30" s="64" t="s">
        <v>344</v>
      </c>
      <c r="C30" s="205"/>
      <c r="D30" s="210" t="str">
        <f aca="false">IF(D24="N/A","N/A",-PMT(D27/12,D29*12,D38)*12)</f>
        <v>N/A</v>
      </c>
      <c r="G30" s="208"/>
    </row>
    <row r="31" customFormat="false" ht="13.5" hidden="false" customHeight="true" outlineLevel="0" collapsed="false">
      <c r="B31" s="64" t="s">
        <v>345</v>
      </c>
      <c r="C31" s="205"/>
      <c r="D31" s="210" t="str">
        <f aca="false">IF(D24="N/A","N/A",D27*D38)</f>
        <v>N/A</v>
      </c>
      <c r="G31" s="208"/>
    </row>
    <row r="32" customFormat="false" ht="13.5" hidden="false" customHeight="true" outlineLevel="0" collapsed="false">
      <c r="B32" s="211" t="s">
        <v>346</v>
      </c>
      <c r="C32" s="205"/>
      <c r="D32" s="212"/>
    </row>
    <row r="33" customFormat="false" ht="13.5" hidden="false" customHeight="true" outlineLevel="0" collapsed="false">
      <c r="B33" s="213" t="s">
        <v>347</v>
      </c>
      <c r="C33" s="214" t="n">
        <v>0.08</v>
      </c>
      <c r="D33" s="215" t="str">
        <f aca="false">IF(D24="N/A","N/A",D25/C33)</f>
        <v>N/A</v>
      </c>
    </row>
    <row r="34" customFormat="false" ht="13.5" hidden="false" customHeight="true" outlineLevel="0" collapsed="false">
      <c r="B34" s="64" t="s">
        <v>82</v>
      </c>
      <c r="C34" s="216" t="n">
        <v>0.75</v>
      </c>
      <c r="D34" s="210" t="str">
        <f aca="false">IF(D24="N/A","N/A",C34*D26)</f>
        <v>N/A</v>
      </c>
    </row>
    <row r="35" customFormat="false" ht="13.5" hidden="false" customHeight="true" outlineLevel="0" collapsed="false">
      <c r="B35" s="218" t="s">
        <v>146</v>
      </c>
      <c r="C35" s="233" t="n">
        <v>1.3</v>
      </c>
      <c r="D35" s="229" t="str">
        <f aca="false">IF(D24="N/A","N/A",-PV(D27/12,30*12,D25/C35/12))</f>
        <v>N/A</v>
      </c>
    </row>
    <row r="36" customFormat="false" ht="13.5" hidden="false" customHeight="true" outlineLevel="0" collapsed="false">
      <c r="B36" s="211" t="s">
        <v>352</v>
      </c>
      <c r="C36" s="205"/>
      <c r="D36" s="212"/>
    </row>
    <row r="37" customFormat="false" ht="13.5" hidden="false" customHeight="true" outlineLevel="0" collapsed="false">
      <c r="B37" s="213" t="s">
        <v>347</v>
      </c>
      <c r="C37" s="221" t="str">
        <f aca="false">IF(D24="N/A","N/A",D25/D38)</f>
        <v>N/A</v>
      </c>
      <c r="D37" s="234"/>
    </row>
    <row r="38" customFormat="false" ht="13.5" hidden="false" customHeight="true" outlineLevel="0" collapsed="false">
      <c r="B38" s="64" t="s">
        <v>348</v>
      </c>
      <c r="C38" s="223" t="str">
        <f aca="false">IF(D24="N/A","N/A",D38/D26)</f>
        <v>N/A</v>
      </c>
      <c r="D38" s="210" t="n">
        <f aca="false">MIN(D33:D35)</f>
        <v>0</v>
      </c>
    </row>
    <row r="39" customFormat="false" ht="13.5" hidden="false" customHeight="true" outlineLevel="0" collapsed="false">
      <c r="B39" s="218" t="s">
        <v>353</v>
      </c>
      <c r="C39" s="219" t="str">
        <f aca="false">IF(D24="N/A","N/A",D25/D30)</f>
        <v>N/A</v>
      </c>
      <c r="D39" s="235"/>
    </row>
    <row r="40" customFormat="false" ht="13.5" hidden="false" customHeight="true" outlineLevel="0" collapsed="false">
      <c r="B40" s="213"/>
      <c r="C40" s="226"/>
      <c r="D40" s="222"/>
    </row>
    <row r="41" customFormat="false" ht="13.5" hidden="false" customHeight="true" outlineLevel="0" collapsed="false">
      <c r="B41" s="218" t="s">
        <v>355</v>
      </c>
      <c r="C41" s="228"/>
      <c r="D41" s="229" t="str">
        <f aca="false">IF('Debt Financing'!$D$27=0,"N/A",IPMT('Debt Financing'!$D$27/12,'Executive Summary'!L22*12+1,'Debt Financing'!$D$29*12,-'Debt Financing'!$D$38)/('Debt Financing'!$D$27/12))</f>
        <v>N/A</v>
      </c>
    </row>
  </sheetData>
  <mergeCells count="2">
    <mergeCell ref="B2:D2"/>
    <mergeCell ref="B23:D23"/>
  </mergeCells>
  <printOptions headings="false" gridLines="false" gridLinesSet="true" horizontalCentered="true" verticalCentered="false"/>
  <pageMargins left="0.7" right="0.7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&amp;R&amp;"Calibri,Italic"Confidential and For Discussion Purposes Only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46"/>
  <sheetViews>
    <sheetView showFormulas="false" showGridLines="true" showRowColHeaders="true" showZeros="true" rightToLeft="false" tabSelected="false" showOutlineSymbols="true" defaultGridColor="true" view="normal" topLeftCell="D2" colorId="64" zoomScale="90" zoomScaleNormal="90" zoomScalePageLayoutView="100" workbookViewId="0">
      <selection pane="topLeft" activeCell="P32" activeCellId="0" sqref="P32"/>
    </sheetView>
  </sheetViews>
  <sheetFormatPr defaultColWidth="8.83203125" defaultRowHeight="13.5" zeroHeight="false" outlineLevelRow="0" outlineLevelCol="0"/>
  <cols>
    <col collapsed="false" customWidth="true" hidden="false" outlineLevel="0" max="1" min="1" style="236" width="2.67"/>
    <col collapsed="false" customWidth="true" hidden="false" outlineLevel="0" max="2" min="2" style="236" width="28.67"/>
    <col collapsed="false" customWidth="true" hidden="false" outlineLevel="0" max="14" min="3" style="236" width="15.51"/>
    <col collapsed="false" customWidth="true" hidden="false" outlineLevel="0" max="15" min="15" style="236" width="2.5"/>
    <col collapsed="false" customWidth="true" hidden="false" outlineLevel="0" max="16" min="16" style="237" width="20"/>
    <col collapsed="false" customWidth="true" hidden="false" outlineLevel="0" max="17" min="17" style="236" width="2.67"/>
    <col collapsed="false" customWidth="false" hidden="false" outlineLevel="0" max="16384" min="18" style="236" width="8.83"/>
  </cols>
  <sheetData>
    <row r="2" customFormat="false" ht="13.5" hidden="false" customHeight="true" outlineLevel="0" collapsed="false">
      <c r="B2" s="238" t="str">
        <f aca="false">'Executive Summary'!B2</f>
        <v>Riverhill TH</v>
      </c>
      <c r="C2" s="66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67"/>
      <c r="Q2" s="240"/>
    </row>
    <row r="3" customFormat="false" ht="13.5" hidden="false" customHeight="true" outlineLevel="0" collapsed="false">
      <c r="B3" s="241" t="s">
        <v>359</v>
      </c>
      <c r="C3" s="70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71"/>
      <c r="Q3" s="243"/>
    </row>
    <row r="4" customFormat="false" ht="13.5" hidden="false" customHeight="true" outlineLevel="0" collapsed="false">
      <c r="B4" s="69"/>
      <c r="C4" s="244" t="s">
        <v>360</v>
      </c>
      <c r="D4" s="244"/>
      <c r="E4" s="244" t="s">
        <v>361</v>
      </c>
      <c r="F4" s="244"/>
      <c r="G4" s="245" t="s">
        <v>362</v>
      </c>
      <c r="H4" s="245"/>
      <c r="I4" s="245" t="s">
        <v>363</v>
      </c>
      <c r="J4" s="245"/>
      <c r="K4" s="245" t="s">
        <v>364</v>
      </c>
      <c r="L4" s="245"/>
      <c r="M4" s="245" t="s">
        <v>365</v>
      </c>
      <c r="N4" s="245"/>
      <c r="O4" s="70"/>
      <c r="P4" s="245" t="s">
        <v>366</v>
      </c>
      <c r="Q4" s="246"/>
    </row>
    <row r="5" customFormat="false" ht="13.5" hidden="false" customHeight="true" outlineLevel="0" collapsed="false">
      <c r="B5" s="69"/>
      <c r="C5" s="247" t="s">
        <v>367</v>
      </c>
      <c r="D5" s="248" t="s">
        <v>368</v>
      </c>
      <c r="E5" s="249" t="s">
        <v>367</v>
      </c>
      <c r="F5" s="248" t="s">
        <v>368</v>
      </c>
      <c r="G5" s="249" t="s">
        <v>367</v>
      </c>
      <c r="H5" s="248" t="s">
        <v>368</v>
      </c>
      <c r="I5" s="249" t="s">
        <v>369</v>
      </c>
      <c r="J5" s="248" t="s">
        <v>368</v>
      </c>
      <c r="K5" s="249" t="s">
        <v>369</v>
      </c>
      <c r="L5" s="248" t="s">
        <v>368</v>
      </c>
      <c r="M5" s="249" t="s">
        <v>369</v>
      </c>
      <c r="N5" s="248" t="s">
        <v>368</v>
      </c>
      <c r="O5" s="242"/>
      <c r="P5" s="71"/>
      <c r="Q5" s="243"/>
    </row>
    <row r="6" customFormat="false" ht="13.5" hidden="false" customHeight="true" outlineLevel="0" collapsed="false">
      <c r="B6" s="241" t="s">
        <v>370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71"/>
      <c r="Q6" s="243"/>
    </row>
    <row r="7" customFormat="false" ht="13.5" hidden="false" customHeight="true" outlineLevel="0" collapsed="false">
      <c r="B7" s="241" t="s">
        <v>160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71"/>
      <c r="Q7" s="243"/>
    </row>
    <row r="8" customFormat="false" ht="13.5" hidden="false" customHeight="true" outlineLevel="0" collapsed="false">
      <c r="B8" s="69" t="s">
        <v>70</v>
      </c>
      <c r="C8" s="131" t="n">
        <v>728750</v>
      </c>
      <c r="D8" s="250" t="n">
        <f aca="false">C8/C$10</f>
        <v>1.02157682397898</v>
      </c>
      <c r="E8" s="101" t="n">
        <f aca="false">'T-3 Worksheet'!G7</f>
        <v>732624</v>
      </c>
      <c r="F8" s="250" t="n">
        <f aca="false">E8/E$10</f>
        <v>1.02400733526406</v>
      </c>
      <c r="G8" s="101" t="n">
        <f aca="false">E8</f>
        <v>732624</v>
      </c>
      <c r="H8" s="250" t="n">
        <f aca="false">G8/G$10</f>
        <v>1.02400733526406</v>
      </c>
      <c r="I8" s="101" t="n">
        <f aca="false">'Cash Flow - Monthly'!EK25</f>
        <v>761762.478303041</v>
      </c>
      <c r="J8" s="250" t="n">
        <f aca="false">I8/I$10</f>
        <v>1.02033759625113</v>
      </c>
      <c r="K8" s="101" t="n">
        <f aca="false">'Cash Flow - Monthly'!EL25</f>
        <v>807389.081554074</v>
      </c>
      <c r="L8" s="250" t="n">
        <f aca="false">K8/K$10</f>
        <v>1.01526856421731</v>
      </c>
      <c r="M8" s="101" t="n">
        <f aca="false">SUMPRODUCT('Unit Mix &amp; Comparables'!C9:C38,'Unit Mix &amp; Comparables'!G9:G38)*12</f>
        <v>746136</v>
      </c>
      <c r="N8" s="250" t="n">
        <f aca="false">M8/M$10</f>
        <v>1.01522842639594</v>
      </c>
      <c r="O8" s="242"/>
      <c r="P8" s="71"/>
      <c r="Q8" s="243"/>
    </row>
    <row r="9" customFormat="false" ht="13.5" hidden="false" customHeight="true" outlineLevel="0" collapsed="false">
      <c r="B9" s="95" t="s">
        <v>371</v>
      </c>
      <c r="C9" s="251" t="n">
        <v>-15392</v>
      </c>
      <c r="D9" s="252" t="n">
        <f aca="false">C9/C$10</f>
        <v>-0.0215768239789839</v>
      </c>
      <c r="E9" s="253" t="n">
        <f aca="false">'T-3 Worksheet'!G8</f>
        <v>-17176</v>
      </c>
      <c r="F9" s="252" t="n">
        <f aca="false">E9/E$10</f>
        <v>-0.0240073352640583</v>
      </c>
      <c r="G9" s="253" t="n">
        <f aca="false">E9</f>
        <v>-17176</v>
      </c>
      <c r="H9" s="252" t="n">
        <f aca="false">G9/G$10</f>
        <v>-0.0240073352640583</v>
      </c>
      <c r="I9" s="253" t="n">
        <f aca="false">'Cash Flow - Monthly'!EK26</f>
        <v>-15183.6194019574</v>
      </c>
      <c r="J9" s="252" t="n">
        <f aca="false">I9/I$10</f>
        <v>-0.0203375962511271</v>
      </c>
      <c r="K9" s="253" t="n">
        <f aca="false">'Cash Flow - Monthly'!EL26</f>
        <v>-12142.2769053904</v>
      </c>
      <c r="L9" s="252" t="n">
        <f aca="false">K9/K$10</f>
        <v>-0.0152685642173118</v>
      </c>
      <c r="M9" s="123" t="n">
        <f aca="false">-('Executive Summary'!I7/2)*M8</f>
        <v>-11192.04</v>
      </c>
      <c r="N9" s="252" t="n">
        <f aca="false">M9/M$10</f>
        <v>-0.0152284263959391</v>
      </c>
      <c r="O9" s="242"/>
      <c r="P9" s="71"/>
      <c r="Q9" s="243"/>
    </row>
    <row r="10" customFormat="false" ht="13.5" hidden="false" customHeight="true" outlineLevel="0" collapsed="false">
      <c r="B10" s="241" t="s">
        <v>372</v>
      </c>
      <c r="C10" s="115" t="n">
        <f aca="false">SUM(C8:C9)</f>
        <v>713358</v>
      </c>
      <c r="D10" s="254" t="n">
        <f aca="false">C10/C$10</f>
        <v>1</v>
      </c>
      <c r="E10" s="115" t="n">
        <f aca="false">SUM(E8:E9)</f>
        <v>715448</v>
      </c>
      <c r="F10" s="254" t="n">
        <f aca="false">E10/E$10</f>
        <v>1</v>
      </c>
      <c r="G10" s="115" t="n">
        <f aca="false">SUM(G8:G9)</f>
        <v>715448</v>
      </c>
      <c r="H10" s="254" t="n">
        <f aca="false">G10/G$10</f>
        <v>1</v>
      </c>
      <c r="I10" s="115" t="n">
        <f aca="false">SUM(I8:I9)</f>
        <v>746578.858901083</v>
      </c>
      <c r="J10" s="254" t="n">
        <f aca="false">I10/I$10</f>
        <v>1</v>
      </c>
      <c r="K10" s="115" t="n">
        <f aca="false">SUM(K8:K9)</f>
        <v>795246.804648684</v>
      </c>
      <c r="L10" s="254" t="n">
        <f aca="false">K10/K$10</f>
        <v>1</v>
      </c>
      <c r="M10" s="115" t="n">
        <f aca="false">SUM(M8:M9)</f>
        <v>734943.96</v>
      </c>
      <c r="N10" s="254" t="n">
        <f aca="false">M10/M$10</f>
        <v>1</v>
      </c>
      <c r="O10" s="242"/>
      <c r="P10" s="255" t="s">
        <v>373</v>
      </c>
      <c r="Q10" s="243"/>
    </row>
    <row r="11" customFormat="false" ht="13.5" hidden="false" customHeight="true" outlineLevel="0" collapsed="false">
      <c r="B11" s="69" t="s">
        <v>374</v>
      </c>
      <c r="C11" s="131" t="n">
        <v>0</v>
      </c>
      <c r="D11" s="250" t="n">
        <f aca="false">C11/C$10</f>
        <v>0</v>
      </c>
      <c r="E11" s="101" t="n">
        <f aca="false">'T-3 Worksheet'!G14</f>
        <v>0</v>
      </c>
      <c r="F11" s="250" t="n">
        <f aca="false">E11/E$10</f>
        <v>0</v>
      </c>
      <c r="G11" s="101" t="n">
        <f aca="false">E11</f>
        <v>0</v>
      </c>
      <c r="H11" s="250" t="n">
        <f aca="false">G11/G$10</f>
        <v>0</v>
      </c>
      <c r="I11" s="101" t="n">
        <f aca="false">'Cash Flow - Monthly'!EK28</f>
        <v>-2239.73657670325</v>
      </c>
      <c r="J11" s="250" t="n">
        <f aca="false">I11/I$10</f>
        <v>-0.003</v>
      </c>
      <c r="K11" s="101" t="n">
        <f aca="false">'Cash Flow - Monthly'!EL28</f>
        <v>-2385.74041394605</v>
      </c>
      <c r="L11" s="250" t="n">
        <f aca="false">K11/K$10</f>
        <v>-0.003</v>
      </c>
      <c r="M11" s="101" t="n">
        <f aca="false">P11*$M$10</f>
        <v>-2204.83188</v>
      </c>
      <c r="N11" s="250" t="n">
        <f aca="false">M11/M$10</f>
        <v>-0.003</v>
      </c>
      <c r="O11" s="242"/>
      <c r="P11" s="256" t="n">
        <v>-0.003</v>
      </c>
      <c r="Q11" s="243"/>
    </row>
    <row r="12" customFormat="false" ht="13.5" hidden="false" customHeight="true" outlineLevel="0" collapsed="false">
      <c r="B12" s="69" t="s">
        <v>299</v>
      </c>
      <c r="C12" s="131" t="n">
        <v>-20449</v>
      </c>
      <c r="D12" s="250" t="n">
        <f aca="false">C12/C$10</f>
        <v>-0.0286658311815386</v>
      </c>
      <c r="E12" s="101" t="n">
        <f aca="false">'T-3 Worksheet'!G12</f>
        <v>-49488</v>
      </c>
      <c r="F12" s="250" t="n">
        <f aca="false">E12/E$10</f>
        <v>-0.0691706455256008</v>
      </c>
      <c r="G12" s="101" t="n">
        <f aca="false">E12</f>
        <v>-49488</v>
      </c>
      <c r="H12" s="250" t="n">
        <f aca="false">G12/G$10</f>
        <v>-0.0691706455256008</v>
      </c>
      <c r="I12" s="101" t="n">
        <f aca="false">'Cash Flow - Monthly'!EK29</f>
        <v>-41937.4519475691</v>
      </c>
      <c r="J12" s="250" t="n">
        <f aca="false">I12/I$10</f>
        <v>-0.0561728361948239</v>
      </c>
      <c r="K12" s="101" t="n">
        <f aca="false">'Cash Flow - Monthly'!EL29</f>
        <v>-44533.8210603263</v>
      </c>
      <c r="L12" s="250" t="n">
        <f aca="false">K12/K$10</f>
        <v>-0.056</v>
      </c>
      <c r="M12" s="101" t="n">
        <f aca="false">P12*$M$10</f>
        <v>-41156.86176</v>
      </c>
      <c r="N12" s="250" t="n">
        <f aca="false">M12/M$10</f>
        <v>-0.056</v>
      </c>
      <c r="O12" s="242"/>
      <c r="P12" s="257" t="n">
        <f aca="false">-'Cignal Market Read'!$C$46</f>
        <v>-0.056</v>
      </c>
      <c r="Q12" s="243"/>
    </row>
    <row r="13" customFormat="false" ht="13.5" hidden="false" customHeight="true" outlineLevel="0" collapsed="false">
      <c r="B13" s="95" t="s">
        <v>375</v>
      </c>
      <c r="C13" s="251" t="n">
        <v>-12</v>
      </c>
      <c r="D13" s="252" t="n">
        <f aca="false">C13/C$10</f>
        <v>-1.68218482164635E-005</v>
      </c>
      <c r="E13" s="253" t="n">
        <f aca="false">'T-3 Worksheet'!G15</f>
        <v>-6068</v>
      </c>
      <c r="F13" s="252" t="n">
        <f aca="false">E13/E$10</f>
        <v>-0.00848139906743747</v>
      </c>
      <c r="G13" s="253" t="n">
        <f aca="false">E13</f>
        <v>-6068</v>
      </c>
      <c r="H13" s="252" t="n">
        <f aca="false">G13/G$10</f>
        <v>-0.00848139906743747</v>
      </c>
      <c r="I13" s="253" t="n">
        <f aca="false">'Cash Flow - Monthly'!EK30</f>
        <v>-2239.73657670325</v>
      </c>
      <c r="J13" s="252" t="n">
        <f aca="false">I13/I$10</f>
        <v>-0.003</v>
      </c>
      <c r="K13" s="253" t="n">
        <f aca="false">'Cash Flow - Monthly'!EL30</f>
        <v>-2385.74041394605</v>
      </c>
      <c r="L13" s="252" t="n">
        <f aca="false">K13/K$10</f>
        <v>-0.003</v>
      </c>
      <c r="M13" s="253" t="n">
        <f aca="false">P13*$M$10</f>
        <v>-2204.83188</v>
      </c>
      <c r="N13" s="252" t="n">
        <f aca="false">M13/M$10</f>
        <v>-0.003</v>
      </c>
      <c r="O13" s="242"/>
      <c r="P13" s="258" t="n">
        <v>-0.003</v>
      </c>
      <c r="Q13" s="243"/>
    </row>
    <row r="14" customFormat="false" ht="13.5" hidden="false" customHeight="true" outlineLevel="0" collapsed="false">
      <c r="B14" s="241" t="s">
        <v>376</v>
      </c>
      <c r="C14" s="115" t="n">
        <f aca="false">SUM(C10:C13)</f>
        <v>692897</v>
      </c>
      <c r="D14" s="254" t="n">
        <f aca="false">C14/C$10</f>
        <v>0.971317346970245</v>
      </c>
      <c r="E14" s="115" t="n">
        <f aca="false">SUM(E10:E13)</f>
        <v>659892</v>
      </c>
      <c r="F14" s="254" t="n">
        <f aca="false">E14/E$10</f>
        <v>0.922347955406962</v>
      </c>
      <c r="G14" s="115" t="n">
        <f aca="false">SUM(G10:G13)</f>
        <v>659892</v>
      </c>
      <c r="H14" s="254" t="n">
        <f aca="false">G14/G$10</f>
        <v>0.922347955406962</v>
      </c>
      <c r="I14" s="115" t="n">
        <f aca="false">SUM(I10:I13)</f>
        <v>700161.933800108</v>
      </c>
      <c r="J14" s="254" t="n">
        <f aca="false">I14/I$10</f>
        <v>0.937827163805176</v>
      </c>
      <c r="K14" s="115" t="n">
        <f aca="false">SUM(K10:K13)</f>
        <v>745941.502760465</v>
      </c>
      <c r="L14" s="254" t="n">
        <f aca="false">K14/K$10</f>
        <v>0.938</v>
      </c>
      <c r="M14" s="115" t="n">
        <f aca="false">SUM(M10:M13)</f>
        <v>689377.43448</v>
      </c>
      <c r="N14" s="254" t="n">
        <f aca="false">M14/M$10</f>
        <v>0.938</v>
      </c>
      <c r="O14" s="242"/>
      <c r="P14" s="71"/>
      <c r="Q14" s="243"/>
    </row>
    <row r="15" customFormat="false" ht="13.5" hidden="false" customHeight="true" outlineLevel="0" collapsed="false">
      <c r="B15" s="241" t="s">
        <v>377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55" t="s">
        <v>378</v>
      </c>
      <c r="Q15" s="243"/>
    </row>
    <row r="16" customFormat="false" ht="13.5" hidden="false" customHeight="true" outlineLevel="0" collapsed="false">
      <c r="B16" s="69" t="s">
        <v>379</v>
      </c>
      <c r="C16" s="131" t="n">
        <v>37188</v>
      </c>
      <c r="D16" s="101" t="n">
        <f aca="false">C16/'Executive Summary'!$C$12</f>
        <v>464.85</v>
      </c>
      <c r="E16" s="101" t="n">
        <f aca="false">'T-3 Worksheet'!G18</f>
        <v>39684</v>
      </c>
      <c r="F16" s="101" t="n">
        <f aca="false">E16/'Executive Summary'!$C$12</f>
        <v>496.05</v>
      </c>
      <c r="G16" s="101" t="n">
        <f aca="false">E16</f>
        <v>39684</v>
      </c>
      <c r="H16" s="101" t="n">
        <f aca="false">G16/'Executive Summary'!$C$12</f>
        <v>496.05</v>
      </c>
      <c r="I16" s="101" t="n">
        <f aca="false">'Cash Flow - Monthly'!EK33</f>
        <v>41097.5916444323</v>
      </c>
      <c r="J16" s="101" t="n">
        <f aca="false">I16/'Executive Summary'!$C$12</f>
        <v>513.719895555403</v>
      </c>
      <c r="K16" s="101" t="n">
        <f aca="false">'Cash Flow - Monthly'!EL33</f>
        <v>41919.5434773209</v>
      </c>
      <c r="L16" s="101" t="n">
        <f aca="false">K16/'Executive Summary'!$C$12</f>
        <v>523.994293466512</v>
      </c>
      <c r="M16" s="101" t="n">
        <f aca="false">P16*M28</f>
        <v>43200</v>
      </c>
      <c r="N16" s="101" t="n">
        <f aca="false">M16/'Executive Summary'!$C$12</f>
        <v>540</v>
      </c>
      <c r="O16" s="242"/>
      <c r="P16" s="259" t="n">
        <v>0.9</v>
      </c>
      <c r="Q16" s="243"/>
    </row>
    <row r="17" customFormat="false" ht="13.5" hidden="false" customHeight="true" outlineLevel="0" collapsed="false">
      <c r="B17" s="69" t="s">
        <v>380</v>
      </c>
      <c r="C17" s="131" t="n">
        <v>5853</v>
      </c>
      <c r="D17" s="101" t="n">
        <f aca="false">C17/'Executive Summary'!$C$12</f>
        <v>73.1625</v>
      </c>
      <c r="E17" s="101" t="n">
        <f aca="false">'T-3 Worksheet'!G19</f>
        <v>5168</v>
      </c>
      <c r="F17" s="101" t="n">
        <f aca="false">E17/'Executive Summary'!$C$12</f>
        <v>64.6</v>
      </c>
      <c r="G17" s="101" t="n">
        <f aca="false">E17</f>
        <v>5168</v>
      </c>
      <c r="H17" s="101" t="n">
        <f aca="false">G17/'Executive Summary'!$C$12</f>
        <v>64.6</v>
      </c>
      <c r="I17" s="101" t="n">
        <f aca="false">'Cash Flow - Monthly'!EK34</f>
        <v>5327.46558353752</v>
      </c>
      <c r="J17" s="101" t="n">
        <f aca="false">I17/'Executive Summary'!$C$12</f>
        <v>66.5933197942189</v>
      </c>
      <c r="K17" s="101" t="n">
        <f aca="false">'Cash Flow - Monthly'!EL34</f>
        <v>5434.01489520827</v>
      </c>
      <c r="L17" s="101" t="n">
        <f aca="false">K17/'Executive Summary'!$C$12</f>
        <v>67.9251861901034</v>
      </c>
      <c r="M17" s="101" t="n">
        <f aca="false">P17*'Executive Summary'!$C$12</f>
        <v>5600</v>
      </c>
      <c r="N17" s="101" t="n">
        <f aca="false">M17/'Executive Summary'!$C$12</f>
        <v>70</v>
      </c>
      <c r="O17" s="242"/>
      <c r="P17" s="260" t="n">
        <v>70</v>
      </c>
      <c r="Q17" s="243"/>
    </row>
    <row r="18" customFormat="false" ht="13.5" hidden="false" customHeight="true" outlineLevel="0" collapsed="false">
      <c r="B18" s="69" t="s">
        <v>381</v>
      </c>
      <c r="C18" s="131" t="n">
        <v>48159</v>
      </c>
      <c r="D18" s="101" t="n">
        <f aca="false">C18/'Executive Summary'!$C$12</f>
        <v>601.9875</v>
      </c>
      <c r="E18" s="101" t="n">
        <f aca="false">'T-3 Worksheet'!G20</f>
        <v>52496</v>
      </c>
      <c r="F18" s="101" t="n">
        <f aca="false">E18/'Executive Summary'!$C$12</f>
        <v>656.2</v>
      </c>
      <c r="G18" s="101" t="n">
        <f aca="false">E18</f>
        <v>52496</v>
      </c>
      <c r="H18" s="101" t="n">
        <f aca="false">G18/'Executive Summary'!$C$12</f>
        <v>656.2</v>
      </c>
      <c r="I18" s="101" t="n">
        <f aca="false">'Cash Flow - Monthly'!EK35</f>
        <v>47566.6569958707</v>
      </c>
      <c r="J18" s="101" t="n">
        <f aca="false">I18/'Executive Summary'!$C$12</f>
        <v>594.583212448383</v>
      </c>
      <c r="K18" s="101" t="n">
        <f aca="false">'Cash Flow - Monthly'!EL35</f>
        <v>48517.9901357881</v>
      </c>
      <c r="L18" s="101" t="n">
        <f aca="false">K18/'Executive Summary'!$C$12</f>
        <v>606.474876697351</v>
      </c>
      <c r="M18" s="101" t="n">
        <f aca="false">P18*'Executive Summary'!$C$12</f>
        <v>50000</v>
      </c>
      <c r="N18" s="101" t="n">
        <f aca="false">M18/'Executive Summary'!$C$12</f>
        <v>625</v>
      </c>
      <c r="O18" s="242"/>
      <c r="P18" s="261" t="n">
        <v>625</v>
      </c>
      <c r="Q18" s="243"/>
    </row>
    <row r="19" s="262" customFormat="true" ht="13.5" hidden="false" customHeight="true" outlineLevel="0" collapsed="false">
      <c r="B19" s="75" t="s">
        <v>382</v>
      </c>
      <c r="C19" s="136" t="n">
        <f aca="false">SUM(C16:C18)</f>
        <v>91200</v>
      </c>
      <c r="D19" s="136" t="n">
        <f aca="false">C19/'Executive Summary'!$C$12</f>
        <v>1140</v>
      </c>
      <c r="E19" s="136" t="n">
        <f aca="false">SUM(E16:E18)</f>
        <v>97348</v>
      </c>
      <c r="F19" s="136" t="n">
        <f aca="false">E19/'Executive Summary'!$C$12</f>
        <v>1216.85</v>
      </c>
      <c r="G19" s="136" t="n">
        <f aca="false">SUM(G16:G18)</f>
        <v>97348</v>
      </c>
      <c r="H19" s="136" t="n">
        <f aca="false">G19/'Executive Summary'!$C$12</f>
        <v>1216.85</v>
      </c>
      <c r="I19" s="136" t="n">
        <f aca="false">SUM(I16:I18)</f>
        <v>93991.7142238405</v>
      </c>
      <c r="J19" s="136" t="n">
        <f aca="false">I19/'Executive Summary'!$C$12</f>
        <v>1174.89642779801</v>
      </c>
      <c r="K19" s="136" t="n">
        <f aca="false">SUM(K16:K18)</f>
        <v>95871.5485083173</v>
      </c>
      <c r="L19" s="136" t="n">
        <f aca="false">K19/'Executive Summary'!$C$12</f>
        <v>1198.39435635397</v>
      </c>
      <c r="M19" s="136" t="n">
        <f aca="false">SUM(M16:M18)</f>
        <v>98800</v>
      </c>
      <c r="N19" s="136" t="n">
        <f aca="false">M19/'Executive Summary'!$C$12</f>
        <v>1235</v>
      </c>
      <c r="O19" s="70"/>
      <c r="P19" s="72"/>
      <c r="Q19" s="246"/>
    </row>
    <row r="20" customFormat="false" ht="13.5" hidden="false" customHeight="true" outlineLevel="0" collapsed="false">
      <c r="B20" s="241" t="s">
        <v>383</v>
      </c>
      <c r="C20" s="101" t="n">
        <f aca="false">SUM(C14,C19)</f>
        <v>784097</v>
      </c>
      <c r="D20" s="101" t="n">
        <f aca="false">C20/'Executive Summary'!$C$12</f>
        <v>9801.2125</v>
      </c>
      <c r="E20" s="101" t="n">
        <f aca="false">SUM(E14,E19)</f>
        <v>757240</v>
      </c>
      <c r="F20" s="101" t="n">
        <f aca="false">E20/'Executive Summary'!$C$12</f>
        <v>9465.5</v>
      </c>
      <c r="G20" s="101" t="n">
        <f aca="false">SUM(G14,G19)</f>
        <v>757240</v>
      </c>
      <c r="H20" s="101" t="n">
        <f aca="false">G20/'Executive Summary'!$C$12</f>
        <v>9465.5</v>
      </c>
      <c r="I20" s="101" t="n">
        <f aca="false">SUM(I14,I19)</f>
        <v>794153.648023948</v>
      </c>
      <c r="J20" s="101" t="n">
        <f aca="false">I20/'Executive Summary'!$C$12</f>
        <v>9926.92060029935</v>
      </c>
      <c r="K20" s="101" t="n">
        <f aca="false">SUM(K14,K19)</f>
        <v>841813.051268782</v>
      </c>
      <c r="L20" s="101" t="n">
        <f aca="false">K20/'Executive Summary'!$C$12</f>
        <v>10522.6631408598</v>
      </c>
      <c r="M20" s="101" t="n">
        <f aca="false">SUM(M14,M19)</f>
        <v>788177.43448</v>
      </c>
      <c r="N20" s="101" t="n">
        <f aca="false">M20/'Executive Summary'!$C$12</f>
        <v>9852.217931</v>
      </c>
      <c r="O20" s="242"/>
      <c r="P20" s="71"/>
      <c r="Q20" s="243"/>
    </row>
    <row r="21" customFormat="false" ht="13.5" hidden="false" customHeight="true" outlineLevel="0" collapsed="false">
      <c r="B21" s="69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71"/>
      <c r="Q21" s="243"/>
    </row>
    <row r="22" customFormat="false" ht="13.5" hidden="false" customHeight="true" outlineLevel="0" collapsed="false">
      <c r="B22" s="241" t="s">
        <v>384</v>
      </c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71"/>
      <c r="Q22" s="243"/>
    </row>
    <row r="23" customFormat="false" ht="13.5" hidden="false" customHeight="true" outlineLevel="0" collapsed="false">
      <c r="B23" s="241" t="s">
        <v>385</v>
      </c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55" t="s">
        <v>386</v>
      </c>
      <c r="Q23" s="243"/>
    </row>
    <row r="24" customFormat="false" ht="13.5" hidden="false" customHeight="true" outlineLevel="0" collapsed="false">
      <c r="B24" s="69" t="s">
        <v>387</v>
      </c>
      <c r="C24" s="131" t="n">
        <v>108802</v>
      </c>
      <c r="D24" s="101" t="n">
        <f aca="false">C24/'Executive Summary'!$C$12</f>
        <v>1360.025</v>
      </c>
      <c r="E24" s="101" t="n">
        <f aca="false">'T-3 Worksheet'!G26</f>
        <v>114772</v>
      </c>
      <c r="F24" s="101" t="n">
        <f aca="false">E24/'Executive Summary'!$C$12</f>
        <v>1434.65</v>
      </c>
      <c r="G24" s="101" t="n">
        <f aca="false">C24</f>
        <v>108802</v>
      </c>
      <c r="H24" s="101" t="n">
        <f aca="false">G24/'Executive Summary'!$C$12</f>
        <v>1360.025</v>
      </c>
      <c r="I24" s="101" t="n">
        <f aca="false">'Cash Flow - Monthly'!EK41</f>
        <v>88950.4491363204</v>
      </c>
      <c r="J24" s="101" t="n">
        <f aca="false">I24/'Executive Summary'!$C$12</f>
        <v>1111.880614204</v>
      </c>
      <c r="K24" s="101" t="n">
        <f aca="false">'Cash Flow - Monthly'!EL41</f>
        <v>90729.4581190469</v>
      </c>
      <c r="L24" s="101" t="n">
        <f aca="false">K24/'Executive Summary'!$C$12</f>
        <v>1134.11822648809</v>
      </c>
      <c r="M24" s="101" t="n">
        <f aca="false">N24*'Executive Summary'!$C$12</f>
        <v>88000</v>
      </c>
      <c r="N24" s="101" t="n">
        <f aca="false">P24</f>
        <v>1100</v>
      </c>
      <c r="O24" s="242"/>
      <c r="P24" s="260" t="n">
        <v>1100</v>
      </c>
      <c r="Q24" s="243"/>
    </row>
    <row r="25" customFormat="false" ht="13.5" hidden="false" customHeight="true" outlineLevel="0" collapsed="false">
      <c r="B25" s="69" t="s">
        <v>388</v>
      </c>
      <c r="C25" s="131" t="n">
        <v>55527</v>
      </c>
      <c r="D25" s="101" t="n">
        <f aca="false">C25/'Executive Summary'!$C$12</f>
        <v>694.0875</v>
      </c>
      <c r="E25" s="101" t="n">
        <f aca="false">'T-3 Worksheet'!G27</f>
        <v>60488</v>
      </c>
      <c r="F25" s="101" t="n">
        <f aca="false">E25/'Executive Summary'!$C$12</f>
        <v>756.1</v>
      </c>
      <c r="G25" s="101" t="n">
        <f aca="false">C25</f>
        <v>55527</v>
      </c>
      <c r="H25" s="101" t="n">
        <f aca="false">G25/'Executive Summary'!$C$12</f>
        <v>694.0875</v>
      </c>
      <c r="I25" s="101" t="n">
        <f aca="false">'Cash Flow - Monthly'!EK42</f>
        <v>60648.0335020366</v>
      </c>
      <c r="J25" s="101" t="n">
        <f aca="false">I25/'Executive Summary'!$C$12</f>
        <v>758.100418775458</v>
      </c>
      <c r="K25" s="101" t="n">
        <f aca="false">'Cash Flow - Monthly'!EL42</f>
        <v>61860.9941720774</v>
      </c>
      <c r="L25" s="101" t="n">
        <f aca="false">K25/'Executive Summary'!$C$12</f>
        <v>773.262427150967</v>
      </c>
      <c r="M25" s="101" t="n">
        <f aca="false">N25*'Executive Summary'!$C$12</f>
        <v>60000</v>
      </c>
      <c r="N25" s="101" t="n">
        <f aca="false">P25</f>
        <v>750</v>
      </c>
      <c r="O25" s="242"/>
      <c r="P25" s="260" t="n">
        <v>750</v>
      </c>
      <c r="Q25" s="243"/>
    </row>
    <row r="26" customFormat="false" ht="13.5" hidden="false" customHeight="true" outlineLevel="0" collapsed="false">
      <c r="B26" s="69" t="s">
        <v>389</v>
      </c>
      <c r="C26" s="131" t="n">
        <v>12212</v>
      </c>
      <c r="D26" s="101" t="n">
        <f aca="false">C26/'Executive Summary'!$C$12</f>
        <v>152.65</v>
      </c>
      <c r="E26" s="101" t="n">
        <f aca="false">'T-3 Worksheet'!G28</f>
        <v>13136</v>
      </c>
      <c r="F26" s="101" t="n">
        <f aca="false">E26/'Executive Summary'!$C$12</f>
        <v>164.2</v>
      </c>
      <c r="G26" s="101" t="n">
        <f aca="false">C26</f>
        <v>12212</v>
      </c>
      <c r="H26" s="101" t="n">
        <f aca="false">G26/'Executive Summary'!$C$12</f>
        <v>152.65</v>
      </c>
      <c r="I26" s="101" t="n">
        <f aca="false">'Cash Flow - Monthly'!EK43</f>
        <v>14151.2078171419</v>
      </c>
      <c r="J26" s="101" t="n">
        <f aca="false">I26/'Executive Summary'!$C$12</f>
        <v>176.890097714274</v>
      </c>
      <c r="K26" s="101" t="n">
        <f aca="false">'Cash Flow - Monthly'!EL43</f>
        <v>14434.2319734847</v>
      </c>
      <c r="L26" s="101" t="n">
        <f aca="false">K26/'Executive Summary'!$C$12</f>
        <v>180.427899668559</v>
      </c>
      <c r="M26" s="101" t="n">
        <f aca="false">N26*'Executive Summary'!$C$12</f>
        <v>14000</v>
      </c>
      <c r="N26" s="101" t="n">
        <f aca="false">P26</f>
        <v>175</v>
      </c>
      <c r="O26" s="242"/>
      <c r="P26" s="260" t="n">
        <v>175</v>
      </c>
      <c r="Q26" s="243"/>
    </row>
    <row r="27" customFormat="false" ht="13.5" hidden="false" customHeight="true" outlineLevel="0" collapsed="false">
      <c r="B27" s="69" t="s">
        <v>390</v>
      </c>
      <c r="C27" s="131" t="n">
        <v>13957</v>
      </c>
      <c r="D27" s="101" t="n">
        <f aca="false">C27/'Executive Summary'!$C$12</f>
        <v>174.4625</v>
      </c>
      <c r="E27" s="101" t="n">
        <f aca="false">'T-3 Worksheet'!G29</f>
        <v>26076</v>
      </c>
      <c r="F27" s="101" t="n">
        <f aca="false">E27/'Executive Summary'!$C$12</f>
        <v>325.95</v>
      </c>
      <c r="G27" s="101" t="n">
        <f aca="false">C27</f>
        <v>13957</v>
      </c>
      <c r="H27" s="101" t="n">
        <f aca="false">G27/'Executive Summary'!$C$12</f>
        <v>174.4625</v>
      </c>
      <c r="I27" s="101" t="n">
        <f aca="false">'Cash Flow - Monthly'!EK44</f>
        <v>24259.2134008147</v>
      </c>
      <c r="J27" s="101" t="n">
        <f aca="false">I27/'Executive Summary'!$C$12</f>
        <v>303.240167510183</v>
      </c>
      <c r="K27" s="101" t="n">
        <f aca="false">'Cash Flow - Monthly'!EL44</f>
        <v>24744.397668831</v>
      </c>
      <c r="L27" s="101" t="n">
        <f aca="false">K27/'Executive Summary'!$C$12</f>
        <v>309.304970860387</v>
      </c>
      <c r="M27" s="101" t="n">
        <f aca="false">N27*'Executive Summary'!$C$12</f>
        <v>24000</v>
      </c>
      <c r="N27" s="101" t="n">
        <f aca="false">P27</f>
        <v>300</v>
      </c>
      <c r="O27" s="242"/>
      <c r="P27" s="260" t="n">
        <v>300</v>
      </c>
      <c r="Q27" s="243"/>
    </row>
    <row r="28" customFormat="false" ht="13.5" hidden="false" customHeight="true" outlineLevel="0" collapsed="false">
      <c r="B28" s="69" t="s">
        <v>391</v>
      </c>
      <c r="C28" s="131" t="n">
        <v>43667</v>
      </c>
      <c r="D28" s="101" t="n">
        <f aca="false">C28/'Executive Summary'!$C$12</f>
        <v>545.8375</v>
      </c>
      <c r="E28" s="101" t="n">
        <f aca="false">'T-3 Worksheet'!G30</f>
        <v>49840</v>
      </c>
      <c r="F28" s="101" t="n">
        <f aca="false">E28/'Executive Summary'!$C$12</f>
        <v>623</v>
      </c>
      <c r="G28" s="101" t="n">
        <f aca="false">C28</f>
        <v>43667</v>
      </c>
      <c r="H28" s="101" t="n">
        <f aca="false">G28/'Executive Summary'!$C$12</f>
        <v>545.8375</v>
      </c>
      <c r="I28" s="101" t="n">
        <f aca="false">'Cash Flow - Monthly'!EK45</f>
        <v>48518.4268016293</v>
      </c>
      <c r="J28" s="101" t="n">
        <f aca="false">I28/'Executive Summary'!$C$12</f>
        <v>606.480335020366</v>
      </c>
      <c r="K28" s="101" t="n">
        <f aca="false">'Cash Flow - Monthly'!EL45</f>
        <v>49488.7953376619</v>
      </c>
      <c r="L28" s="101" t="n">
        <f aca="false">K28/'Executive Summary'!$C$12</f>
        <v>618.609941720774</v>
      </c>
      <c r="M28" s="101" t="n">
        <f aca="false">N28*'Executive Summary'!$C$12</f>
        <v>48000</v>
      </c>
      <c r="N28" s="101" t="n">
        <f aca="false">P28</f>
        <v>600</v>
      </c>
      <c r="O28" s="242"/>
      <c r="P28" s="260" t="n">
        <v>600</v>
      </c>
      <c r="Q28" s="243"/>
    </row>
    <row r="29" customFormat="false" ht="13.5" hidden="false" customHeight="true" outlineLevel="0" collapsed="false">
      <c r="B29" s="69" t="s">
        <v>392</v>
      </c>
      <c r="C29" s="131" t="n">
        <v>2611</v>
      </c>
      <c r="D29" s="101" t="n">
        <f aca="false">C29/'Executive Summary'!$C$12</f>
        <v>32.6375</v>
      </c>
      <c r="E29" s="101" t="n">
        <f aca="false">'T-3 Worksheet'!G31</f>
        <v>4108</v>
      </c>
      <c r="F29" s="101" t="n">
        <f aca="false">E29/'Executive Summary'!$C$12</f>
        <v>51.35</v>
      </c>
      <c r="G29" s="101" t="n">
        <f aca="false">C29</f>
        <v>2611</v>
      </c>
      <c r="H29" s="101" t="n">
        <f aca="false">G29/'Executive Summary'!$C$12</f>
        <v>32.6375</v>
      </c>
      <c r="I29" s="101" t="n">
        <f aca="false">'Cash Flow - Monthly'!EK46</f>
        <v>3638.8820101222</v>
      </c>
      <c r="J29" s="101" t="n">
        <f aca="false">I29/'Executive Summary'!$C$12</f>
        <v>45.4860251265275</v>
      </c>
      <c r="K29" s="101" t="n">
        <f aca="false">'Cash Flow - Monthly'!EL46</f>
        <v>3711.65965032464</v>
      </c>
      <c r="L29" s="101" t="n">
        <f aca="false">K29/'Executive Summary'!$C$12</f>
        <v>46.395745629058</v>
      </c>
      <c r="M29" s="101" t="n">
        <f aca="false">N29*'Executive Summary'!$C$12</f>
        <v>3600</v>
      </c>
      <c r="N29" s="101" t="n">
        <f aca="false">P29</f>
        <v>45</v>
      </c>
      <c r="O29" s="242"/>
      <c r="P29" s="261" t="n">
        <v>45</v>
      </c>
      <c r="Q29" s="243"/>
    </row>
    <row r="30" s="262" customFormat="true" ht="13.5" hidden="false" customHeight="true" outlineLevel="0" collapsed="false">
      <c r="B30" s="241" t="s">
        <v>393</v>
      </c>
      <c r="C30" s="115" t="n">
        <f aca="false">SUM(C24:C29)</f>
        <v>236776</v>
      </c>
      <c r="D30" s="115" t="n">
        <f aca="false">C30/'Executive Summary'!$C$12</f>
        <v>2959.7</v>
      </c>
      <c r="E30" s="115" t="n">
        <f aca="false">SUM(E24:E29)</f>
        <v>268420</v>
      </c>
      <c r="F30" s="115" t="n">
        <f aca="false">E30/'Executive Summary'!$C$12</f>
        <v>3355.25</v>
      </c>
      <c r="G30" s="115" t="n">
        <f aca="false">SUM(G24:G29)</f>
        <v>236776</v>
      </c>
      <c r="H30" s="115" t="n">
        <f aca="false">G30/'Executive Summary'!$C$12</f>
        <v>2959.7</v>
      </c>
      <c r="I30" s="115" t="n">
        <f aca="false">SUM(I24:I29)</f>
        <v>240166.212668065</v>
      </c>
      <c r="J30" s="115" t="n">
        <f aca="false">I30/'Executive Summary'!$C$12</f>
        <v>3002.07765835081</v>
      </c>
      <c r="K30" s="115" t="n">
        <f aca="false">SUM(K24:K29)</f>
        <v>244969.536921426</v>
      </c>
      <c r="L30" s="115" t="n">
        <f aca="false">K30/'Executive Summary'!$C$12</f>
        <v>3062.11921151783</v>
      </c>
      <c r="M30" s="115" t="n">
        <f aca="false">SUM(M24:M29)</f>
        <v>237600</v>
      </c>
      <c r="N30" s="115" t="n">
        <f aca="false">SUM(N24:N29)</f>
        <v>2970</v>
      </c>
      <c r="O30" s="70"/>
      <c r="P30" s="263"/>
      <c r="Q30" s="246"/>
    </row>
    <row r="31" customFormat="false" ht="13.5" hidden="false" customHeight="true" outlineLevel="0" collapsed="false">
      <c r="B31" s="241" t="s">
        <v>394</v>
      </c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71"/>
      <c r="Q31" s="243"/>
    </row>
    <row r="32" customFormat="false" ht="13.5" hidden="false" customHeight="true" outlineLevel="0" collapsed="false">
      <c r="B32" s="69" t="s">
        <v>395</v>
      </c>
      <c r="C32" s="131" t="n">
        <v>54846</v>
      </c>
      <c r="D32" s="101" t="n">
        <f aca="false">C32/'Executive Summary'!$C$12</f>
        <v>685.575</v>
      </c>
      <c r="E32" s="101" t="n">
        <f aca="false">'T-3 Worksheet'!G34</f>
        <v>54964</v>
      </c>
      <c r="F32" s="101" t="n">
        <f aca="false">E32/'Executive Summary'!$C$12</f>
        <v>687.05</v>
      </c>
      <c r="G32" s="101" t="n">
        <f aca="false">C32</f>
        <v>54846</v>
      </c>
      <c r="H32" s="101" t="n">
        <f aca="false">G32/'Executive Summary'!$C$12</f>
        <v>685.575</v>
      </c>
      <c r="I32" s="101" t="n">
        <f aca="false">'Cash Flow - Monthly'!EK49</f>
        <v>60800.1589860709</v>
      </c>
      <c r="J32" s="101" t="n">
        <f aca="false">I32/'Executive Summary'!$C$12</f>
        <v>760.001987325886</v>
      </c>
      <c r="K32" s="101" t="n">
        <f aca="false">'Executive Summary'!I38</f>
        <v>60150.5</v>
      </c>
      <c r="L32" s="101" t="n">
        <f aca="false">K32/'Executive Summary'!$C$12</f>
        <v>751.88125</v>
      </c>
      <c r="M32" s="101" t="n">
        <f aca="false">'Executive Summary'!I38</f>
        <v>60150.5</v>
      </c>
      <c r="N32" s="101" t="n">
        <f aca="false">M32/'Executive Summary'!$C$12</f>
        <v>751.88125</v>
      </c>
      <c r="O32" s="242"/>
      <c r="P32" s="71"/>
      <c r="Q32" s="243"/>
    </row>
    <row r="33" customFormat="false" ht="13.5" hidden="false" customHeight="true" outlineLevel="0" collapsed="false">
      <c r="B33" s="69" t="s">
        <v>396</v>
      </c>
      <c r="C33" s="131" t="n">
        <v>22037</v>
      </c>
      <c r="D33" s="101" t="n">
        <f aca="false">C33/'Executive Summary'!$C$12</f>
        <v>275.4625</v>
      </c>
      <c r="E33" s="101" t="n">
        <f aca="false">'T-3 Worksheet'!G35</f>
        <v>24912</v>
      </c>
      <c r="F33" s="101" t="n">
        <f aca="false">E33/'Executive Summary'!$C$12</f>
        <v>311.4</v>
      </c>
      <c r="G33" s="101" t="n">
        <f aca="false">C33</f>
        <v>22037</v>
      </c>
      <c r="H33" s="101" t="n">
        <f aca="false">G33/'Executive Summary'!$C$12</f>
        <v>275.4625</v>
      </c>
      <c r="I33" s="101" t="n">
        <f aca="false">'Cash Flow - Monthly'!EK50</f>
        <v>16172.8089338764</v>
      </c>
      <c r="J33" s="101" t="n">
        <f aca="false">I33/'Executive Summary'!$C$12</f>
        <v>202.160111673455</v>
      </c>
      <c r="K33" s="101" t="n">
        <f aca="false">'Cash Flow - Monthly'!EL50</f>
        <v>16496.265112554</v>
      </c>
      <c r="L33" s="101" t="n">
        <f aca="false">K33/'Executive Summary'!$C$12</f>
        <v>206.203313906925</v>
      </c>
      <c r="M33" s="101" t="n">
        <f aca="false">IF('Executive Summary'!I55&gt;0,'Executive Summary'!I55,'Executive Summary'!I49)</f>
        <v>16000</v>
      </c>
      <c r="N33" s="101" t="n">
        <f aca="false">M33/'Executive Summary'!$C$12</f>
        <v>200</v>
      </c>
      <c r="O33" s="242"/>
      <c r="P33" s="255" t="s">
        <v>397</v>
      </c>
      <c r="Q33" s="243"/>
    </row>
    <row r="34" customFormat="false" ht="13.5" hidden="false" customHeight="true" outlineLevel="0" collapsed="false">
      <c r="B34" s="69" t="s">
        <v>398</v>
      </c>
      <c r="C34" s="131" t="n">
        <v>23871</v>
      </c>
      <c r="D34" s="101" t="n">
        <f aca="false">C34/'Executive Summary'!$C$12</f>
        <v>298.3875</v>
      </c>
      <c r="E34" s="101" t="n">
        <f aca="false">'T-3 Worksheet'!G36</f>
        <v>18016</v>
      </c>
      <c r="F34" s="101" t="n">
        <f aca="false">E34/'Executive Summary'!$C$12</f>
        <v>225.2</v>
      </c>
      <c r="G34" s="101" t="n">
        <f aca="false">C34</f>
        <v>23871</v>
      </c>
      <c r="H34" s="101" t="n">
        <f aca="false">G34/'Executive Summary'!$C$12</f>
        <v>298.3875</v>
      </c>
      <c r="I34" s="101" t="n">
        <f aca="false">'Cash Flow - Monthly'!EK51</f>
        <v>27795.3776808382</v>
      </c>
      <c r="J34" s="101" t="n">
        <f aca="false">I34/'Executive Summary'!$C$12</f>
        <v>347.442221010477</v>
      </c>
      <c r="K34" s="101" t="n">
        <f aca="false">'Cash Flow - Monthly'!EL51</f>
        <v>29463.4567944074</v>
      </c>
      <c r="L34" s="101" t="n">
        <f aca="false">K34/'Executive Summary'!$C$12</f>
        <v>368.293209930092</v>
      </c>
      <c r="M34" s="101" t="n">
        <f aca="false">P34*M20</f>
        <v>27586.2102068</v>
      </c>
      <c r="N34" s="101" t="n">
        <f aca="false">M34/'Executive Summary'!$C$12</f>
        <v>344.827627585</v>
      </c>
      <c r="O34" s="242"/>
      <c r="P34" s="256" t="n">
        <v>0.035</v>
      </c>
      <c r="Q34" s="243"/>
    </row>
    <row r="35" customFormat="false" ht="13.5" hidden="false" customHeight="true" outlineLevel="0" collapsed="false">
      <c r="B35" s="75" t="s">
        <v>399</v>
      </c>
      <c r="C35" s="264" t="n">
        <f aca="false">SUM(C32:C34)</f>
        <v>100754</v>
      </c>
      <c r="D35" s="253" t="n">
        <f aca="false">C35/'Executive Summary'!$C$12</f>
        <v>1259.425</v>
      </c>
      <c r="E35" s="264" t="n">
        <f aca="false">SUM(E32:E34)</f>
        <v>97892</v>
      </c>
      <c r="F35" s="253" t="n">
        <f aca="false">E35/'Executive Summary'!$C$12</f>
        <v>1223.65</v>
      </c>
      <c r="G35" s="264" t="n">
        <f aca="false">SUM(G32:G34)</f>
        <v>100754</v>
      </c>
      <c r="H35" s="253" t="n">
        <f aca="false">G35/'Executive Summary'!$C$12</f>
        <v>1259.425</v>
      </c>
      <c r="I35" s="264" t="n">
        <f aca="false">SUM(I32:I34)</f>
        <v>104768.345600786</v>
      </c>
      <c r="J35" s="253" t="n">
        <f aca="false">I35/'Executive Summary'!$C$12</f>
        <v>1309.60432000982</v>
      </c>
      <c r="K35" s="264" t="n">
        <f aca="false">SUM(K32:K34)</f>
        <v>106110.221906961</v>
      </c>
      <c r="L35" s="253" t="n">
        <f aca="false">K35/'Executive Summary'!$C$12</f>
        <v>1326.37777383702</v>
      </c>
      <c r="M35" s="264" t="n">
        <f aca="false">SUM(M32:M34)</f>
        <v>103736.7102068</v>
      </c>
      <c r="N35" s="253" t="n">
        <f aca="false">M35/'Executive Summary'!$C$12</f>
        <v>1296.708877585</v>
      </c>
      <c r="O35" s="242"/>
      <c r="P35" s="265"/>
      <c r="Q35" s="243"/>
    </row>
    <row r="36" customFormat="false" ht="13.5" hidden="false" customHeight="true" outlineLevel="0" collapsed="false">
      <c r="B36" s="241" t="s">
        <v>400</v>
      </c>
      <c r="C36" s="266" t="n">
        <f aca="false">SUM(C30,C35)</f>
        <v>337530</v>
      </c>
      <c r="D36" s="115" t="n">
        <f aca="false">C36/'Executive Summary'!$C$12</f>
        <v>4219.125</v>
      </c>
      <c r="E36" s="266" t="n">
        <f aca="false">SUM(E30,E35)</f>
        <v>366312</v>
      </c>
      <c r="F36" s="115" t="n">
        <f aca="false">E36/'Executive Summary'!$C$12</f>
        <v>4578.9</v>
      </c>
      <c r="G36" s="266" t="n">
        <f aca="false">SUM(G30,G35)</f>
        <v>337530</v>
      </c>
      <c r="H36" s="115" t="n">
        <f aca="false">G36/'Executive Summary'!$C$12</f>
        <v>4219.125</v>
      </c>
      <c r="I36" s="266" t="n">
        <f aca="false">SUM(I30,I35)</f>
        <v>344934.558268851</v>
      </c>
      <c r="J36" s="115" t="n">
        <f aca="false">I36/'Executive Summary'!$C$12</f>
        <v>4311.68197836063</v>
      </c>
      <c r="K36" s="266" t="n">
        <f aca="false">SUM(K30,K35)</f>
        <v>351079.758828388</v>
      </c>
      <c r="L36" s="115" t="n">
        <f aca="false">K36/'Executive Summary'!$C$12</f>
        <v>4388.49698535485</v>
      </c>
      <c r="M36" s="266" t="n">
        <f aca="false">SUM(M30,M35)</f>
        <v>341336.7102068</v>
      </c>
      <c r="N36" s="115" t="n">
        <f aca="false">M36/'Executive Summary'!$C$12</f>
        <v>4266.708877585</v>
      </c>
      <c r="O36" s="242"/>
      <c r="P36" s="267" t="n">
        <f aca="false">M36/M20</f>
        <v>0.433070899107885</v>
      </c>
      <c r="Q36" s="243"/>
    </row>
    <row r="37" customFormat="false" ht="13.5" hidden="false" customHeight="true" outlineLevel="0" collapsed="false">
      <c r="B37" s="95"/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42"/>
      <c r="P37" s="71"/>
      <c r="Q37" s="243"/>
    </row>
    <row r="38" customFormat="false" ht="13.5" hidden="false" customHeight="true" outlineLevel="0" collapsed="false">
      <c r="B38" s="241" t="s">
        <v>401</v>
      </c>
      <c r="C38" s="266" t="n">
        <f aca="false">C20-C36</f>
        <v>446567</v>
      </c>
      <c r="D38" s="115" t="n">
        <f aca="false">C38/'Executive Summary'!$C$12</f>
        <v>5582.0875</v>
      </c>
      <c r="E38" s="266" t="n">
        <f aca="false">E20-E36</f>
        <v>390928</v>
      </c>
      <c r="F38" s="115" t="n">
        <f aca="false">E38/'Executive Summary'!$C$12</f>
        <v>4886.6</v>
      </c>
      <c r="G38" s="266" t="n">
        <f aca="false">G20-G36</f>
        <v>419710</v>
      </c>
      <c r="H38" s="115" t="n">
        <f aca="false">G38/'Executive Summary'!$C$12</f>
        <v>5246.375</v>
      </c>
      <c r="I38" s="266" t="n">
        <f aca="false">I20-I36</f>
        <v>449219.089755097</v>
      </c>
      <c r="J38" s="115" t="n">
        <f aca="false">I38/'Executive Summary'!$C$12</f>
        <v>5615.23862193872</v>
      </c>
      <c r="K38" s="266" t="n">
        <f aca="false">K20-K36</f>
        <v>490733.292440395</v>
      </c>
      <c r="L38" s="115" t="n">
        <f aca="false">K38/'Executive Summary'!$C$12</f>
        <v>6134.16615550493</v>
      </c>
      <c r="M38" s="266" t="n">
        <f aca="false">M20-M36</f>
        <v>446840.7242732</v>
      </c>
      <c r="N38" s="115" t="n">
        <f aca="false">M38/'Executive Summary'!$C$12</f>
        <v>5585.509053415</v>
      </c>
      <c r="O38" s="242"/>
      <c r="P38" s="71"/>
      <c r="Q38" s="243"/>
    </row>
    <row r="39" customFormat="false" ht="13.5" hidden="false" customHeight="true" outlineLevel="0" collapsed="false">
      <c r="B39" s="69"/>
      <c r="C39" s="269"/>
      <c r="D39" s="101"/>
      <c r="E39" s="269"/>
      <c r="F39" s="101"/>
      <c r="G39" s="269"/>
      <c r="H39" s="101"/>
      <c r="I39" s="269"/>
      <c r="J39" s="101"/>
      <c r="K39" s="269"/>
      <c r="L39" s="101"/>
      <c r="M39" s="269"/>
      <c r="N39" s="101"/>
      <c r="O39" s="242"/>
      <c r="P39" s="71"/>
      <c r="Q39" s="243"/>
    </row>
    <row r="40" s="270" customFormat="true" ht="13.5" hidden="false" customHeight="true" outlineLevel="0" collapsed="false">
      <c r="B40" s="271" t="s">
        <v>402</v>
      </c>
      <c r="C40" s="272" t="n">
        <f aca="false">IFERROR(C38/'Executive Summary'!$C$30,0)</f>
        <v>0.0674063396226415</v>
      </c>
      <c r="D40" s="272"/>
      <c r="E40" s="272" t="n">
        <f aca="false">IFERROR(E38/'Executive Summary'!$C$30,0)</f>
        <v>0.059008</v>
      </c>
      <c r="F40" s="272"/>
      <c r="G40" s="272" t="n">
        <f aca="false">IFERROR(G38/'Executive Summary'!$C$30,0)</f>
        <v>0.0633524528301887</v>
      </c>
      <c r="H40" s="272"/>
      <c r="I40" s="272" t="n">
        <f aca="false">IFERROR(I38/'Executive Summary'!$C$30,0)</f>
        <v>0.0678066550573732</v>
      </c>
      <c r="J40" s="272"/>
      <c r="K40" s="272" t="n">
        <f aca="false">IFERROR(K38/'Executive Summary'!$C$30,0)</f>
        <v>0.0740729498023237</v>
      </c>
      <c r="L40" s="272"/>
      <c r="M40" s="272" t="n">
        <f aca="false">IFERROR(M38/'Executive Summary'!$C$30,0)</f>
        <v>0.0674476564940679</v>
      </c>
      <c r="N40" s="272"/>
      <c r="O40" s="272"/>
      <c r="P40" s="273"/>
      <c r="Q40" s="274"/>
    </row>
    <row r="41" s="270" customFormat="true" ht="13.5" hidden="false" customHeight="true" outlineLevel="0" collapsed="false">
      <c r="B41" s="271" t="s">
        <v>403</v>
      </c>
      <c r="C41" s="272" t="n">
        <f aca="false">IFERROR(C38/'Executive Summary'!$I$23,0)</f>
        <v>0.0637201869225556</v>
      </c>
      <c r="D41" s="272"/>
      <c r="E41" s="272" t="n">
        <f aca="false">IFERROR(E38/'Executive Summary'!$I$23,0)</f>
        <v>0.0557811151143295</v>
      </c>
      <c r="F41" s="272"/>
      <c r="G41" s="272" t="n">
        <f aca="false">IFERROR(G38/'Executive Summary'!$I$23,0)</f>
        <v>0.059887989155638</v>
      </c>
      <c r="H41" s="272"/>
      <c r="I41" s="272" t="n">
        <f aca="false">IFERROR(I38/'Executive Summary'!$I$23,0)</f>
        <v>0.0640986108878961</v>
      </c>
      <c r="J41" s="272"/>
      <c r="K41" s="272" t="n">
        <f aca="false">IFERROR(K38/'Executive Summary'!$I$23,0)</f>
        <v>0.0700222298634316</v>
      </c>
      <c r="L41" s="272"/>
      <c r="M41" s="272" t="n">
        <f aca="false">IFERROR(M38/'Executive Summary'!$I$23,0)</f>
        <v>0.0637592443581779</v>
      </c>
      <c r="N41" s="272"/>
      <c r="O41" s="272"/>
      <c r="P41" s="273"/>
      <c r="Q41" s="274"/>
    </row>
    <row r="42" s="270" customFormat="true" ht="13.5" hidden="false" customHeight="true" outlineLevel="0" collapsed="false">
      <c r="B42" s="271" t="s">
        <v>404</v>
      </c>
      <c r="C42" s="272" t="n">
        <f aca="false">(C38+'Cash Flow - Monthly'!$H$74*12-'Cash Flow - Monthly'!$H$65*12)/'Executive Summary'!$P$7</f>
        <v>0.0827645774985521</v>
      </c>
      <c r="D42" s="272"/>
      <c r="E42" s="272" t="n">
        <f aca="false">(E38+'Cash Flow - Monthly'!$H$74*12-'Cash Flow - Monthly'!$H$65*12)/'Executive Summary'!$P$7</f>
        <v>0.0560430516355019</v>
      </c>
      <c r="F42" s="272"/>
      <c r="G42" s="272" t="n">
        <f aca="false">(G38+'Cash Flow - Monthly'!$H$74*12-'Cash Flow - Monthly'!$H$65*12)/'Executive Summary'!$P$7</f>
        <v>0.0698660706939018</v>
      </c>
      <c r="H42" s="272"/>
      <c r="I42" s="272" t="n">
        <f aca="false">(I38+'Cash Flow - Monthly'!$H$74*12-'Cash Flow - Monthly'!$H$65*12)/'Executive Summary'!$P$7</f>
        <v>0.0840382863175814</v>
      </c>
      <c r="J42" s="272"/>
      <c r="K42" s="272" t="n">
        <f aca="false">(K38+'Cash Flow - Monthly'!$H$74*12-'Cash Flow - Monthly'!$H$65*12)/'Executive Summary'!$P$7</f>
        <v>0.103976150778464</v>
      </c>
      <c r="L42" s="272"/>
      <c r="M42" s="272" t="n">
        <f aca="false">(M38+'Cash Flow - Monthly'!$H$74*12-'Cash Flow - Monthly'!$H$65*12)/'Executive Summary'!$P$7</f>
        <v>0.0828960379893169</v>
      </c>
      <c r="N42" s="272"/>
      <c r="O42" s="272"/>
      <c r="P42" s="273"/>
      <c r="Q42" s="274"/>
    </row>
    <row r="43" customFormat="false" ht="13.5" hidden="false" customHeight="true" outlineLevel="0" collapsed="false">
      <c r="B43" s="69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71"/>
      <c r="Q43" s="243"/>
    </row>
    <row r="44" customFormat="false" ht="13.5" hidden="false" customHeight="true" outlineLevel="0" collapsed="false">
      <c r="B44" s="69" t="s">
        <v>405</v>
      </c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71"/>
      <c r="Q44" s="243"/>
    </row>
    <row r="45" customFormat="false" ht="13.5" hidden="false" customHeight="true" outlineLevel="0" collapsed="false">
      <c r="B45" s="69" t="s">
        <v>406</v>
      </c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71"/>
      <c r="Q45" s="243"/>
    </row>
    <row r="46" customFormat="false" ht="13.5" hidden="false" customHeight="true" outlineLevel="0" collapsed="false">
      <c r="B46" s="95" t="s">
        <v>407</v>
      </c>
      <c r="C46" s="268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75"/>
      <c r="Q46" s="276"/>
    </row>
  </sheetData>
  <mergeCells count="6">
    <mergeCell ref="C4:D4"/>
    <mergeCell ref="E4:F4"/>
    <mergeCell ref="G4:H4"/>
    <mergeCell ref="I4:J4"/>
    <mergeCell ref="K4:L4"/>
    <mergeCell ref="M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37" activeCellId="0" sqref="E37"/>
    </sheetView>
  </sheetViews>
  <sheetFormatPr defaultColWidth="8.83203125" defaultRowHeight="13.5" zeroHeight="false" outlineLevelRow="0" outlineLevelCol="0"/>
  <cols>
    <col collapsed="false" customWidth="true" hidden="false" outlineLevel="0" max="1" min="1" style="236" width="2.67"/>
    <col collapsed="false" customWidth="true" hidden="false" outlineLevel="0" max="2" min="2" style="236" width="25.16"/>
    <col collapsed="false" customWidth="true" hidden="false" outlineLevel="0" max="7" min="3" style="236" width="14.83"/>
    <col collapsed="false" customWidth="false" hidden="false" outlineLevel="0" max="16384" min="8" style="236" width="8.83"/>
  </cols>
  <sheetData>
    <row r="2" customFormat="false" ht="13.5" hidden="false" customHeight="true" outlineLevel="0" collapsed="false">
      <c r="B2" s="238" t="str">
        <f aca="false">'Executive Summary'!B2</f>
        <v>Riverhill TH</v>
      </c>
      <c r="C2" s="239"/>
      <c r="D2" s="239"/>
      <c r="E2" s="239"/>
      <c r="F2" s="239"/>
      <c r="G2" s="240"/>
    </row>
    <row r="3" customFormat="false" ht="13.5" hidden="false" customHeight="true" outlineLevel="0" collapsed="false">
      <c r="B3" s="241" t="s">
        <v>408</v>
      </c>
      <c r="C3" s="242"/>
      <c r="D3" s="242"/>
      <c r="E3" s="242"/>
      <c r="F3" s="242"/>
      <c r="G3" s="243"/>
    </row>
    <row r="4" customFormat="false" ht="13.5" hidden="false" customHeight="true" outlineLevel="0" collapsed="false">
      <c r="B4" s="69"/>
      <c r="C4" s="277" t="n">
        <v>1</v>
      </c>
      <c r="D4" s="277" t="n">
        <v>2</v>
      </c>
      <c r="E4" s="277" t="n">
        <v>3</v>
      </c>
      <c r="F4" s="76" t="s">
        <v>369</v>
      </c>
      <c r="G4" s="77" t="s">
        <v>409</v>
      </c>
    </row>
    <row r="5" customFormat="false" ht="13.5" hidden="false" customHeight="true" outlineLevel="0" collapsed="false">
      <c r="B5" s="241" t="s">
        <v>370</v>
      </c>
      <c r="C5" s="242"/>
      <c r="D5" s="242"/>
      <c r="E5" s="242"/>
      <c r="F5" s="242"/>
      <c r="G5" s="243"/>
    </row>
    <row r="6" customFormat="false" ht="13.5" hidden="false" customHeight="true" outlineLevel="0" collapsed="false">
      <c r="B6" s="69" t="s">
        <v>160</v>
      </c>
      <c r="C6" s="242"/>
      <c r="D6" s="242"/>
      <c r="E6" s="242"/>
      <c r="F6" s="242"/>
      <c r="G6" s="243"/>
    </row>
    <row r="7" customFormat="false" ht="13.5" hidden="false" customHeight="true" outlineLevel="0" collapsed="false">
      <c r="B7" s="69" t="s">
        <v>410</v>
      </c>
      <c r="C7" s="131" t="n">
        <v>60647</v>
      </c>
      <c r="D7" s="131" t="n">
        <v>60656</v>
      </c>
      <c r="E7" s="131" t="n">
        <v>61853</v>
      </c>
      <c r="F7" s="269" t="n">
        <f aca="false">SUM(C7:E7)</f>
        <v>183156</v>
      </c>
      <c r="G7" s="26" t="n">
        <f aca="false">F7/3*12</f>
        <v>732624</v>
      </c>
    </row>
    <row r="8" customFormat="false" ht="13.5" hidden="false" customHeight="true" outlineLevel="0" collapsed="false">
      <c r="B8" s="95" t="s">
        <v>371</v>
      </c>
      <c r="C8" s="251" t="n">
        <v>-2255</v>
      </c>
      <c r="D8" s="251" t="n">
        <v>-130</v>
      </c>
      <c r="E8" s="251" t="n">
        <v>-1909</v>
      </c>
      <c r="F8" s="278" t="n">
        <f aca="false">SUM(C8:E8)</f>
        <v>-4294</v>
      </c>
      <c r="G8" s="279" t="n">
        <f aca="false">F8/3*12</f>
        <v>-17176</v>
      </c>
    </row>
    <row r="9" s="262" customFormat="true" ht="13.5" hidden="false" customHeight="true" outlineLevel="0" collapsed="false">
      <c r="B9" s="241" t="s">
        <v>372</v>
      </c>
      <c r="C9" s="280" t="n">
        <f aca="false">SUM(C7:C8)</f>
        <v>58392</v>
      </c>
      <c r="D9" s="280" t="n">
        <f aca="false">SUM(D7:D8)</f>
        <v>60526</v>
      </c>
      <c r="E9" s="280" t="n">
        <f aca="false">SUM(E7:E8)</f>
        <v>59944</v>
      </c>
      <c r="F9" s="280" t="n">
        <f aca="false">SUM(F7:F8)</f>
        <v>178862</v>
      </c>
      <c r="G9" s="281" t="n">
        <f aca="false">F9/3*12</f>
        <v>715448</v>
      </c>
    </row>
    <row r="10" customFormat="false" ht="13.5" hidden="false" customHeight="true" outlineLevel="0" collapsed="false">
      <c r="B10" s="69"/>
      <c r="C10" s="242"/>
      <c r="D10" s="242"/>
      <c r="E10" s="242"/>
      <c r="F10" s="242"/>
      <c r="G10" s="243"/>
    </row>
    <row r="11" s="282" customFormat="true" ht="13.5" hidden="false" customHeight="true" outlineLevel="0" collapsed="false">
      <c r="B11" s="283" t="s">
        <v>411</v>
      </c>
      <c r="C11" s="284" t="n">
        <f aca="false">ABS(C12/C9)</f>
        <v>0.0800452116728319</v>
      </c>
      <c r="D11" s="284" t="n">
        <f aca="false">ABS(D12/D9)</f>
        <v>0.0888708984568615</v>
      </c>
      <c r="E11" s="284" t="n">
        <f aca="false">ABS(E12/E9)</f>
        <v>0.038686107033231</v>
      </c>
      <c r="F11" s="284" t="n">
        <f aca="false">ABS(F12/F9)</f>
        <v>0.0691706455256008</v>
      </c>
      <c r="G11" s="285" t="n">
        <f aca="false">ABS(G12/G9)</f>
        <v>0.0691706455256008</v>
      </c>
    </row>
    <row r="12" customFormat="false" ht="13.5" hidden="false" customHeight="true" outlineLevel="0" collapsed="false">
      <c r="B12" s="69" t="s">
        <v>412</v>
      </c>
      <c r="C12" s="131" t="n">
        <v>-4674</v>
      </c>
      <c r="D12" s="131" t="n">
        <v>-5379</v>
      </c>
      <c r="E12" s="131" t="n">
        <v>-2319</v>
      </c>
      <c r="F12" s="269" t="n">
        <f aca="false">SUM(C12:E12)</f>
        <v>-12372</v>
      </c>
      <c r="G12" s="26" t="n">
        <f aca="false">F12/3*12</f>
        <v>-49488</v>
      </c>
    </row>
    <row r="13" customFormat="false" ht="13.5" hidden="false" customHeight="true" outlineLevel="0" collapsed="false">
      <c r="B13" s="69"/>
      <c r="C13" s="242"/>
      <c r="D13" s="242"/>
      <c r="E13" s="242"/>
      <c r="F13" s="242"/>
      <c r="G13" s="243"/>
    </row>
    <row r="14" customFormat="false" ht="13.5" hidden="false" customHeight="true" outlineLevel="0" collapsed="false">
      <c r="B14" s="69" t="s">
        <v>374</v>
      </c>
      <c r="C14" s="131" t="n">
        <v>0</v>
      </c>
      <c r="D14" s="131" t="n">
        <v>0</v>
      </c>
      <c r="E14" s="131" t="n">
        <v>0</v>
      </c>
      <c r="F14" s="269" t="n">
        <f aca="false">SUM(C14:E14)</f>
        <v>0</v>
      </c>
      <c r="G14" s="26" t="n">
        <f aca="false">F14/3*12</f>
        <v>0</v>
      </c>
    </row>
    <row r="15" customFormat="false" ht="13.5" hidden="false" customHeight="true" outlineLevel="0" collapsed="false">
      <c r="B15" s="95" t="s">
        <v>375</v>
      </c>
      <c r="C15" s="251" t="n">
        <v>-1058</v>
      </c>
      <c r="D15" s="251" t="n">
        <v>-220</v>
      </c>
      <c r="E15" s="251" t="n">
        <v>-239</v>
      </c>
      <c r="F15" s="278" t="n">
        <f aca="false">SUM(C15:E15)</f>
        <v>-1517</v>
      </c>
      <c r="G15" s="279" t="n">
        <f aca="false">F15/3*12</f>
        <v>-6068</v>
      </c>
    </row>
    <row r="16" customFormat="false" ht="13.5" hidden="false" customHeight="true" outlineLevel="0" collapsed="false">
      <c r="B16" s="241" t="s">
        <v>376</v>
      </c>
      <c r="C16" s="266" t="n">
        <f aca="false">SUM(C9,C12,C14:C15)</f>
        <v>52660</v>
      </c>
      <c r="D16" s="266" t="n">
        <f aca="false">SUM(D9,D12,D14:D15)</f>
        <v>54927</v>
      </c>
      <c r="E16" s="266" t="n">
        <f aca="false">SUM(E9,E12,E14:E15)</f>
        <v>57386</v>
      </c>
      <c r="F16" s="266" t="n">
        <f aca="false">SUM(F9,F12,F14:F15)</f>
        <v>164973</v>
      </c>
      <c r="G16" s="281" t="n">
        <f aca="false">F16/3*12</f>
        <v>659892</v>
      </c>
    </row>
    <row r="17" customFormat="false" ht="13.5" hidden="false" customHeight="true" outlineLevel="0" collapsed="false">
      <c r="B17" s="69" t="s">
        <v>377</v>
      </c>
      <c r="C17" s="242"/>
      <c r="D17" s="242"/>
      <c r="E17" s="242"/>
      <c r="F17" s="242"/>
      <c r="G17" s="243"/>
    </row>
    <row r="18" customFormat="false" ht="13.5" hidden="false" customHeight="true" outlineLevel="0" collapsed="false">
      <c r="B18" s="69" t="s">
        <v>413</v>
      </c>
      <c r="C18" s="131" t="n">
        <v>3469</v>
      </c>
      <c r="D18" s="131" t="n">
        <v>3126</v>
      </c>
      <c r="E18" s="131" t="n">
        <v>3326</v>
      </c>
      <c r="F18" s="269" t="n">
        <f aca="false">SUM(C18:E18)</f>
        <v>9921</v>
      </c>
      <c r="G18" s="26" t="n">
        <f aca="false">F18/3*12</f>
        <v>39684</v>
      </c>
    </row>
    <row r="19" customFormat="false" ht="13.5" hidden="false" customHeight="true" outlineLevel="0" collapsed="false">
      <c r="B19" s="69" t="s">
        <v>414</v>
      </c>
      <c r="C19" s="131" t="n">
        <v>690</v>
      </c>
      <c r="D19" s="131" t="n">
        <v>448</v>
      </c>
      <c r="E19" s="131" t="n">
        <v>154</v>
      </c>
      <c r="F19" s="269" t="n">
        <f aca="false">SUM(C19:E19)</f>
        <v>1292</v>
      </c>
      <c r="G19" s="26" t="n">
        <f aca="false">F19/3*12</f>
        <v>5168</v>
      </c>
    </row>
    <row r="20" customFormat="false" ht="13.5" hidden="false" customHeight="true" outlineLevel="0" collapsed="false">
      <c r="B20" s="69" t="s">
        <v>381</v>
      </c>
      <c r="C20" s="131" t="n">
        <v>4405</v>
      </c>
      <c r="D20" s="131" t="n">
        <v>3797</v>
      </c>
      <c r="E20" s="131" t="n">
        <v>4922</v>
      </c>
      <c r="F20" s="269" t="n">
        <f aca="false">SUM(C20:E20)</f>
        <v>13124</v>
      </c>
      <c r="G20" s="26" t="n">
        <f aca="false">F20/3*12</f>
        <v>52496</v>
      </c>
    </row>
    <row r="21" customFormat="false" ht="13.5" hidden="false" customHeight="true" outlineLevel="0" collapsed="false">
      <c r="B21" s="75" t="s">
        <v>382</v>
      </c>
      <c r="C21" s="264" t="n">
        <f aca="false">SUM(C18:C20)</f>
        <v>8564</v>
      </c>
      <c r="D21" s="264" t="n">
        <f aca="false">SUM(D18:D20)</f>
        <v>7371</v>
      </c>
      <c r="E21" s="264" t="n">
        <f aca="false">SUM(E18:E20)</f>
        <v>8402</v>
      </c>
      <c r="F21" s="264" t="n">
        <f aca="false">SUM(F18:F20)</f>
        <v>24337</v>
      </c>
      <c r="G21" s="149" t="n">
        <f aca="false">F21/3*12</f>
        <v>97348</v>
      </c>
    </row>
    <row r="22" customFormat="false" ht="13.5" hidden="false" customHeight="true" outlineLevel="0" collapsed="false">
      <c r="B22" s="241" t="s">
        <v>383</v>
      </c>
      <c r="C22" s="266" t="n">
        <f aca="false">SUM(C16,C21)</f>
        <v>61224</v>
      </c>
      <c r="D22" s="266" t="n">
        <f aca="false">SUM(D16,D21)</f>
        <v>62298</v>
      </c>
      <c r="E22" s="266" t="n">
        <f aca="false">SUM(E16,E21)</f>
        <v>65788</v>
      </c>
      <c r="F22" s="266" t="n">
        <f aca="false">SUM(F16,F21)</f>
        <v>189310</v>
      </c>
      <c r="G22" s="281" t="n">
        <f aca="false">F22/3*12</f>
        <v>757240</v>
      </c>
    </row>
    <row r="23" customFormat="false" ht="13.5" hidden="false" customHeight="true" outlineLevel="0" collapsed="false">
      <c r="B23" s="69"/>
      <c r="C23" s="242"/>
      <c r="D23" s="242"/>
      <c r="E23" s="242"/>
      <c r="F23" s="242"/>
      <c r="G23" s="243"/>
    </row>
    <row r="24" customFormat="false" ht="13.5" hidden="false" customHeight="true" outlineLevel="0" collapsed="false">
      <c r="B24" s="241" t="s">
        <v>384</v>
      </c>
      <c r="C24" s="242"/>
      <c r="D24" s="242"/>
      <c r="E24" s="242"/>
      <c r="F24" s="242"/>
      <c r="G24" s="243"/>
    </row>
    <row r="25" customFormat="false" ht="13.5" hidden="false" customHeight="true" outlineLevel="0" collapsed="false">
      <c r="B25" s="241" t="s">
        <v>385</v>
      </c>
      <c r="C25" s="242"/>
      <c r="D25" s="242"/>
      <c r="E25" s="242"/>
      <c r="F25" s="242"/>
      <c r="G25" s="243"/>
    </row>
    <row r="26" customFormat="false" ht="13.5" hidden="false" customHeight="true" outlineLevel="0" collapsed="false">
      <c r="B26" s="69" t="s">
        <v>387</v>
      </c>
      <c r="C26" s="131" t="n">
        <v>11393</v>
      </c>
      <c r="D26" s="131" t="n">
        <v>8182</v>
      </c>
      <c r="E26" s="131" t="n">
        <v>9118</v>
      </c>
      <c r="F26" s="269" t="n">
        <f aca="false">SUM(C26:E26)</f>
        <v>28693</v>
      </c>
      <c r="G26" s="26" t="n">
        <f aca="false">F26/3*12</f>
        <v>114772</v>
      </c>
    </row>
    <row r="27" customFormat="false" ht="13.5" hidden="false" customHeight="true" outlineLevel="0" collapsed="false">
      <c r="B27" s="69" t="s">
        <v>388</v>
      </c>
      <c r="C27" s="131" t="n">
        <v>4919</v>
      </c>
      <c r="D27" s="131" t="n">
        <v>4800</v>
      </c>
      <c r="E27" s="131" t="n">
        <v>5403</v>
      </c>
      <c r="F27" s="269" t="n">
        <f aca="false">SUM(C27:E27)</f>
        <v>15122</v>
      </c>
      <c r="G27" s="26" t="n">
        <f aca="false">F27/3*12</f>
        <v>60488</v>
      </c>
    </row>
    <row r="28" customFormat="false" ht="13.5" hidden="false" customHeight="true" outlineLevel="0" collapsed="false">
      <c r="B28" s="69" t="s">
        <v>389</v>
      </c>
      <c r="C28" s="131" t="n">
        <v>1192</v>
      </c>
      <c r="D28" s="131" t="n">
        <v>1010</v>
      </c>
      <c r="E28" s="131" t="n">
        <v>1082</v>
      </c>
      <c r="F28" s="269" t="n">
        <f aca="false">SUM(C28:E28)</f>
        <v>3284</v>
      </c>
      <c r="G28" s="26" t="n">
        <f aca="false">F28/3*12</f>
        <v>13136</v>
      </c>
    </row>
    <row r="29" customFormat="false" ht="13.5" hidden="false" customHeight="true" outlineLevel="0" collapsed="false">
      <c r="B29" s="69" t="s">
        <v>415</v>
      </c>
      <c r="C29" s="131" t="n">
        <v>2846</v>
      </c>
      <c r="D29" s="131" t="n">
        <v>2431</v>
      </c>
      <c r="E29" s="131" t="n">
        <v>1242</v>
      </c>
      <c r="F29" s="269" t="n">
        <f aca="false">SUM(C29:E29)</f>
        <v>6519</v>
      </c>
      <c r="G29" s="26" t="n">
        <f aca="false">F29/3*12</f>
        <v>26076</v>
      </c>
    </row>
    <row r="30" customFormat="false" ht="13.5" hidden="false" customHeight="true" outlineLevel="0" collapsed="false">
      <c r="B30" s="69" t="s">
        <v>391</v>
      </c>
      <c r="C30" s="131" t="n">
        <v>3655</v>
      </c>
      <c r="D30" s="131" t="n">
        <v>4111</v>
      </c>
      <c r="E30" s="131" t="n">
        <v>4694</v>
      </c>
      <c r="F30" s="269" t="n">
        <f aca="false">SUM(C30:E30)</f>
        <v>12460</v>
      </c>
      <c r="G30" s="26" t="n">
        <f aca="false">F30/3*12</f>
        <v>49840</v>
      </c>
      <c r="H30" s="286"/>
      <c r="I30" s="286"/>
      <c r="J30" s="286"/>
    </row>
    <row r="31" customFormat="false" ht="13.5" hidden="false" customHeight="true" outlineLevel="0" collapsed="false">
      <c r="B31" s="69" t="s">
        <v>392</v>
      </c>
      <c r="C31" s="131" t="n">
        <v>478</v>
      </c>
      <c r="D31" s="131" t="n">
        <v>220</v>
      </c>
      <c r="E31" s="131" t="n">
        <v>329</v>
      </c>
      <c r="F31" s="269" t="n">
        <f aca="false">SUM(C31:E31)</f>
        <v>1027</v>
      </c>
      <c r="G31" s="26" t="n">
        <f aca="false">F31/3*12</f>
        <v>4108</v>
      </c>
    </row>
    <row r="32" customFormat="false" ht="13.5" hidden="false" customHeight="true" outlineLevel="0" collapsed="false">
      <c r="B32" s="241" t="s">
        <v>393</v>
      </c>
      <c r="C32" s="266" t="n">
        <f aca="false">SUM(C26:C31)</f>
        <v>24483</v>
      </c>
      <c r="D32" s="266" t="n">
        <f aca="false">SUM(D26:D31)</f>
        <v>20754</v>
      </c>
      <c r="E32" s="266" t="n">
        <f aca="false">SUM(E26:E31)</f>
        <v>21868</v>
      </c>
      <c r="F32" s="266" t="n">
        <f aca="false">SUM(F26:F31)</f>
        <v>67105</v>
      </c>
      <c r="G32" s="281" t="n">
        <f aca="false">F32/3*12</f>
        <v>268420</v>
      </c>
    </row>
    <row r="33" customFormat="false" ht="13.5" hidden="false" customHeight="true" outlineLevel="0" collapsed="false">
      <c r="B33" s="241" t="s">
        <v>394</v>
      </c>
      <c r="C33" s="242"/>
      <c r="D33" s="242"/>
      <c r="E33" s="242"/>
      <c r="F33" s="242"/>
      <c r="G33" s="26" t="n">
        <f aca="false">F33/3*12</f>
        <v>0</v>
      </c>
    </row>
    <row r="34" customFormat="false" ht="13.5" hidden="false" customHeight="true" outlineLevel="0" collapsed="false">
      <c r="B34" s="69" t="s">
        <v>395</v>
      </c>
      <c r="C34" s="131" t="n">
        <v>4621</v>
      </c>
      <c r="D34" s="131" t="n">
        <v>4560</v>
      </c>
      <c r="E34" s="131" t="n">
        <v>4560</v>
      </c>
      <c r="F34" s="269" t="n">
        <f aca="false">SUM(C34:E34)</f>
        <v>13741</v>
      </c>
      <c r="G34" s="26" t="n">
        <f aca="false">F34/3*12</f>
        <v>54964</v>
      </c>
    </row>
    <row r="35" customFormat="false" ht="13.5" hidden="false" customHeight="true" outlineLevel="0" collapsed="false">
      <c r="B35" s="69" t="s">
        <v>396</v>
      </c>
      <c r="C35" s="131" t="n">
        <v>2311</v>
      </c>
      <c r="D35" s="131" t="n">
        <v>1646</v>
      </c>
      <c r="E35" s="131" t="n">
        <v>2271</v>
      </c>
      <c r="F35" s="269" t="n">
        <f aca="false">SUM(C35:E35)</f>
        <v>6228</v>
      </c>
      <c r="G35" s="26" t="n">
        <f aca="false">F35/3*12</f>
        <v>24912</v>
      </c>
    </row>
    <row r="36" customFormat="false" ht="13.5" hidden="false" customHeight="true" outlineLevel="0" collapsed="false">
      <c r="B36" s="69" t="s">
        <v>398</v>
      </c>
      <c r="C36" s="131" t="n">
        <v>768</v>
      </c>
      <c r="D36" s="131" t="n">
        <v>1738</v>
      </c>
      <c r="E36" s="131" t="n">
        <v>1998</v>
      </c>
      <c r="F36" s="269" t="n">
        <f aca="false">SUM(C36:E36)</f>
        <v>4504</v>
      </c>
      <c r="G36" s="26" t="n">
        <f aca="false">F36/3*12</f>
        <v>18016</v>
      </c>
    </row>
    <row r="37" customFormat="false" ht="13.5" hidden="false" customHeight="true" outlineLevel="0" collapsed="false">
      <c r="B37" s="75" t="s">
        <v>399</v>
      </c>
      <c r="C37" s="264" t="n">
        <f aca="false">SUM(C34:C36)</f>
        <v>7700</v>
      </c>
      <c r="D37" s="264" t="n">
        <f aca="false">SUM(D34:D36)</f>
        <v>7944</v>
      </c>
      <c r="E37" s="264" t="n">
        <f aca="false">SUM(E34:E36)</f>
        <v>8829</v>
      </c>
      <c r="F37" s="264" t="n">
        <f aca="false">SUM(C37:E37)</f>
        <v>24473</v>
      </c>
      <c r="G37" s="149" t="n">
        <f aca="false">F37/3*12</f>
        <v>97892</v>
      </c>
    </row>
    <row r="38" customFormat="false" ht="13.5" hidden="false" customHeight="true" outlineLevel="0" collapsed="false">
      <c r="B38" s="241" t="s">
        <v>400</v>
      </c>
      <c r="C38" s="266" t="n">
        <f aca="false">SUM(C32,C37)</f>
        <v>32183</v>
      </c>
      <c r="D38" s="266" t="n">
        <f aca="false">SUM(D32,D37)</f>
        <v>28698</v>
      </c>
      <c r="E38" s="266" t="n">
        <f aca="false">SUM(E32,E37)</f>
        <v>30697</v>
      </c>
      <c r="F38" s="266" t="n">
        <f aca="false">SUM(F32,F37)</f>
        <v>91578</v>
      </c>
      <c r="G38" s="281" t="n">
        <f aca="false">F38/3*12</f>
        <v>366312</v>
      </c>
    </row>
    <row r="39" customFormat="false" ht="13.5" hidden="false" customHeight="true" outlineLevel="0" collapsed="false">
      <c r="B39" s="95"/>
      <c r="C39" s="268"/>
      <c r="D39" s="268"/>
      <c r="E39" s="268"/>
      <c r="F39" s="268"/>
      <c r="G39" s="279"/>
    </row>
    <row r="40" customFormat="false" ht="13.5" hidden="false" customHeight="true" outlineLevel="0" collapsed="false">
      <c r="B40" s="75" t="s">
        <v>401</v>
      </c>
      <c r="C40" s="264" t="n">
        <f aca="false">C22-C38</f>
        <v>29041</v>
      </c>
      <c r="D40" s="264" t="n">
        <f aca="false">D22-D38</f>
        <v>33600</v>
      </c>
      <c r="E40" s="264" t="n">
        <f aca="false">E22-E38</f>
        <v>35091</v>
      </c>
      <c r="F40" s="264" t="n">
        <f aca="false">SUM(C40:E40)</f>
        <v>97732</v>
      </c>
      <c r="G40" s="149" t="n">
        <f aca="false">F40/3*12</f>
        <v>390928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G296"/>
  <sheetViews>
    <sheetView showFormulas="false" showGridLines="true" showRowColHeaders="true" showZeros="true" rightToLeft="false" tabSelected="false" showOutlineSymbols="true" defaultGridColor="true" view="normal" topLeftCell="A9" colorId="64" zoomScale="80" zoomScaleNormal="80" zoomScalePageLayoutView="100" workbookViewId="0">
      <selection pane="topLeft" activeCell="R52" activeCellId="0" sqref="R52"/>
    </sheetView>
  </sheetViews>
  <sheetFormatPr defaultColWidth="8.83203125" defaultRowHeight="13.5" zeroHeight="false" outlineLevelRow="0" outlineLevelCol="0"/>
  <cols>
    <col collapsed="false" customWidth="true" hidden="false" outlineLevel="0" max="1" min="1" style="236" width="2.67"/>
    <col collapsed="false" customWidth="true" hidden="false" outlineLevel="0" max="2" min="2" style="236" width="39"/>
    <col collapsed="false" customWidth="true" hidden="false" outlineLevel="0" max="3" min="3" style="287" width="12.5"/>
    <col collapsed="false" customWidth="true" hidden="false" outlineLevel="0" max="4" min="4" style="287" width="12.33"/>
    <col collapsed="false" customWidth="true" hidden="false" outlineLevel="0" max="5" min="5" style="287" width="11"/>
    <col collapsed="false" customWidth="true" hidden="false" outlineLevel="0" max="6" min="6" style="288" width="7.33"/>
    <col collapsed="false" customWidth="true" hidden="false" outlineLevel="0" max="7" min="7" style="288" width="7.67"/>
    <col collapsed="false" customWidth="true" hidden="false" outlineLevel="0" max="8" min="8" style="289" width="12.5"/>
    <col collapsed="false" customWidth="true" hidden="false" outlineLevel="0" max="9" min="9" style="288" width="12.67"/>
    <col collapsed="false" customWidth="true" hidden="false" outlineLevel="0" max="10" min="10" style="290" width="12.67"/>
    <col collapsed="false" customWidth="true" hidden="false" outlineLevel="0" max="11" min="11" style="291" width="15.33"/>
    <col collapsed="false" customWidth="true" hidden="false" outlineLevel="0" max="12" min="12" style="292" width="14.52"/>
    <col collapsed="false" customWidth="true" hidden="false" outlineLevel="0" max="13" min="13" style="291" width="14.52"/>
    <col collapsed="false" customWidth="true" hidden="false" outlineLevel="0" max="14" min="14" style="291" width="11.5"/>
    <col collapsed="false" customWidth="true" hidden="false" outlineLevel="0" max="15" min="15" style="292" width="11"/>
    <col collapsed="false" customWidth="false" hidden="false" outlineLevel="0" max="16" min="16" style="10" width="8.83"/>
    <col collapsed="false" customWidth="true" hidden="false" outlineLevel="0" max="17" min="17" style="10" width="10.66"/>
    <col collapsed="false" customWidth="true" hidden="false" outlineLevel="0" max="18" min="18" style="10" width="12"/>
    <col collapsed="false" customWidth="true" hidden="false" outlineLevel="0" max="19" min="19" style="10" width="10.66"/>
    <col collapsed="false" customWidth="true" hidden="false" outlineLevel="0" max="20" min="20" style="10" width="5.66"/>
    <col collapsed="false" customWidth="true" hidden="false" outlineLevel="0" max="21" min="21" style="10" width="6"/>
    <col collapsed="false" customWidth="false" hidden="false" outlineLevel="0" max="23" min="22" style="10" width="8.83"/>
    <col collapsed="false" customWidth="true" hidden="false" outlineLevel="0" max="24" min="24" style="10" width="11.16"/>
    <col collapsed="false" customWidth="true" hidden="false" outlineLevel="0" max="25" min="25" style="10" width="5.16"/>
    <col collapsed="false" customWidth="false" hidden="false" outlineLevel="0" max="29" min="26" style="10" width="8.83"/>
    <col collapsed="false" customWidth="true" hidden="false" outlineLevel="0" max="30" min="30" style="10" width="6.16"/>
    <col collapsed="false" customWidth="false" hidden="false" outlineLevel="0" max="35" min="31" style="10" width="8.83"/>
    <col collapsed="false" customWidth="true" hidden="false" outlineLevel="0" max="36" min="36" style="10" width="6.51"/>
    <col collapsed="false" customWidth="true" hidden="false" outlineLevel="0" max="37" min="37" style="10" width="5.16"/>
    <col collapsed="false" customWidth="false" hidden="false" outlineLevel="0" max="41" min="38" style="10" width="8.83"/>
    <col collapsed="false" customWidth="true" hidden="false" outlineLevel="0" max="42" min="42" style="10" width="8.5"/>
    <col collapsed="false" customWidth="false" hidden="false" outlineLevel="0" max="44" min="43" style="10" width="8.83"/>
    <col collapsed="false" customWidth="true" hidden="false" outlineLevel="0" max="46" min="45" style="10" width="10"/>
    <col collapsed="false" customWidth="true" hidden="false" outlineLevel="0" max="47" min="47" style="10" width="8.16"/>
    <col collapsed="false" customWidth="true" hidden="false" outlineLevel="0" max="48" min="48" style="10" width="9.52"/>
    <col collapsed="false" customWidth="false" hidden="false" outlineLevel="0" max="53" min="49" style="10" width="8.83"/>
    <col collapsed="false" customWidth="true" hidden="false" outlineLevel="0" max="54" min="54" style="10" width="8.5"/>
    <col collapsed="false" customWidth="false" hidden="false" outlineLevel="0" max="16384" min="55" style="10" width="8.83"/>
  </cols>
  <sheetData>
    <row r="2" customFormat="false" ht="13.5" hidden="false" customHeight="true" outlineLevel="0" collapsed="false">
      <c r="B2" s="238" t="str">
        <f aca="false">'Cash Flow - Monthly'!B2</f>
        <v>Riverhill TH</v>
      </c>
      <c r="C2" s="293"/>
      <c r="D2" s="293"/>
      <c r="E2" s="293"/>
      <c r="F2" s="294"/>
      <c r="G2" s="294"/>
      <c r="H2" s="295"/>
      <c r="I2" s="294"/>
      <c r="J2" s="296"/>
      <c r="K2" s="297"/>
      <c r="L2" s="298"/>
      <c r="M2" s="297"/>
      <c r="N2" s="297"/>
      <c r="O2" s="298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5"/>
    </row>
    <row r="3" customFormat="false" ht="13.5" hidden="false" customHeight="true" outlineLevel="0" collapsed="false">
      <c r="B3" s="241" t="s">
        <v>416</v>
      </c>
      <c r="C3" s="299"/>
      <c r="D3" s="299"/>
      <c r="E3" s="299"/>
      <c r="F3" s="300"/>
      <c r="G3" s="300"/>
      <c r="H3" s="83"/>
      <c r="I3" s="300"/>
      <c r="J3" s="301"/>
      <c r="K3" s="302"/>
      <c r="L3" s="303"/>
      <c r="M3" s="302"/>
      <c r="N3" s="302"/>
      <c r="O3" s="30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9"/>
    </row>
    <row r="4" customFormat="false" ht="13.5" hidden="false" customHeight="true" outlineLevel="0" collapsed="false">
      <c r="B4" s="69"/>
      <c r="C4" s="299"/>
      <c r="D4" s="299"/>
      <c r="E4" s="299"/>
      <c r="F4" s="300"/>
      <c r="G4" s="300"/>
      <c r="H4" s="83"/>
      <c r="I4" s="300"/>
      <c r="J4" s="301"/>
      <c r="K4" s="302"/>
      <c r="L4" s="303"/>
      <c r="M4" s="302"/>
      <c r="N4" s="302"/>
      <c r="O4" s="303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9"/>
    </row>
    <row r="5" s="306" customFormat="true" ht="13.5" hidden="false" customHeight="true" outlineLevel="0" collapsed="false">
      <c r="A5" s="262"/>
      <c r="B5" s="255" t="s">
        <v>417</v>
      </c>
      <c r="C5" s="304" t="s">
        <v>418</v>
      </c>
      <c r="D5" s="304"/>
      <c r="E5" s="304"/>
      <c r="F5" s="304"/>
      <c r="G5" s="304"/>
      <c r="H5" s="304"/>
      <c r="I5" s="305" t="s">
        <v>419</v>
      </c>
      <c r="J5" s="305"/>
      <c r="K5" s="305"/>
      <c r="L5" s="305"/>
      <c r="M5" s="305"/>
      <c r="N5" s="305"/>
      <c r="O5" s="305"/>
      <c r="P5" s="305"/>
      <c r="Q5" s="305"/>
      <c r="R5" s="106" t="s">
        <v>420</v>
      </c>
      <c r="S5" s="106"/>
      <c r="T5" s="106"/>
      <c r="U5" s="106"/>
      <c r="V5" s="106"/>
      <c r="W5" s="106"/>
      <c r="X5" s="106" t="s">
        <v>421</v>
      </c>
      <c r="Y5" s="106"/>
      <c r="Z5" s="106"/>
      <c r="AA5" s="106"/>
      <c r="AB5" s="106"/>
      <c r="AC5" s="106"/>
      <c r="AD5" s="106" t="s">
        <v>422</v>
      </c>
      <c r="AE5" s="106"/>
      <c r="AF5" s="106"/>
      <c r="AG5" s="106"/>
      <c r="AH5" s="106"/>
      <c r="AI5" s="106"/>
      <c r="AJ5" s="106" t="s">
        <v>423</v>
      </c>
      <c r="AK5" s="106"/>
      <c r="AL5" s="106"/>
      <c r="AM5" s="106"/>
      <c r="AN5" s="106"/>
      <c r="AO5" s="106"/>
      <c r="AP5" s="106" t="s">
        <v>424</v>
      </c>
      <c r="AQ5" s="106"/>
      <c r="AR5" s="106"/>
      <c r="AS5" s="106"/>
      <c r="AT5" s="106"/>
      <c r="AU5" s="106"/>
      <c r="AV5" s="106" t="s">
        <v>425</v>
      </c>
      <c r="AW5" s="106"/>
      <c r="AX5" s="106"/>
      <c r="AY5" s="106"/>
      <c r="AZ5" s="106"/>
      <c r="BA5" s="106"/>
      <c r="BB5" s="106" t="s">
        <v>426</v>
      </c>
      <c r="BC5" s="106"/>
      <c r="BD5" s="106"/>
      <c r="BE5" s="106"/>
      <c r="BF5" s="106"/>
      <c r="BG5" s="106"/>
    </row>
    <row r="6" customFormat="false" ht="13.5" hidden="false" customHeight="true" outlineLevel="0" collapsed="false">
      <c r="B6" s="307" t="s">
        <v>24</v>
      </c>
      <c r="C6" s="308" t="str">
        <f aca="false">'Executive Summary'!$C$5</f>
        <v>Riverhill TH</v>
      </c>
      <c r="D6" s="299"/>
      <c r="E6" s="299"/>
      <c r="F6" s="300"/>
      <c r="G6" s="300"/>
      <c r="H6" s="309" t="s">
        <v>427</v>
      </c>
      <c r="I6" s="310" t="str">
        <f aca="false">'Executive Summary'!$C$5</f>
        <v>Riverhill TH</v>
      </c>
      <c r="J6" s="301"/>
      <c r="K6" s="302"/>
      <c r="L6" s="303"/>
      <c r="M6" s="302"/>
      <c r="N6" s="302"/>
      <c r="O6" s="303"/>
      <c r="P6" s="17"/>
      <c r="Q6" s="19" t="s">
        <v>427</v>
      </c>
      <c r="R6" s="311" t="s">
        <v>428</v>
      </c>
      <c r="S6" s="17"/>
      <c r="T6" s="17"/>
      <c r="U6" s="17"/>
      <c r="V6" s="17"/>
      <c r="W6" s="312" t="s">
        <v>427</v>
      </c>
      <c r="X6" s="311" t="s">
        <v>429</v>
      </c>
      <c r="Y6" s="17"/>
      <c r="Z6" s="17"/>
      <c r="AA6" s="17"/>
      <c r="AB6" s="17"/>
      <c r="AC6" s="312" t="s">
        <v>427</v>
      </c>
      <c r="AD6" s="311" t="s">
        <v>430</v>
      </c>
      <c r="AE6" s="17"/>
      <c r="AF6" s="17"/>
      <c r="AG6" s="17"/>
      <c r="AH6" s="17"/>
      <c r="AI6" s="312" t="s">
        <v>427</v>
      </c>
      <c r="AJ6" s="311" t="s">
        <v>431</v>
      </c>
      <c r="AK6" s="17"/>
      <c r="AL6" s="17"/>
      <c r="AM6" s="17"/>
      <c r="AN6" s="17"/>
      <c r="AO6" s="312" t="s">
        <v>427</v>
      </c>
      <c r="AP6" s="311" t="s">
        <v>432</v>
      </c>
      <c r="AQ6" s="17"/>
      <c r="AR6" s="17"/>
      <c r="AS6" s="17"/>
      <c r="AT6" s="17"/>
      <c r="AU6" s="312" t="s">
        <v>427</v>
      </c>
      <c r="AV6" s="311" t="s">
        <v>433</v>
      </c>
      <c r="AW6" s="17"/>
      <c r="AX6" s="17"/>
      <c r="AY6" s="17"/>
      <c r="AZ6" s="17"/>
      <c r="BA6" s="312" t="s">
        <v>427</v>
      </c>
      <c r="BB6" s="311" t="s">
        <v>434</v>
      </c>
      <c r="BC6" s="17"/>
      <c r="BD6" s="17"/>
      <c r="BE6" s="17"/>
      <c r="BF6" s="17"/>
      <c r="BG6" s="312"/>
    </row>
    <row r="7" customFormat="false" ht="27.75" hidden="false" customHeight="true" outlineLevel="0" collapsed="false">
      <c r="B7" s="313" t="s">
        <v>435</v>
      </c>
      <c r="C7" s="314" t="n">
        <f aca="false">'Executive Summary'!$C$9</f>
        <v>1982</v>
      </c>
      <c r="D7" s="71"/>
      <c r="E7" s="71"/>
      <c r="F7" s="71"/>
      <c r="G7" s="71"/>
      <c r="H7" s="315"/>
      <c r="I7" s="314" t="n">
        <f aca="false">'Executive Summary'!$C$9</f>
        <v>1982</v>
      </c>
      <c r="J7" s="71"/>
      <c r="K7" s="316"/>
      <c r="L7" s="316"/>
      <c r="M7" s="316"/>
      <c r="N7" s="316"/>
      <c r="O7" s="317" t="s">
        <v>436</v>
      </c>
      <c r="P7" s="318" t="s">
        <v>437</v>
      </c>
      <c r="Q7" s="318"/>
      <c r="R7" s="319" t="n">
        <v>1982</v>
      </c>
      <c r="S7" s="17"/>
      <c r="T7" s="17"/>
      <c r="U7" s="17"/>
      <c r="V7" s="17"/>
      <c r="W7" s="19"/>
      <c r="X7" s="319" t="n">
        <v>1985</v>
      </c>
      <c r="Y7" s="17"/>
      <c r="Z7" s="17"/>
      <c r="AA7" s="17"/>
      <c r="AB7" s="17"/>
      <c r="AC7" s="19"/>
      <c r="AD7" s="319" t="n">
        <v>1979</v>
      </c>
      <c r="AE7" s="17"/>
      <c r="AF7" s="17"/>
      <c r="AG7" s="17"/>
      <c r="AH7" s="17"/>
      <c r="AI7" s="19"/>
      <c r="AJ7" s="319" t="n">
        <v>1988</v>
      </c>
      <c r="AK7" s="17"/>
      <c r="AL7" s="17"/>
      <c r="AM7" s="17"/>
      <c r="AN7" s="17"/>
      <c r="AO7" s="19"/>
      <c r="AP7" s="319" t="n">
        <v>1993</v>
      </c>
      <c r="AQ7" s="17"/>
      <c r="AR7" s="17"/>
      <c r="AS7" s="17"/>
      <c r="AT7" s="17"/>
      <c r="AU7" s="19"/>
      <c r="AV7" s="319" t="n">
        <v>2004</v>
      </c>
      <c r="AW7" s="17"/>
      <c r="AX7" s="17"/>
      <c r="AY7" s="17"/>
      <c r="AZ7" s="17"/>
      <c r="BA7" s="19"/>
      <c r="BB7" s="319" t="n">
        <v>2012</v>
      </c>
      <c r="BC7" s="17"/>
      <c r="BD7" s="17"/>
      <c r="BE7" s="17"/>
      <c r="BF7" s="17"/>
      <c r="BG7" s="19"/>
    </row>
    <row r="8" s="332" customFormat="true" ht="13.5" hidden="false" customHeight="true" outlineLevel="0" collapsed="false">
      <c r="A8" s="320"/>
      <c r="B8" s="321"/>
      <c r="C8" s="322" t="s">
        <v>68</v>
      </c>
      <c r="D8" s="104" t="s">
        <v>438</v>
      </c>
      <c r="E8" s="104" t="s">
        <v>439</v>
      </c>
      <c r="F8" s="323" t="s">
        <v>440</v>
      </c>
      <c r="G8" s="323" t="s">
        <v>101</v>
      </c>
      <c r="H8" s="324" t="s">
        <v>441</v>
      </c>
      <c r="I8" s="325" t="s">
        <v>68</v>
      </c>
      <c r="J8" s="104" t="s">
        <v>438</v>
      </c>
      <c r="K8" s="104" t="s">
        <v>439</v>
      </c>
      <c r="L8" s="326" t="s">
        <v>440</v>
      </c>
      <c r="M8" s="327" t="s">
        <v>101</v>
      </c>
      <c r="N8" s="328" t="s">
        <v>441</v>
      </c>
      <c r="O8" s="329" t="s">
        <v>442</v>
      </c>
      <c r="P8" s="330"/>
      <c r="Q8" s="331"/>
      <c r="R8" s="330" t="s">
        <v>68</v>
      </c>
      <c r="S8" s="104" t="s">
        <v>438</v>
      </c>
      <c r="T8" s="104" t="s">
        <v>439</v>
      </c>
      <c r="U8" s="104" t="s">
        <v>440</v>
      </c>
      <c r="V8" s="327" t="s">
        <v>101</v>
      </c>
      <c r="W8" s="105" t="s">
        <v>441</v>
      </c>
      <c r="X8" s="330" t="s">
        <v>68</v>
      </c>
      <c r="Y8" s="104" t="s">
        <v>438</v>
      </c>
      <c r="Z8" s="104" t="s">
        <v>439</v>
      </c>
      <c r="AA8" s="104" t="s">
        <v>440</v>
      </c>
      <c r="AB8" s="327" t="s">
        <v>101</v>
      </c>
      <c r="AC8" s="105" t="s">
        <v>441</v>
      </c>
      <c r="AD8" s="330" t="s">
        <v>68</v>
      </c>
      <c r="AE8" s="104" t="s">
        <v>438</v>
      </c>
      <c r="AF8" s="104" t="s">
        <v>439</v>
      </c>
      <c r="AG8" s="104" t="s">
        <v>440</v>
      </c>
      <c r="AH8" s="327" t="s">
        <v>101</v>
      </c>
      <c r="AI8" s="105" t="s">
        <v>441</v>
      </c>
      <c r="AJ8" s="330" t="s">
        <v>68</v>
      </c>
      <c r="AK8" s="104" t="s">
        <v>438</v>
      </c>
      <c r="AL8" s="104" t="s">
        <v>439</v>
      </c>
      <c r="AM8" s="104" t="s">
        <v>440</v>
      </c>
      <c r="AN8" s="327" t="s">
        <v>101</v>
      </c>
      <c r="AO8" s="105" t="s">
        <v>441</v>
      </c>
      <c r="AP8" s="330" t="s">
        <v>68</v>
      </c>
      <c r="AQ8" s="104" t="s">
        <v>438</v>
      </c>
      <c r="AR8" s="104" t="s">
        <v>439</v>
      </c>
      <c r="AS8" s="104" t="s">
        <v>440</v>
      </c>
      <c r="AT8" s="327" t="s">
        <v>101</v>
      </c>
      <c r="AU8" s="105" t="s">
        <v>441</v>
      </c>
      <c r="AV8" s="330" t="s">
        <v>68</v>
      </c>
      <c r="AW8" s="104" t="s">
        <v>438</v>
      </c>
      <c r="AX8" s="104" t="s">
        <v>439</v>
      </c>
      <c r="AY8" s="104" t="s">
        <v>440</v>
      </c>
      <c r="AZ8" s="327" t="s">
        <v>101</v>
      </c>
      <c r="BA8" s="105" t="s">
        <v>441</v>
      </c>
      <c r="BB8" s="330" t="s">
        <v>68</v>
      </c>
      <c r="BC8" s="104" t="s">
        <v>438</v>
      </c>
      <c r="BD8" s="104" t="s">
        <v>439</v>
      </c>
      <c r="BE8" s="104" t="s">
        <v>440</v>
      </c>
      <c r="BF8" s="327" t="s">
        <v>101</v>
      </c>
      <c r="BG8" s="105" t="s">
        <v>441</v>
      </c>
    </row>
    <row r="9" customFormat="false" ht="13.5" hidden="false" customHeight="true" outlineLevel="0" collapsed="false">
      <c r="B9" s="333" t="s">
        <v>443</v>
      </c>
      <c r="C9" s="334" t="n">
        <v>2</v>
      </c>
      <c r="D9" s="335" t="n">
        <v>2</v>
      </c>
      <c r="E9" s="335" t="n">
        <v>1.5</v>
      </c>
      <c r="F9" s="336" t="n">
        <v>1008</v>
      </c>
      <c r="G9" s="337" t="n">
        <v>729</v>
      </c>
      <c r="H9" s="338" t="n">
        <f aca="false">IFERROR(IF(C9, G9/F9, 0),0)</f>
        <v>0.723214285714286</v>
      </c>
      <c r="I9" s="339" t="n">
        <f aca="false">IF(C9&lt;&gt;"",C9,"")</f>
        <v>2</v>
      </c>
      <c r="J9" s="340" t="n">
        <f aca="false">IF(D9&lt;&gt;"",D9,"")</f>
        <v>2</v>
      </c>
      <c r="K9" s="340" t="n">
        <f aca="false">IF(E9&lt;&gt;"",E9,"")</f>
        <v>1.5</v>
      </c>
      <c r="L9" s="341" t="n">
        <f aca="false">IF(F9&lt;&gt;"",F9,"")</f>
        <v>1008</v>
      </c>
      <c r="M9" s="337" t="n">
        <v>703</v>
      </c>
      <c r="N9" s="338" t="n">
        <f aca="false">IFERROR(IF(I9, M9/L9, 0),0)</f>
        <v>0.697420634920635</v>
      </c>
      <c r="O9" s="342" t="n">
        <f aca="false">G9-M9</f>
        <v>26</v>
      </c>
      <c r="P9" s="343" t="n">
        <f aca="false">'Unit Reno Premium Comp'!F5-'Unit Mix &amp; Comparables'!G9</f>
        <v>98</v>
      </c>
      <c r="Q9" s="45"/>
      <c r="R9" s="334" t="n">
        <v>50</v>
      </c>
      <c r="S9" s="335" t="n">
        <v>2</v>
      </c>
      <c r="T9" s="335" t="n">
        <v>1</v>
      </c>
      <c r="U9" s="336" t="n">
        <v>950</v>
      </c>
      <c r="V9" s="337" t="n">
        <v>650</v>
      </c>
      <c r="W9" s="338" t="n">
        <f aca="false">IFERROR(IF(R9, V9/U9, 0),0)</f>
        <v>0.68421052631579</v>
      </c>
      <c r="X9" s="334" t="n">
        <v>25</v>
      </c>
      <c r="Y9" s="335" t="n">
        <v>1</v>
      </c>
      <c r="Z9" s="335" t="n">
        <v>1</v>
      </c>
      <c r="AA9" s="336" t="n">
        <v>570</v>
      </c>
      <c r="AB9" s="337" t="n">
        <v>345</v>
      </c>
      <c r="AC9" s="338" t="n">
        <f aca="false">IFERROR(IF(X9, AB9/AA9, 0),0)</f>
        <v>0.605263157894737</v>
      </c>
      <c r="AD9" s="334" t="n">
        <v>50</v>
      </c>
      <c r="AE9" s="335" t="n">
        <v>1</v>
      </c>
      <c r="AF9" s="335" t="n">
        <v>1</v>
      </c>
      <c r="AG9" s="336" t="n">
        <v>700</v>
      </c>
      <c r="AH9" s="337" t="n">
        <v>430</v>
      </c>
      <c r="AI9" s="338" t="n">
        <f aca="false">IFERROR(IF(AD9, AH9/AG9, 0),0)</f>
        <v>0.614285714285714</v>
      </c>
      <c r="AJ9" s="334" t="n">
        <v>25</v>
      </c>
      <c r="AK9" s="335" t="n">
        <v>0</v>
      </c>
      <c r="AL9" s="335" t="n">
        <v>1</v>
      </c>
      <c r="AM9" s="336" t="n">
        <v>500</v>
      </c>
      <c r="AN9" s="337" t="n">
        <v>375</v>
      </c>
      <c r="AO9" s="338" t="n">
        <f aca="false">IFERROR(IF(AJ9, AN9/AM9, 0),0)</f>
        <v>0.75</v>
      </c>
      <c r="AP9" s="334" t="n">
        <v>25</v>
      </c>
      <c r="AQ9" s="335" t="n">
        <v>1</v>
      </c>
      <c r="AR9" s="335" t="n">
        <v>1</v>
      </c>
      <c r="AS9" s="336" t="n">
        <v>450</v>
      </c>
      <c r="AT9" s="337" t="n">
        <v>395</v>
      </c>
      <c r="AU9" s="338" t="n">
        <f aca="false">IFERROR(IF(AP9, AT9/AS9, 0),0)</f>
        <v>0.877777777777778</v>
      </c>
      <c r="AV9" s="334" t="n">
        <v>25</v>
      </c>
      <c r="AW9" s="335" t="n">
        <v>1</v>
      </c>
      <c r="AX9" s="335" t="n">
        <v>1</v>
      </c>
      <c r="AY9" s="336" t="n">
        <v>671</v>
      </c>
      <c r="AZ9" s="337" t="n">
        <v>776</v>
      </c>
      <c r="BA9" s="338" t="n">
        <f aca="false">IFERROR(IF(AV9, AZ9/AY9, 0),0)</f>
        <v>1.15648286140089</v>
      </c>
      <c r="BB9" s="334"/>
      <c r="BC9" s="335"/>
      <c r="BD9" s="335"/>
      <c r="BE9" s="336"/>
      <c r="BF9" s="337"/>
      <c r="BG9" s="338" t="n">
        <f aca="false">IFERROR(IF(BB9, BF9/BE9, 0),0)</f>
        <v>0</v>
      </c>
    </row>
    <row r="10" customFormat="false" ht="13.5" hidden="false" customHeight="true" outlineLevel="0" collapsed="false">
      <c r="B10" s="333" t="s">
        <v>444</v>
      </c>
      <c r="C10" s="334" t="n">
        <v>15</v>
      </c>
      <c r="D10" s="335" t="n">
        <v>2</v>
      </c>
      <c r="E10" s="335" t="n">
        <v>1.5</v>
      </c>
      <c r="F10" s="336" t="n">
        <v>1008</v>
      </c>
      <c r="G10" s="337" t="n">
        <v>772</v>
      </c>
      <c r="H10" s="338" t="n">
        <f aca="false">IFERROR(IF(C10, G10/F10, 0),0)</f>
        <v>0.765873015873016</v>
      </c>
      <c r="I10" s="339" t="n">
        <f aca="false">IF(C10&lt;&gt;"",C10,"")</f>
        <v>15</v>
      </c>
      <c r="J10" s="340" t="n">
        <f aca="false">IF(D10&lt;&gt;"",D10,"")</f>
        <v>2</v>
      </c>
      <c r="K10" s="340" t="n">
        <f aca="false">IF(E10&lt;&gt;"",E10,"")</f>
        <v>1.5</v>
      </c>
      <c r="L10" s="341" t="n">
        <f aca="false">IF(F10&lt;&gt;"",F10,"")</f>
        <v>1008</v>
      </c>
      <c r="M10" s="337" t="n">
        <v>772</v>
      </c>
      <c r="N10" s="338" t="n">
        <f aca="false">IFERROR(IF(I10, M10/L10, 0),0)</f>
        <v>0.765873015873016</v>
      </c>
      <c r="O10" s="342" t="n">
        <f aca="false">G10-M10</f>
        <v>0</v>
      </c>
      <c r="P10" s="343" t="n">
        <f aca="false">'Unit Reno Premium Comp'!F6-'Unit Mix &amp; Comparables'!G10</f>
        <v>55</v>
      </c>
      <c r="Q10" s="45"/>
      <c r="R10" s="334" t="n">
        <v>50</v>
      </c>
      <c r="S10" s="335" t="n">
        <v>2</v>
      </c>
      <c r="T10" s="335" t="n">
        <v>1</v>
      </c>
      <c r="U10" s="336" t="n">
        <v>95</v>
      </c>
      <c r="V10" s="337" t="n">
        <v>690</v>
      </c>
      <c r="W10" s="338" t="n">
        <f aca="false">IFERROR(IF(R10, V10/U10, 0),0)</f>
        <v>7.26315789473684</v>
      </c>
      <c r="X10" s="334" t="n">
        <v>25</v>
      </c>
      <c r="Y10" s="335" t="n">
        <v>1</v>
      </c>
      <c r="Z10" s="335" t="n">
        <v>1</v>
      </c>
      <c r="AA10" s="336" t="n">
        <v>620</v>
      </c>
      <c r="AB10" s="337" t="n">
        <v>380</v>
      </c>
      <c r="AC10" s="338" t="n">
        <f aca="false">IFERROR(IF(X10, AB10/AA10, 0),0)</f>
        <v>0.612903225806452</v>
      </c>
      <c r="AD10" s="334" t="n">
        <v>50</v>
      </c>
      <c r="AE10" s="335" t="n">
        <v>2</v>
      </c>
      <c r="AF10" s="335" t="n">
        <v>1</v>
      </c>
      <c r="AG10" s="336" t="n">
        <v>950</v>
      </c>
      <c r="AH10" s="337" t="n">
        <v>530</v>
      </c>
      <c r="AI10" s="338" t="n">
        <f aca="false">IFERROR(IF(AD10, AH10/AG10, 0),0)</f>
        <v>0.557894736842105</v>
      </c>
      <c r="AJ10" s="334" t="n">
        <v>25</v>
      </c>
      <c r="AK10" s="335" t="n">
        <v>1</v>
      </c>
      <c r="AL10" s="335" t="n">
        <v>1</v>
      </c>
      <c r="AM10" s="336" t="n">
        <v>583</v>
      </c>
      <c r="AN10" s="337" t="n">
        <v>404</v>
      </c>
      <c r="AO10" s="338" t="n">
        <f aca="false">IFERROR(IF(AJ10, AN10/AM10, 0),0)</f>
        <v>0.692967409948542</v>
      </c>
      <c r="AP10" s="334" t="n">
        <v>25</v>
      </c>
      <c r="AQ10" s="335" t="n">
        <v>2</v>
      </c>
      <c r="AR10" s="335" t="n">
        <v>1</v>
      </c>
      <c r="AS10" s="336" t="n">
        <v>720</v>
      </c>
      <c r="AT10" s="337" t="n">
        <v>495</v>
      </c>
      <c r="AU10" s="338" t="n">
        <f aca="false">IFERROR(IF(AP10, AT10/AS10, 0),0)</f>
        <v>0.6875</v>
      </c>
      <c r="AV10" s="334" t="n">
        <v>25</v>
      </c>
      <c r="AW10" s="335" t="n">
        <v>1</v>
      </c>
      <c r="AX10" s="335" t="n">
        <v>1</v>
      </c>
      <c r="AY10" s="336" t="n">
        <v>772</v>
      </c>
      <c r="AZ10" s="337" t="n">
        <v>836</v>
      </c>
      <c r="BA10" s="338" t="n">
        <f aca="false">IFERROR(IF(AV10, AZ10/AY10, 0),0)</f>
        <v>1.08290155440415</v>
      </c>
      <c r="BB10" s="334"/>
      <c r="BC10" s="335"/>
      <c r="BD10" s="335"/>
      <c r="BE10" s="336"/>
      <c r="BF10" s="337"/>
      <c r="BG10" s="338" t="n">
        <f aca="false">IFERROR(IF(BB10, BF10/BE10, 0),0)</f>
        <v>0</v>
      </c>
    </row>
    <row r="11" customFormat="false" ht="13.5" hidden="false" customHeight="true" outlineLevel="0" collapsed="false">
      <c r="B11" s="333" t="s">
        <v>445</v>
      </c>
      <c r="C11" s="334" t="n">
        <v>63</v>
      </c>
      <c r="D11" s="335" t="n">
        <v>2</v>
      </c>
      <c r="E11" s="335" t="n">
        <v>1.5</v>
      </c>
      <c r="F11" s="336" t="n">
        <v>1008</v>
      </c>
      <c r="G11" s="337" t="n">
        <v>780</v>
      </c>
      <c r="H11" s="338" t="n">
        <f aca="false">IFERROR(IF(C11, G11/F11, 0),0)</f>
        <v>0.773809523809524</v>
      </c>
      <c r="I11" s="339" t="n">
        <f aca="false">IF(C11&lt;&gt;"",C11,"")</f>
        <v>63</v>
      </c>
      <c r="J11" s="340" t="n">
        <f aca="false">IF(D11&lt;&gt;"",D11,"")</f>
        <v>2</v>
      </c>
      <c r="K11" s="340" t="n">
        <f aca="false">IF(E11&lt;&gt;"",E11,"")</f>
        <v>1.5</v>
      </c>
      <c r="L11" s="341" t="n">
        <f aca="false">IF(F11&lt;&gt;"",F11,"")</f>
        <v>1008</v>
      </c>
      <c r="M11" s="337" t="n">
        <v>778</v>
      </c>
      <c r="N11" s="338" t="n">
        <f aca="false">IFERROR(IF(I11, M11/L11, 0),0)</f>
        <v>0.771825396825397</v>
      </c>
      <c r="O11" s="342" t="n">
        <f aca="false">G11-M11</f>
        <v>2</v>
      </c>
      <c r="P11" s="343" t="n">
        <v>0</v>
      </c>
      <c r="Q11" s="45"/>
      <c r="R11" s="334"/>
      <c r="S11" s="335"/>
      <c r="T11" s="335"/>
      <c r="U11" s="336"/>
      <c r="V11" s="337"/>
      <c r="W11" s="338" t="n">
        <f aca="false">IFERROR(IF(R11, V11/U11, 0),0)</f>
        <v>0</v>
      </c>
      <c r="X11" s="334" t="n">
        <v>25</v>
      </c>
      <c r="Y11" s="335" t="n">
        <v>1</v>
      </c>
      <c r="Z11" s="335" t="n">
        <v>1</v>
      </c>
      <c r="AA11" s="336" t="n">
        <v>640</v>
      </c>
      <c r="AB11" s="337" t="n">
        <v>390</v>
      </c>
      <c r="AC11" s="338" t="n">
        <f aca="false">IFERROR(IF(X11, AB11/AA11, 0),0)</f>
        <v>0.609375</v>
      </c>
      <c r="AD11" s="334"/>
      <c r="AE11" s="335"/>
      <c r="AF11" s="335"/>
      <c r="AG11" s="336"/>
      <c r="AH11" s="337"/>
      <c r="AI11" s="338" t="n">
        <f aca="false">IFERROR(IF(AD11, AH11/AG11, 0),0)</f>
        <v>0</v>
      </c>
      <c r="AJ11" s="334" t="n">
        <v>25</v>
      </c>
      <c r="AK11" s="335" t="n">
        <v>2</v>
      </c>
      <c r="AL11" s="335" t="n">
        <v>1</v>
      </c>
      <c r="AM11" s="336" t="n">
        <v>750</v>
      </c>
      <c r="AN11" s="337" t="n">
        <v>457</v>
      </c>
      <c r="AO11" s="338" t="n">
        <f aca="false">IFERROR(IF(AJ11, AN11/AM11, 0),0)</f>
        <v>0.609333333333333</v>
      </c>
      <c r="AP11" s="334" t="n">
        <v>25</v>
      </c>
      <c r="AQ11" s="335" t="n">
        <v>2</v>
      </c>
      <c r="AR11" s="335" t="n">
        <v>1</v>
      </c>
      <c r="AS11" s="336" t="n">
        <v>828</v>
      </c>
      <c r="AT11" s="337" t="n">
        <v>525</v>
      </c>
      <c r="AU11" s="338" t="n">
        <f aca="false">IFERROR(IF(AP11, AT11/AS11, 0),0)</f>
        <v>0.634057971014493</v>
      </c>
      <c r="AV11" s="334" t="n">
        <v>25</v>
      </c>
      <c r="AW11" s="335" t="n">
        <v>1</v>
      </c>
      <c r="AX11" s="335" t="n">
        <v>1</v>
      </c>
      <c r="AY11" s="336" t="n">
        <v>907</v>
      </c>
      <c r="AZ11" s="337" t="n">
        <v>886</v>
      </c>
      <c r="BA11" s="338" t="n">
        <f aca="false">IFERROR(IF(AV11, AZ11/AY11, 0),0)</f>
        <v>0.976846747519294</v>
      </c>
      <c r="BB11" s="334"/>
      <c r="BC11" s="335"/>
      <c r="BD11" s="335"/>
      <c r="BE11" s="336"/>
      <c r="BF11" s="337"/>
      <c r="BG11" s="338" t="n">
        <f aca="false">IFERROR(IF(BB11, BF11/BE11, 0),0)</f>
        <v>0</v>
      </c>
    </row>
    <row r="12" customFormat="false" ht="13.5" hidden="false" customHeight="true" outlineLevel="0" collapsed="false">
      <c r="B12" s="333"/>
      <c r="C12" s="334"/>
      <c r="D12" s="335"/>
      <c r="E12" s="335"/>
      <c r="F12" s="336"/>
      <c r="G12" s="337"/>
      <c r="H12" s="338" t="n">
        <f aca="false">IFERROR(IF(C12, G12/F12, 0),0)</f>
        <v>0</v>
      </c>
      <c r="I12" s="339" t="str">
        <f aca="false">IF(C12&lt;&gt;"",C12,"")</f>
        <v/>
      </c>
      <c r="J12" s="340" t="str">
        <f aca="false">IF(D12&lt;&gt;"",D12,"")</f>
        <v/>
      </c>
      <c r="K12" s="340" t="str">
        <f aca="false">IF(E12&lt;&gt;"",E12,"")</f>
        <v/>
      </c>
      <c r="L12" s="341" t="str">
        <f aca="false">IF(F12&lt;&gt;"",F12,"")</f>
        <v/>
      </c>
      <c r="M12" s="337"/>
      <c r="N12" s="338" t="n">
        <f aca="false">IFERROR(IF(I12, M12/L12, 0),0)</f>
        <v>0</v>
      </c>
      <c r="O12" s="342" t="n">
        <f aca="false">G12-M12</f>
        <v>0</v>
      </c>
      <c r="P12" s="343" t="n">
        <v>0</v>
      </c>
      <c r="Q12" s="45"/>
      <c r="R12" s="334"/>
      <c r="S12" s="335"/>
      <c r="T12" s="335"/>
      <c r="U12" s="336"/>
      <c r="V12" s="337"/>
      <c r="W12" s="338" t="n">
        <f aca="false">IFERROR(IF(R12, V12/U12, 0),0)</f>
        <v>0</v>
      </c>
      <c r="X12" s="334" t="n">
        <v>25</v>
      </c>
      <c r="Y12" s="335" t="n">
        <v>2</v>
      </c>
      <c r="Z12" s="335" t="n">
        <v>1</v>
      </c>
      <c r="AA12" s="336" t="n">
        <v>680</v>
      </c>
      <c r="AB12" s="337" t="n">
        <v>400</v>
      </c>
      <c r="AC12" s="338" t="n">
        <f aca="false">IFERROR(IF(X12, AB12/AA12, 0),0)</f>
        <v>0.588235294117647</v>
      </c>
      <c r="AD12" s="334"/>
      <c r="AE12" s="335"/>
      <c r="AF12" s="335"/>
      <c r="AG12" s="336"/>
      <c r="AH12" s="337"/>
      <c r="AI12" s="338" t="n">
        <f aca="false">IFERROR(IF(AD12, AH12/AG12, 0),0)</f>
        <v>0</v>
      </c>
      <c r="AJ12" s="334" t="n">
        <v>25</v>
      </c>
      <c r="AK12" s="335" t="n">
        <v>3</v>
      </c>
      <c r="AL12" s="335" t="n">
        <v>1</v>
      </c>
      <c r="AM12" s="336" t="n">
        <v>878</v>
      </c>
      <c r="AN12" s="337" t="n">
        <v>565</v>
      </c>
      <c r="AO12" s="338" t="n">
        <f aca="false">IFERROR(IF(AJ12, AN12/AM12, 0),0)</f>
        <v>0.643507972665148</v>
      </c>
      <c r="AP12" s="334"/>
      <c r="AQ12" s="335"/>
      <c r="AR12" s="335"/>
      <c r="AS12" s="336"/>
      <c r="AT12" s="337"/>
      <c r="AU12" s="338" t="n">
        <f aca="false">IFERROR(IF(AP12, AT12/AS12, 0),0)</f>
        <v>0</v>
      </c>
      <c r="AV12" s="334" t="n">
        <v>25</v>
      </c>
      <c r="AW12" s="335" t="n">
        <v>2</v>
      </c>
      <c r="AX12" s="335" t="n">
        <v>2</v>
      </c>
      <c r="AY12" s="336" t="n">
        <v>1197</v>
      </c>
      <c r="AZ12" s="337" t="n">
        <v>946</v>
      </c>
      <c r="BA12" s="338" t="n">
        <f aca="false">IFERROR(IF(AV12, AZ12/AY12, 0),0)</f>
        <v>0.79030910609858</v>
      </c>
      <c r="BB12" s="334"/>
      <c r="BC12" s="335"/>
      <c r="BD12" s="335"/>
      <c r="BE12" s="336"/>
      <c r="BF12" s="337"/>
      <c r="BG12" s="338" t="n">
        <f aca="false">IFERROR(IF(BB12, BF12/BE12, 0),0)</f>
        <v>0</v>
      </c>
    </row>
    <row r="13" customFormat="false" ht="13.5" hidden="false" customHeight="true" outlineLevel="0" collapsed="false">
      <c r="B13" s="333"/>
      <c r="C13" s="334"/>
      <c r="D13" s="335"/>
      <c r="E13" s="335"/>
      <c r="F13" s="336"/>
      <c r="G13" s="337"/>
      <c r="H13" s="338" t="n">
        <f aca="false">IFERROR(IF(C13, G13/F13, 0),0)</f>
        <v>0</v>
      </c>
      <c r="I13" s="339" t="str">
        <f aca="false">IF(C13&lt;&gt;"",C13,"")</f>
        <v/>
      </c>
      <c r="J13" s="340" t="str">
        <f aca="false">IF(D13&lt;&gt;"",D13,"")</f>
        <v/>
      </c>
      <c r="K13" s="340" t="str">
        <f aca="false">IF(E13&lt;&gt;"",E13,"")</f>
        <v/>
      </c>
      <c r="L13" s="341" t="str">
        <f aca="false">IF(F13&lt;&gt;"",F13,"")</f>
        <v/>
      </c>
      <c r="M13" s="337"/>
      <c r="N13" s="338" t="n">
        <f aca="false">IFERROR(IF(I13, M13/L13, 0),0)</f>
        <v>0</v>
      </c>
      <c r="O13" s="342" t="n">
        <f aca="false">G13-M13</f>
        <v>0</v>
      </c>
      <c r="P13" s="343" t="n">
        <f aca="false">'Unit Reno Premium Comp'!F9-'Unit Mix &amp; Comparables'!G13</f>
        <v>0</v>
      </c>
      <c r="Q13" s="45"/>
      <c r="R13" s="334"/>
      <c r="S13" s="335"/>
      <c r="T13" s="335"/>
      <c r="U13" s="336"/>
      <c r="V13" s="337"/>
      <c r="W13" s="338" t="n">
        <f aca="false">IFERROR(IF(R13, V13/U13, 0),0)</f>
        <v>0</v>
      </c>
      <c r="X13" s="334" t="n">
        <v>25</v>
      </c>
      <c r="Y13" s="335" t="n">
        <v>2</v>
      </c>
      <c r="Z13" s="335" t="n">
        <v>1</v>
      </c>
      <c r="AA13" s="336" t="n">
        <v>740</v>
      </c>
      <c r="AB13" s="337" t="n">
        <v>425</v>
      </c>
      <c r="AC13" s="338" t="n">
        <f aca="false">IFERROR(IF(X13, AB13/AA13, 0),0)</f>
        <v>0.574324324324324</v>
      </c>
      <c r="AD13" s="334"/>
      <c r="AE13" s="335"/>
      <c r="AF13" s="335"/>
      <c r="AG13" s="336"/>
      <c r="AH13" s="337"/>
      <c r="AI13" s="338" t="n">
        <f aca="false">IFERROR(IF(AD13, AH13/AG13, 0),0)</f>
        <v>0</v>
      </c>
      <c r="AJ13" s="334" t="n">
        <v>25</v>
      </c>
      <c r="AK13" s="335" t="n">
        <v>4</v>
      </c>
      <c r="AL13" s="335" t="n">
        <v>2</v>
      </c>
      <c r="AM13" s="336" t="n">
        <v>1560</v>
      </c>
      <c r="AN13" s="337" t="n">
        <v>750</v>
      </c>
      <c r="AO13" s="338" t="n">
        <f aca="false">IFERROR(IF(AJ13, AN13/AM13, 0),0)</f>
        <v>0.480769230769231</v>
      </c>
      <c r="AP13" s="334"/>
      <c r="AQ13" s="335"/>
      <c r="AR13" s="335"/>
      <c r="AS13" s="336"/>
      <c r="AT13" s="337"/>
      <c r="AU13" s="338" t="n">
        <f aca="false">IFERROR(IF(AP13, AT13/AS13, 0),0)</f>
        <v>0</v>
      </c>
      <c r="AV13" s="334" t="n">
        <v>25</v>
      </c>
      <c r="AW13" s="335" t="n">
        <v>2</v>
      </c>
      <c r="AX13" s="335" t="n">
        <v>2</v>
      </c>
      <c r="AY13" s="336" t="n">
        <v>1208</v>
      </c>
      <c r="AZ13" s="337" t="n">
        <v>996</v>
      </c>
      <c r="BA13" s="338" t="n">
        <f aca="false">IFERROR(IF(AV13, AZ13/AY13, 0),0)</f>
        <v>0.824503311258278</v>
      </c>
      <c r="BB13" s="334"/>
      <c r="BC13" s="335"/>
      <c r="BD13" s="335"/>
      <c r="BE13" s="336"/>
      <c r="BF13" s="337"/>
      <c r="BG13" s="338" t="n">
        <f aca="false">IFERROR(IF(BB13, BF13/BE13, 0),0)</f>
        <v>0</v>
      </c>
    </row>
    <row r="14" customFormat="false" ht="13.5" hidden="false" customHeight="true" outlineLevel="0" collapsed="false">
      <c r="B14" s="333"/>
      <c r="C14" s="334"/>
      <c r="D14" s="335"/>
      <c r="E14" s="335"/>
      <c r="F14" s="336"/>
      <c r="G14" s="337"/>
      <c r="H14" s="338" t="n">
        <f aca="false">IFERROR(IF(C14, G14/F14, 0),0)</f>
        <v>0</v>
      </c>
      <c r="I14" s="339" t="str">
        <f aca="false">IF(C14&lt;&gt;"",C14,"")</f>
        <v/>
      </c>
      <c r="J14" s="340" t="str">
        <f aca="false">IF(D14&lt;&gt;"",D14,"")</f>
        <v/>
      </c>
      <c r="K14" s="340" t="str">
        <f aca="false">IF(E14&lt;&gt;"",E14,"")</f>
        <v/>
      </c>
      <c r="L14" s="341" t="str">
        <f aca="false">IF(F14&lt;&gt;"",F14,"")</f>
        <v/>
      </c>
      <c r="M14" s="337"/>
      <c r="N14" s="338" t="n">
        <f aca="false">IFERROR(IF(I14, M14/L14, 0),0)</f>
        <v>0</v>
      </c>
      <c r="O14" s="342" t="n">
        <f aca="false">G14-M14</f>
        <v>0</v>
      </c>
      <c r="P14" s="343" t="n">
        <f aca="false">'Unit Reno Premium Comp'!F10-'Unit Mix &amp; Comparables'!G14</f>
        <v>0</v>
      </c>
      <c r="Q14" s="45"/>
      <c r="R14" s="334"/>
      <c r="S14" s="335"/>
      <c r="T14" s="335"/>
      <c r="U14" s="336"/>
      <c r="V14" s="337"/>
      <c r="W14" s="338" t="n">
        <f aca="false">IFERROR(IF(R14, V14/U14, 0),0)</f>
        <v>0</v>
      </c>
      <c r="X14" s="334" t="n">
        <v>25</v>
      </c>
      <c r="Y14" s="335" t="n">
        <v>2</v>
      </c>
      <c r="Z14" s="335" t="n">
        <v>1</v>
      </c>
      <c r="AA14" s="336" t="n">
        <v>750</v>
      </c>
      <c r="AB14" s="337" t="n">
        <v>430</v>
      </c>
      <c r="AC14" s="338" t="n">
        <f aca="false">IFERROR(IF(X14, AB14/AA14, 0),0)</f>
        <v>0.573333333333333</v>
      </c>
      <c r="AD14" s="334"/>
      <c r="AE14" s="335"/>
      <c r="AF14" s="335"/>
      <c r="AG14" s="336"/>
      <c r="AH14" s="337"/>
      <c r="AI14" s="338" t="n">
        <f aca="false">IFERROR(IF(AD14, AH14/AG14, 0),0)</f>
        <v>0</v>
      </c>
      <c r="AJ14" s="334"/>
      <c r="AK14" s="335"/>
      <c r="AL14" s="335"/>
      <c r="AM14" s="336"/>
      <c r="AN14" s="337"/>
      <c r="AO14" s="338" t="n">
        <f aca="false">IFERROR(IF(AJ14, AN14/AM14, 0),0)</f>
        <v>0</v>
      </c>
      <c r="AP14" s="334"/>
      <c r="AQ14" s="335"/>
      <c r="AR14" s="335"/>
      <c r="AS14" s="336"/>
      <c r="AT14" s="337"/>
      <c r="AU14" s="338" t="n">
        <f aca="false">IFERROR(IF(AP14, AT14/AS14, 0),0)</f>
        <v>0</v>
      </c>
      <c r="AV14" s="334" t="n">
        <v>25</v>
      </c>
      <c r="AW14" s="335" t="n">
        <v>3</v>
      </c>
      <c r="AX14" s="335" t="n">
        <v>2</v>
      </c>
      <c r="AY14" s="336" t="n">
        <v>1414</v>
      </c>
      <c r="AZ14" s="337" t="n">
        <v>1206</v>
      </c>
      <c r="BA14" s="338" t="n">
        <f aca="false">IFERROR(IF(AV14, AZ14/AY14, 0),0)</f>
        <v>0.852899575671853</v>
      </c>
      <c r="BB14" s="334"/>
      <c r="BC14" s="335"/>
      <c r="BD14" s="335"/>
      <c r="BE14" s="336"/>
      <c r="BF14" s="337"/>
      <c r="BG14" s="338" t="n">
        <f aca="false">IFERROR(IF(BB14, BF14/BE14, 0),0)</f>
        <v>0</v>
      </c>
    </row>
    <row r="15" customFormat="false" ht="13.5" hidden="false" customHeight="true" outlineLevel="0" collapsed="false">
      <c r="B15" s="333"/>
      <c r="C15" s="334"/>
      <c r="D15" s="335"/>
      <c r="E15" s="335"/>
      <c r="F15" s="336"/>
      <c r="G15" s="337"/>
      <c r="H15" s="338" t="n">
        <f aca="false">IFERROR(IF(C15, G15/F15, 0),0)</f>
        <v>0</v>
      </c>
      <c r="I15" s="339" t="str">
        <f aca="false">IF(C15&lt;&gt;"",C15,"")</f>
        <v/>
      </c>
      <c r="J15" s="340" t="str">
        <f aca="false">IF(D15&lt;&gt;"",D15,"")</f>
        <v/>
      </c>
      <c r="K15" s="340" t="str">
        <f aca="false">IF(E15&lt;&gt;"",E15,"")</f>
        <v/>
      </c>
      <c r="L15" s="341" t="str">
        <f aca="false">IF(F15&lt;&gt;"",F15,"")</f>
        <v/>
      </c>
      <c r="M15" s="337"/>
      <c r="N15" s="338" t="n">
        <f aca="false">IFERROR(IF(I15, M15/L15, 0),0)</f>
        <v>0</v>
      </c>
      <c r="O15" s="342" t="n">
        <f aca="false">G15-M15</f>
        <v>0</v>
      </c>
      <c r="P15" s="343" t="n">
        <f aca="false">'Unit Reno Premium Comp'!F11-'Unit Mix &amp; Comparables'!G15</f>
        <v>0</v>
      </c>
      <c r="Q15" s="45"/>
      <c r="R15" s="334"/>
      <c r="S15" s="335"/>
      <c r="T15" s="335"/>
      <c r="U15" s="336"/>
      <c r="V15" s="337"/>
      <c r="W15" s="338" t="n">
        <f aca="false">IFERROR(IF(R15, V15/U15, 0),0)</f>
        <v>0</v>
      </c>
      <c r="X15" s="334" t="n">
        <v>25</v>
      </c>
      <c r="Y15" s="335" t="n">
        <v>2</v>
      </c>
      <c r="Z15" s="335" t="n">
        <v>1</v>
      </c>
      <c r="AA15" s="336" t="n">
        <v>860</v>
      </c>
      <c r="AB15" s="337" t="n">
        <v>435</v>
      </c>
      <c r="AC15" s="338" t="n">
        <f aca="false">IFERROR(IF(X15, AB15/AA15, 0),0)</f>
        <v>0.505813953488372</v>
      </c>
      <c r="AD15" s="334"/>
      <c r="AE15" s="335"/>
      <c r="AF15" s="335"/>
      <c r="AG15" s="336"/>
      <c r="AH15" s="337"/>
      <c r="AI15" s="338" t="n">
        <f aca="false">IFERROR(IF(AD15, AH15/AG15, 0),0)</f>
        <v>0</v>
      </c>
      <c r="AJ15" s="334"/>
      <c r="AK15" s="335"/>
      <c r="AL15" s="335"/>
      <c r="AM15" s="336"/>
      <c r="AN15" s="337"/>
      <c r="AO15" s="338" t="n">
        <f aca="false">IFERROR(IF(AJ15, AN15/AM15, 0),0)</f>
        <v>0</v>
      </c>
      <c r="AP15" s="334"/>
      <c r="AQ15" s="335"/>
      <c r="AR15" s="335"/>
      <c r="AS15" s="336"/>
      <c r="AT15" s="337"/>
      <c r="AU15" s="338" t="n">
        <f aca="false">IFERROR(IF(AP15, AT15/AS15, 0),0)</f>
        <v>0</v>
      </c>
      <c r="AV15" s="334"/>
      <c r="AW15" s="335"/>
      <c r="AX15" s="335"/>
      <c r="AY15" s="336"/>
      <c r="AZ15" s="337"/>
      <c r="BA15" s="338" t="n">
        <f aca="false">IFERROR(IF(AV15, AZ15/AY15, 0),0)</f>
        <v>0</v>
      </c>
      <c r="BB15" s="334"/>
      <c r="BC15" s="335"/>
      <c r="BD15" s="335"/>
      <c r="BE15" s="336"/>
      <c r="BF15" s="337"/>
      <c r="BG15" s="338" t="n">
        <f aca="false">IFERROR(IF(BB15, BF15/BE15, 0),0)</f>
        <v>0</v>
      </c>
    </row>
    <row r="16" customFormat="false" ht="13.5" hidden="false" customHeight="true" outlineLevel="0" collapsed="false">
      <c r="B16" s="333"/>
      <c r="C16" s="334"/>
      <c r="D16" s="335"/>
      <c r="E16" s="335"/>
      <c r="F16" s="336"/>
      <c r="G16" s="337"/>
      <c r="H16" s="338" t="n">
        <f aca="false">IFERROR(IF(C16, G16/F16, 0),0)</f>
        <v>0</v>
      </c>
      <c r="I16" s="339" t="str">
        <f aca="false">IF(C16&lt;&gt;"",C16,"")</f>
        <v/>
      </c>
      <c r="J16" s="340" t="str">
        <f aca="false">IF(D16&lt;&gt;"",D16,"")</f>
        <v/>
      </c>
      <c r="K16" s="340" t="str">
        <f aca="false">IF(E16&lt;&gt;"",E16,"")</f>
        <v/>
      </c>
      <c r="L16" s="341" t="str">
        <f aca="false">IF(F16&lt;&gt;"",F16,"")</f>
        <v/>
      </c>
      <c r="M16" s="337"/>
      <c r="N16" s="338" t="n">
        <f aca="false">IFERROR(IF(I16, M16/L16, 0),0)</f>
        <v>0</v>
      </c>
      <c r="O16" s="342" t="n">
        <f aca="false">G16-M16</f>
        <v>0</v>
      </c>
      <c r="P16" s="343" t="n">
        <f aca="false">'Unit Reno Premium Comp'!F12-'Unit Mix &amp; Comparables'!G16</f>
        <v>0</v>
      </c>
      <c r="Q16" s="45"/>
      <c r="R16" s="334"/>
      <c r="S16" s="335"/>
      <c r="T16" s="335"/>
      <c r="U16" s="336"/>
      <c r="V16" s="337"/>
      <c r="W16" s="338" t="n">
        <f aca="false">IFERROR(IF(R16, V16/U16, 0),0)</f>
        <v>0</v>
      </c>
      <c r="X16" s="334" t="n">
        <v>25</v>
      </c>
      <c r="Y16" s="335" t="n">
        <v>3</v>
      </c>
      <c r="Z16" s="335" t="n">
        <v>1</v>
      </c>
      <c r="AA16" s="336" t="n">
        <v>875</v>
      </c>
      <c r="AB16" s="337" t="n">
        <v>460</v>
      </c>
      <c r="AC16" s="338" t="n">
        <f aca="false">IFERROR(IF(X16, AB16/AA16, 0),0)</f>
        <v>0.525714285714286</v>
      </c>
      <c r="AD16" s="334"/>
      <c r="AE16" s="335"/>
      <c r="AF16" s="335"/>
      <c r="AG16" s="336"/>
      <c r="AH16" s="337"/>
      <c r="AI16" s="338" t="n">
        <f aca="false">IFERROR(IF(AD16, AH16/AG16, 0),0)</f>
        <v>0</v>
      </c>
      <c r="AJ16" s="334"/>
      <c r="AK16" s="335"/>
      <c r="AL16" s="335"/>
      <c r="AM16" s="336"/>
      <c r="AN16" s="337"/>
      <c r="AO16" s="338" t="n">
        <f aca="false">IFERROR(IF(AJ16, AN16/AM16, 0),0)</f>
        <v>0</v>
      </c>
      <c r="AP16" s="334"/>
      <c r="AQ16" s="335"/>
      <c r="AR16" s="335"/>
      <c r="AS16" s="336"/>
      <c r="AT16" s="337"/>
      <c r="AU16" s="338" t="n">
        <f aca="false">IFERROR(IF(AP16, AT16/AS16, 0),0)</f>
        <v>0</v>
      </c>
      <c r="AV16" s="334"/>
      <c r="AW16" s="335"/>
      <c r="AX16" s="335"/>
      <c r="AY16" s="336"/>
      <c r="AZ16" s="337"/>
      <c r="BA16" s="338" t="n">
        <f aca="false">IFERROR(IF(AV16, AZ16/AY16, 0),0)</f>
        <v>0</v>
      </c>
      <c r="BB16" s="334"/>
      <c r="BC16" s="335"/>
      <c r="BD16" s="335"/>
      <c r="BE16" s="336"/>
      <c r="BF16" s="337"/>
      <c r="BG16" s="338" t="n">
        <f aca="false">IFERROR(IF(BB16, BF16/BE16, 0),0)</f>
        <v>0</v>
      </c>
    </row>
    <row r="17" customFormat="false" ht="13.5" hidden="false" customHeight="true" outlineLevel="0" collapsed="false">
      <c r="B17" s="333"/>
      <c r="C17" s="334"/>
      <c r="D17" s="335"/>
      <c r="E17" s="335"/>
      <c r="F17" s="336"/>
      <c r="G17" s="337"/>
      <c r="H17" s="338" t="n">
        <f aca="false">IFERROR(IF(C17, G17/F17, 0),0)</f>
        <v>0</v>
      </c>
      <c r="I17" s="339" t="str">
        <f aca="false">IF(C17&lt;&gt;"",C17,"")</f>
        <v/>
      </c>
      <c r="J17" s="340" t="str">
        <f aca="false">IF(D17&lt;&gt;"",D17,"")</f>
        <v/>
      </c>
      <c r="K17" s="340" t="str">
        <f aca="false">IF(E17&lt;&gt;"",E17,"")</f>
        <v/>
      </c>
      <c r="L17" s="341" t="str">
        <f aca="false">IF(F17&lt;&gt;"",F17,"")</f>
        <v/>
      </c>
      <c r="M17" s="337"/>
      <c r="N17" s="338" t="n">
        <f aca="false">IFERROR(IF(I17, M17/L17, 0),0)</f>
        <v>0</v>
      </c>
      <c r="O17" s="342" t="n">
        <f aca="false">G17-M17</f>
        <v>0</v>
      </c>
      <c r="P17" s="343" t="n">
        <f aca="false">'Unit Reno Premium Comp'!F13-'Unit Mix &amp; Comparables'!G17</f>
        <v>0</v>
      </c>
      <c r="Q17" s="45"/>
      <c r="R17" s="334"/>
      <c r="S17" s="335"/>
      <c r="T17" s="335"/>
      <c r="U17" s="336"/>
      <c r="V17" s="337"/>
      <c r="W17" s="338" t="n">
        <f aca="false">IFERROR(IF(R17, V17/U17, 0),0)</f>
        <v>0</v>
      </c>
      <c r="X17" s="334"/>
      <c r="Y17" s="335"/>
      <c r="Z17" s="335"/>
      <c r="AA17" s="336"/>
      <c r="AB17" s="337"/>
      <c r="AC17" s="338" t="n">
        <f aca="false">IFERROR(IF(X17, AB17/AA17, 0),0)</f>
        <v>0</v>
      </c>
      <c r="AD17" s="334"/>
      <c r="AE17" s="335"/>
      <c r="AF17" s="335"/>
      <c r="AG17" s="336"/>
      <c r="AH17" s="337"/>
      <c r="AI17" s="338" t="n">
        <f aca="false">IFERROR(IF(AD17, AH17/AG17, 0),0)</f>
        <v>0</v>
      </c>
      <c r="AJ17" s="334"/>
      <c r="AK17" s="335"/>
      <c r="AL17" s="335"/>
      <c r="AM17" s="336"/>
      <c r="AN17" s="337"/>
      <c r="AO17" s="338" t="n">
        <f aca="false">IFERROR(IF(AJ17, AN17/AM17, 0),0)</f>
        <v>0</v>
      </c>
      <c r="AP17" s="334"/>
      <c r="AQ17" s="335"/>
      <c r="AR17" s="335"/>
      <c r="AS17" s="336"/>
      <c r="AT17" s="337"/>
      <c r="AU17" s="338" t="n">
        <f aca="false">IFERROR(IF(AP17, AT17/AS17, 0),0)</f>
        <v>0</v>
      </c>
      <c r="AV17" s="334"/>
      <c r="AW17" s="335"/>
      <c r="AX17" s="335"/>
      <c r="AY17" s="336"/>
      <c r="AZ17" s="337"/>
      <c r="BA17" s="338" t="n">
        <f aca="false">IFERROR(IF(AV17, AZ17/AY17, 0),0)</f>
        <v>0</v>
      </c>
      <c r="BB17" s="334"/>
      <c r="BC17" s="335"/>
      <c r="BD17" s="335"/>
      <c r="BE17" s="336"/>
      <c r="BF17" s="337"/>
      <c r="BG17" s="338" t="n">
        <f aca="false">IFERROR(IF(BB17, BF17/BE17, 0),0)</f>
        <v>0</v>
      </c>
    </row>
    <row r="18" customFormat="false" ht="13.5" hidden="false" customHeight="true" outlineLevel="0" collapsed="false">
      <c r="B18" s="333"/>
      <c r="C18" s="334"/>
      <c r="D18" s="335"/>
      <c r="E18" s="335"/>
      <c r="F18" s="336"/>
      <c r="G18" s="337"/>
      <c r="H18" s="338" t="n">
        <f aca="false">IFERROR(IF(C18, G18/F18, 0),0)</f>
        <v>0</v>
      </c>
      <c r="I18" s="339" t="str">
        <f aca="false">IF(C18&lt;&gt;"",C18,"")</f>
        <v/>
      </c>
      <c r="J18" s="340" t="str">
        <f aca="false">IF(D18&lt;&gt;"",D18,"")</f>
        <v/>
      </c>
      <c r="K18" s="340" t="str">
        <f aca="false">IF(E18&lt;&gt;"",E18,"")</f>
        <v/>
      </c>
      <c r="L18" s="341" t="str">
        <f aca="false">IF(F18&lt;&gt;"",F18,"")</f>
        <v/>
      </c>
      <c r="M18" s="337"/>
      <c r="N18" s="338" t="n">
        <f aca="false">IFERROR(IF(I18, M18/L18, 0),0)</f>
        <v>0</v>
      </c>
      <c r="O18" s="342" t="n">
        <f aca="false">G18-M18</f>
        <v>0</v>
      </c>
      <c r="P18" s="343" t="n">
        <f aca="false">'Unit Reno Premium Comp'!F14-'Unit Mix &amp; Comparables'!G18</f>
        <v>0</v>
      </c>
      <c r="Q18" s="45"/>
      <c r="R18" s="334"/>
      <c r="S18" s="335"/>
      <c r="T18" s="335"/>
      <c r="U18" s="336"/>
      <c r="V18" s="337"/>
      <c r="W18" s="338" t="n">
        <f aca="false">IFERROR(IF(R18, V18/U18, 0),0)</f>
        <v>0</v>
      </c>
      <c r="X18" s="334"/>
      <c r="Y18" s="335"/>
      <c r="Z18" s="335"/>
      <c r="AA18" s="336"/>
      <c r="AB18" s="337"/>
      <c r="AC18" s="338" t="n">
        <f aca="false">IFERROR(IF(X18, AB18/AA18, 0),0)</f>
        <v>0</v>
      </c>
      <c r="AD18" s="334"/>
      <c r="AE18" s="335"/>
      <c r="AF18" s="335"/>
      <c r="AG18" s="336"/>
      <c r="AH18" s="337"/>
      <c r="AI18" s="338" t="n">
        <f aca="false">IFERROR(IF(AD18, AH18/AG18, 0),0)</f>
        <v>0</v>
      </c>
      <c r="AJ18" s="334"/>
      <c r="AK18" s="335"/>
      <c r="AL18" s="335"/>
      <c r="AM18" s="336"/>
      <c r="AN18" s="337"/>
      <c r="AO18" s="338" t="n">
        <f aca="false">IFERROR(IF(AJ18, AN18/AM18, 0),0)</f>
        <v>0</v>
      </c>
      <c r="AP18" s="334"/>
      <c r="AQ18" s="335"/>
      <c r="AR18" s="335"/>
      <c r="AS18" s="336"/>
      <c r="AT18" s="337"/>
      <c r="AU18" s="338" t="n">
        <f aca="false">IFERROR(IF(AP18, AT18/AS18, 0),0)</f>
        <v>0</v>
      </c>
      <c r="AV18" s="334"/>
      <c r="AW18" s="335"/>
      <c r="AX18" s="335"/>
      <c r="AY18" s="336"/>
      <c r="AZ18" s="337"/>
      <c r="BA18" s="338" t="n">
        <f aca="false">IFERROR(IF(AV18, AZ18/AY18, 0),0)</f>
        <v>0</v>
      </c>
      <c r="BB18" s="334"/>
      <c r="BC18" s="335"/>
      <c r="BD18" s="335"/>
      <c r="BE18" s="336"/>
      <c r="BF18" s="337"/>
      <c r="BG18" s="338" t="n">
        <f aca="false">IFERROR(IF(BB18, BF18/BE18, 0),0)</f>
        <v>0</v>
      </c>
    </row>
    <row r="19" customFormat="false" ht="13.5" hidden="false" customHeight="true" outlineLevel="0" collapsed="false">
      <c r="B19" s="333"/>
      <c r="C19" s="334"/>
      <c r="D19" s="335"/>
      <c r="E19" s="335"/>
      <c r="F19" s="336"/>
      <c r="G19" s="337"/>
      <c r="H19" s="338" t="n">
        <f aca="false">IFERROR(IF(C19, G19/F19, 0),0)</f>
        <v>0</v>
      </c>
      <c r="I19" s="339" t="str">
        <f aca="false">IF(C19&lt;&gt;"",C19,"")</f>
        <v/>
      </c>
      <c r="J19" s="340" t="str">
        <f aca="false">IF(D19&lt;&gt;"",D19,"")</f>
        <v/>
      </c>
      <c r="K19" s="340" t="str">
        <f aca="false">IF(E19&lt;&gt;"",E19,"")</f>
        <v/>
      </c>
      <c r="L19" s="341" t="str">
        <f aca="false">IF(F19&lt;&gt;"",F19,"")</f>
        <v/>
      </c>
      <c r="M19" s="337"/>
      <c r="N19" s="338" t="n">
        <f aca="false">IFERROR(IF(I19, M19/L19, 0),0)</f>
        <v>0</v>
      </c>
      <c r="O19" s="342" t="n">
        <f aca="false">G19-M19</f>
        <v>0</v>
      </c>
      <c r="P19" s="343" t="n">
        <f aca="false">'Unit Reno Premium Comp'!F15-'Unit Mix &amp; Comparables'!G19</f>
        <v>0</v>
      </c>
      <c r="Q19" s="45"/>
      <c r="R19" s="334"/>
      <c r="S19" s="335"/>
      <c r="T19" s="335"/>
      <c r="U19" s="336"/>
      <c r="V19" s="337"/>
      <c r="W19" s="338" t="n">
        <f aca="false">IFERROR(IF(R19, V19/U19, 0),0)</f>
        <v>0</v>
      </c>
      <c r="X19" s="334"/>
      <c r="Y19" s="335"/>
      <c r="Z19" s="335"/>
      <c r="AA19" s="336"/>
      <c r="AB19" s="337"/>
      <c r="AC19" s="338" t="n">
        <f aca="false">IFERROR(IF(X19, AB19/AA19, 0),0)</f>
        <v>0</v>
      </c>
      <c r="AD19" s="334"/>
      <c r="AE19" s="335"/>
      <c r="AF19" s="335"/>
      <c r="AG19" s="336"/>
      <c r="AH19" s="337"/>
      <c r="AI19" s="338" t="n">
        <f aca="false">IFERROR(IF(AD19, AH19/AG19, 0),0)</f>
        <v>0</v>
      </c>
      <c r="AJ19" s="334"/>
      <c r="AK19" s="335"/>
      <c r="AL19" s="335"/>
      <c r="AM19" s="336"/>
      <c r="AN19" s="337"/>
      <c r="AO19" s="338" t="n">
        <f aca="false">IFERROR(IF(AJ19, AN19/AM19, 0),0)</f>
        <v>0</v>
      </c>
      <c r="AP19" s="334"/>
      <c r="AQ19" s="335"/>
      <c r="AR19" s="335"/>
      <c r="AS19" s="336"/>
      <c r="AT19" s="337"/>
      <c r="AU19" s="338" t="n">
        <f aca="false">IFERROR(IF(AP19, AT19/AS19, 0),0)</f>
        <v>0</v>
      </c>
      <c r="AV19" s="334"/>
      <c r="AW19" s="335"/>
      <c r="AX19" s="335"/>
      <c r="AY19" s="336"/>
      <c r="AZ19" s="337"/>
      <c r="BA19" s="338" t="n">
        <f aca="false">IFERROR(IF(AV19, AZ19/AY19, 0),0)</f>
        <v>0</v>
      </c>
      <c r="BB19" s="334"/>
      <c r="BC19" s="335"/>
      <c r="BD19" s="335"/>
      <c r="BE19" s="336"/>
      <c r="BF19" s="337"/>
      <c r="BG19" s="338" t="n">
        <f aca="false">IFERROR(IF(BB19, BF19/BE19, 0),0)</f>
        <v>0</v>
      </c>
    </row>
    <row r="20" customFormat="false" ht="13.5" hidden="false" customHeight="true" outlineLevel="0" collapsed="false">
      <c r="B20" s="333"/>
      <c r="C20" s="334"/>
      <c r="D20" s="335"/>
      <c r="E20" s="335"/>
      <c r="F20" s="336"/>
      <c r="G20" s="337"/>
      <c r="H20" s="338" t="n">
        <f aca="false">IFERROR(IF(C20, G20/F20, 0),0)</f>
        <v>0</v>
      </c>
      <c r="I20" s="339" t="str">
        <f aca="false">IF(C20&lt;&gt;"",C20,"")</f>
        <v/>
      </c>
      <c r="J20" s="340" t="str">
        <f aca="false">IF(D20&lt;&gt;"",D20,"")</f>
        <v/>
      </c>
      <c r="K20" s="340" t="str">
        <f aca="false">IF(E20&lt;&gt;"",E20,"")</f>
        <v/>
      </c>
      <c r="L20" s="341" t="str">
        <f aca="false">IF(F20&lt;&gt;"",F20,"")</f>
        <v/>
      </c>
      <c r="M20" s="337"/>
      <c r="N20" s="338" t="n">
        <f aca="false">IFERROR(IF(I20, M20/L20, 0),0)</f>
        <v>0</v>
      </c>
      <c r="O20" s="342" t="n">
        <f aca="false">G20-M20</f>
        <v>0</v>
      </c>
      <c r="P20" s="343" t="n">
        <f aca="false">'Unit Reno Premium Comp'!F16-'Unit Mix &amp; Comparables'!G20</f>
        <v>0</v>
      </c>
      <c r="Q20" s="45"/>
      <c r="R20" s="334"/>
      <c r="S20" s="335"/>
      <c r="T20" s="335"/>
      <c r="U20" s="336"/>
      <c r="V20" s="337"/>
      <c r="W20" s="338"/>
      <c r="X20" s="334"/>
      <c r="Y20" s="335"/>
      <c r="Z20" s="335"/>
      <c r="AA20" s="336"/>
      <c r="AB20" s="337"/>
      <c r="AC20" s="338"/>
      <c r="AD20" s="334"/>
      <c r="AE20" s="335"/>
      <c r="AF20" s="335"/>
      <c r="AG20" s="336"/>
      <c r="AH20" s="337"/>
      <c r="AI20" s="338"/>
      <c r="AJ20" s="334"/>
      <c r="AK20" s="335"/>
      <c r="AL20" s="335"/>
      <c r="AM20" s="336"/>
      <c r="AN20" s="337"/>
      <c r="AO20" s="338"/>
      <c r="AP20" s="334"/>
      <c r="AQ20" s="335"/>
      <c r="AR20" s="335"/>
      <c r="AS20" s="336"/>
      <c r="AT20" s="337"/>
      <c r="AU20" s="338" t="n">
        <f aca="false">IFERROR(IF(AP20, AT20/AS20, 0),0)</f>
        <v>0</v>
      </c>
      <c r="AV20" s="334"/>
      <c r="AW20" s="335"/>
      <c r="AX20" s="335"/>
      <c r="AY20" s="336"/>
      <c r="AZ20" s="337"/>
      <c r="BA20" s="338"/>
      <c r="BB20" s="334"/>
      <c r="BC20" s="335"/>
      <c r="BD20" s="335"/>
      <c r="BE20" s="336"/>
      <c r="BF20" s="337"/>
      <c r="BG20" s="338" t="n">
        <f aca="false">IFERROR(IF(BB20, BF20/BE20, 0),0)</f>
        <v>0</v>
      </c>
    </row>
    <row r="21" customFormat="false" ht="13.5" hidden="false" customHeight="true" outlineLevel="0" collapsed="false">
      <c r="B21" s="333"/>
      <c r="C21" s="334"/>
      <c r="D21" s="335"/>
      <c r="E21" s="335"/>
      <c r="F21" s="336"/>
      <c r="G21" s="337"/>
      <c r="H21" s="338" t="n">
        <f aca="false">IFERROR(IF(C21, G21/F21, 0),0)</f>
        <v>0</v>
      </c>
      <c r="I21" s="339" t="str">
        <f aca="false">IF(C21&lt;&gt;"",C21,"")</f>
        <v/>
      </c>
      <c r="J21" s="340" t="str">
        <f aca="false">IF(D21&lt;&gt;"",D21,"")</f>
        <v/>
      </c>
      <c r="K21" s="340" t="str">
        <f aca="false">IF(E21&lt;&gt;"",E21,"")</f>
        <v/>
      </c>
      <c r="L21" s="341" t="str">
        <f aca="false">IF(F21&lt;&gt;"",F21,"")</f>
        <v/>
      </c>
      <c r="M21" s="337"/>
      <c r="N21" s="338" t="n">
        <f aca="false">IFERROR(IF(I21, M21/L21, 0),0)</f>
        <v>0</v>
      </c>
      <c r="O21" s="342" t="n">
        <f aca="false">G21-M21</f>
        <v>0</v>
      </c>
      <c r="P21" s="343" t="n">
        <f aca="false">'Unit Reno Premium Comp'!F17-'Unit Mix &amp; Comparables'!G21</f>
        <v>0</v>
      </c>
      <c r="Q21" s="45"/>
      <c r="R21" s="334"/>
      <c r="S21" s="335"/>
      <c r="T21" s="335"/>
      <c r="U21" s="336"/>
      <c r="V21" s="337"/>
      <c r="W21" s="338"/>
      <c r="X21" s="334"/>
      <c r="Y21" s="335"/>
      <c r="Z21" s="335"/>
      <c r="AA21" s="336"/>
      <c r="AB21" s="337"/>
      <c r="AC21" s="338"/>
      <c r="AD21" s="334"/>
      <c r="AE21" s="335"/>
      <c r="AF21" s="335"/>
      <c r="AG21" s="336"/>
      <c r="AH21" s="337"/>
      <c r="AI21" s="338"/>
      <c r="AJ21" s="334"/>
      <c r="AK21" s="335"/>
      <c r="AL21" s="335"/>
      <c r="AM21" s="336"/>
      <c r="AN21" s="337"/>
      <c r="AO21" s="338"/>
      <c r="AP21" s="334"/>
      <c r="AQ21" s="335"/>
      <c r="AR21" s="335"/>
      <c r="AS21" s="336"/>
      <c r="AT21" s="337"/>
      <c r="AU21" s="338" t="n">
        <f aca="false">IFERROR(IF(AP21, AT21/AS21, 0),0)</f>
        <v>0</v>
      </c>
      <c r="AV21" s="334"/>
      <c r="AW21" s="335"/>
      <c r="AX21" s="335"/>
      <c r="AY21" s="336"/>
      <c r="AZ21" s="337"/>
      <c r="BA21" s="338"/>
      <c r="BB21" s="334"/>
      <c r="BC21" s="335"/>
      <c r="BD21" s="335"/>
      <c r="BE21" s="336"/>
      <c r="BF21" s="337"/>
      <c r="BG21" s="338" t="n">
        <f aca="false">IFERROR(IF(BB21, BF21/BE21, 0),0)</f>
        <v>0</v>
      </c>
    </row>
    <row r="22" customFormat="false" ht="13.5" hidden="false" customHeight="true" outlineLevel="0" collapsed="false">
      <c r="B22" s="333"/>
      <c r="C22" s="334"/>
      <c r="D22" s="335"/>
      <c r="E22" s="335"/>
      <c r="F22" s="336"/>
      <c r="G22" s="337"/>
      <c r="H22" s="338" t="n">
        <f aca="false">IFERROR(IF(C22, G22/F22, 0),0)</f>
        <v>0</v>
      </c>
      <c r="I22" s="339" t="str">
        <f aca="false">IF(C22&lt;&gt;"",C22,"")</f>
        <v/>
      </c>
      <c r="J22" s="340" t="str">
        <f aca="false">IF(D22&lt;&gt;"",D22,"")</f>
        <v/>
      </c>
      <c r="K22" s="340" t="str">
        <f aca="false">IF(E22&lt;&gt;"",E22,"")</f>
        <v/>
      </c>
      <c r="L22" s="341" t="str">
        <f aca="false">IF(F22&lt;&gt;"",F22,"")</f>
        <v/>
      </c>
      <c r="M22" s="337"/>
      <c r="N22" s="338" t="n">
        <f aca="false">IFERROR(IF(I22, M22/L22, 0),0)</f>
        <v>0</v>
      </c>
      <c r="O22" s="342" t="n">
        <f aca="false">G22-M22</f>
        <v>0</v>
      </c>
      <c r="P22" s="343" t="n">
        <f aca="false">'Unit Reno Premium Comp'!F18-'Unit Mix &amp; Comparables'!G22</f>
        <v>0</v>
      </c>
      <c r="Q22" s="45"/>
      <c r="R22" s="334"/>
      <c r="S22" s="335"/>
      <c r="T22" s="335"/>
      <c r="U22" s="336"/>
      <c r="V22" s="337"/>
      <c r="W22" s="338"/>
      <c r="X22" s="334"/>
      <c r="Y22" s="335"/>
      <c r="Z22" s="335"/>
      <c r="AA22" s="336"/>
      <c r="AB22" s="337"/>
      <c r="AC22" s="338"/>
      <c r="AD22" s="334"/>
      <c r="AE22" s="335"/>
      <c r="AF22" s="335"/>
      <c r="AG22" s="336"/>
      <c r="AH22" s="337"/>
      <c r="AI22" s="338"/>
      <c r="AJ22" s="334"/>
      <c r="AK22" s="335"/>
      <c r="AL22" s="335"/>
      <c r="AM22" s="336"/>
      <c r="AN22" s="337"/>
      <c r="AO22" s="338"/>
      <c r="AP22" s="334"/>
      <c r="AQ22" s="335"/>
      <c r="AR22" s="335"/>
      <c r="AS22" s="336"/>
      <c r="AT22" s="337"/>
      <c r="AU22" s="338" t="n">
        <f aca="false">IFERROR(IF(AP22, AT22/AS22, 0),0)</f>
        <v>0</v>
      </c>
      <c r="AV22" s="334"/>
      <c r="AW22" s="335"/>
      <c r="AX22" s="335"/>
      <c r="AY22" s="336"/>
      <c r="AZ22" s="337"/>
      <c r="BA22" s="338"/>
      <c r="BB22" s="334"/>
      <c r="BC22" s="335"/>
      <c r="BD22" s="335"/>
      <c r="BE22" s="336"/>
      <c r="BF22" s="337"/>
      <c r="BG22" s="338" t="n">
        <f aca="false">IFERROR(IF(BB22, BF22/BE22, 0),0)</f>
        <v>0</v>
      </c>
    </row>
    <row r="23" customFormat="false" ht="13.5" hidden="false" customHeight="true" outlineLevel="0" collapsed="false">
      <c r="B23" s="333"/>
      <c r="C23" s="334"/>
      <c r="D23" s="335"/>
      <c r="E23" s="335"/>
      <c r="F23" s="336"/>
      <c r="G23" s="337"/>
      <c r="H23" s="338" t="n">
        <f aca="false">IFERROR(IF(C23, G23/F23, 0),0)</f>
        <v>0</v>
      </c>
      <c r="I23" s="339" t="str">
        <f aca="false">IF(C23&lt;&gt;"",C23,"")</f>
        <v/>
      </c>
      <c r="J23" s="340" t="str">
        <f aca="false">IF(D23&lt;&gt;"",D23,"")</f>
        <v/>
      </c>
      <c r="K23" s="340" t="str">
        <f aca="false">IF(E23&lt;&gt;"",E23,"")</f>
        <v/>
      </c>
      <c r="L23" s="341" t="str">
        <f aca="false">IF(F23&lt;&gt;"",F23,"")</f>
        <v/>
      </c>
      <c r="M23" s="337"/>
      <c r="N23" s="338" t="n">
        <f aca="false">IFERROR(IF(I23, M23/L23, 0),0)</f>
        <v>0</v>
      </c>
      <c r="O23" s="342" t="n">
        <f aca="false">G23-M23</f>
        <v>0</v>
      </c>
      <c r="P23" s="343" t="n">
        <f aca="false">'Unit Reno Premium Comp'!F19-'Unit Mix &amp; Comparables'!G23</f>
        <v>0</v>
      </c>
      <c r="Q23" s="45"/>
      <c r="R23" s="334"/>
      <c r="S23" s="335"/>
      <c r="T23" s="335"/>
      <c r="U23" s="336"/>
      <c r="V23" s="337"/>
      <c r="W23" s="338"/>
      <c r="X23" s="334"/>
      <c r="Y23" s="335"/>
      <c r="Z23" s="335"/>
      <c r="AA23" s="336"/>
      <c r="AB23" s="337"/>
      <c r="AC23" s="338"/>
      <c r="AD23" s="334"/>
      <c r="AE23" s="335"/>
      <c r="AF23" s="335"/>
      <c r="AG23" s="336"/>
      <c r="AH23" s="337"/>
      <c r="AI23" s="338"/>
      <c r="AJ23" s="334"/>
      <c r="AK23" s="335"/>
      <c r="AL23" s="335"/>
      <c r="AM23" s="336"/>
      <c r="AN23" s="337"/>
      <c r="AO23" s="338"/>
      <c r="AP23" s="334"/>
      <c r="AQ23" s="335"/>
      <c r="AR23" s="335"/>
      <c r="AS23" s="336"/>
      <c r="AT23" s="337"/>
      <c r="AU23" s="338" t="n">
        <f aca="false">IFERROR(IF(AP23, AT23/AS23, 0),0)</f>
        <v>0</v>
      </c>
      <c r="AV23" s="334"/>
      <c r="AW23" s="335"/>
      <c r="AX23" s="335"/>
      <c r="AY23" s="336"/>
      <c r="AZ23" s="337"/>
      <c r="BA23" s="338"/>
      <c r="BB23" s="334"/>
      <c r="BC23" s="335"/>
      <c r="BD23" s="335"/>
      <c r="BE23" s="336"/>
      <c r="BF23" s="337"/>
      <c r="BG23" s="338" t="n">
        <f aca="false">IFERROR(IF(BB23, BF23/BE23, 0),0)</f>
        <v>0</v>
      </c>
    </row>
    <row r="24" customFormat="false" ht="13.5" hidden="false" customHeight="true" outlineLevel="0" collapsed="false">
      <c r="B24" s="333"/>
      <c r="C24" s="334"/>
      <c r="D24" s="335"/>
      <c r="E24" s="335"/>
      <c r="F24" s="336"/>
      <c r="G24" s="337"/>
      <c r="H24" s="338" t="n">
        <f aca="false">IFERROR(IF(C24, G24/F24, 0),0)</f>
        <v>0</v>
      </c>
      <c r="I24" s="339" t="str">
        <f aca="false">IF(C24&lt;&gt;"",C24,"")</f>
        <v/>
      </c>
      <c r="J24" s="340" t="str">
        <f aca="false">IF(D24&lt;&gt;"",D24,"")</f>
        <v/>
      </c>
      <c r="K24" s="340" t="str">
        <f aca="false">IF(E24&lt;&gt;"",E24,"")</f>
        <v/>
      </c>
      <c r="L24" s="341" t="str">
        <f aca="false">IF(F24&lt;&gt;"",F24,"")</f>
        <v/>
      </c>
      <c r="M24" s="337"/>
      <c r="N24" s="338" t="n">
        <f aca="false">IFERROR(IF(I24, M24/L24, 0),0)</f>
        <v>0</v>
      </c>
      <c r="O24" s="342" t="n">
        <f aca="false">G24-M24</f>
        <v>0</v>
      </c>
      <c r="P24" s="343" t="n">
        <f aca="false">'Unit Reno Premium Comp'!F20-'Unit Mix &amp; Comparables'!G24</f>
        <v>0</v>
      </c>
      <c r="Q24" s="45"/>
      <c r="R24" s="334"/>
      <c r="S24" s="335"/>
      <c r="T24" s="335"/>
      <c r="U24" s="336"/>
      <c r="V24" s="337"/>
      <c r="W24" s="338"/>
      <c r="X24" s="334"/>
      <c r="Y24" s="335"/>
      <c r="Z24" s="335"/>
      <c r="AA24" s="336"/>
      <c r="AB24" s="337"/>
      <c r="AC24" s="338"/>
      <c r="AD24" s="334"/>
      <c r="AE24" s="335"/>
      <c r="AF24" s="335"/>
      <c r="AG24" s="336"/>
      <c r="AH24" s="337"/>
      <c r="AI24" s="338"/>
      <c r="AJ24" s="334"/>
      <c r="AK24" s="335"/>
      <c r="AL24" s="335"/>
      <c r="AM24" s="336"/>
      <c r="AN24" s="337"/>
      <c r="AO24" s="338"/>
      <c r="AP24" s="334"/>
      <c r="AQ24" s="335"/>
      <c r="AR24" s="335"/>
      <c r="AS24" s="336"/>
      <c r="AT24" s="337"/>
      <c r="AU24" s="338" t="n">
        <f aca="false">IFERROR(IF(AP24, AT24/AS24, 0),0)</f>
        <v>0</v>
      </c>
      <c r="AV24" s="334"/>
      <c r="AW24" s="335"/>
      <c r="AX24" s="335"/>
      <c r="AY24" s="336"/>
      <c r="AZ24" s="337"/>
      <c r="BA24" s="338"/>
      <c r="BB24" s="334"/>
      <c r="BC24" s="335"/>
      <c r="BD24" s="335"/>
      <c r="BE24" s="336"/>
      <c r="BF24" s="337"/>
      <c r="BG24" s="338" t="n">
        <f aca="false">IFERROR(IF(BB24, BF24/BE24, 0),0)</f>
        <v>0</v>
      </c>
    </row>
    <row r="25" customFormat="false" ht="13.5" hidden="false" customHeight="true" outlineLevel="0" collapsed="false">
      <c r="B25" s="333"/>
      <c r="C25" s="334"/>
      <c r="D25" s="335"/>
      <c r="E25" s="335"/>
      <c r="F25" s="336"/>
      <c r="G25" s="337"/>
      <c r="H25" s="338" t="n">
        <f aca="false">IFERROR(IF(C25, G25/F25, 0),0)</f>
        <v>0</v>
      </c>
      <c r="I25" s="339" t="str">
        <f aca="false">IF(C25&lt;&gt;"",C25,"")</f>
        <v/>
      </c>
      <c r="J25" s="340" t="str">
        <f aca="false">IF(D25&lt;&gt;"",D25,"")</f>
        <v/>
      </c>
      <c r="K25" s="340" t="str">
        <f aca="false">IF(E25&lt;&gt;"",E25,"")</f>
        <v/>
      </c>
      <c r="L25" s="341" t="str">
        <f aca="false">IF(F25&lt;&gt;"",F25,"")</f>
        <v/>
      </c>
      <c r="M25" s="337"/>
      <c r="N25" s="338" t="n">
        <f aca="false">IFERROR(IF(I25, M25/L25, 0),0)</f>
        <v>0</v>
      </c>
      <c r="O25" s="342" t="n">
        <f aca="false">G25-M25</f>
        <v>0</v>
      </c>
      <c r="P25" s="343" t="n">
        <f aca="false">'Unit Reno Premium Comp'!F21-'Unit Mix &amp; Comparables'!G25</f>
        <v>0</v>
      </c>
      <c r="Q25" s="45"/>
      <c r="R25" s="334"/>
      <c r="S25" s="335"/>
      <c r="T25" s="335"/>
      <c r="U25" s="336"/>
      <c r="V25" s="337"/>
      <c r="W25" s="338"/>
      <c r="X25" s="334"/>
      <c r="Y25" s="335"/>
      <c r="Z25" s="335"/>
      <c r="AA25" s="336"/>
      <c r="AB25" s="337"/>
      <c r="AC25" s="338"/>
      <c r="AD25" s="334"/>
      <c r="AE25" s="335"/>
      <c r="AF25" s="335"/>
      <c r="AG25" s="336"/>
      <c r="AH25" s="337"/>
      <c r="AI25" s="338"/>
      <c r="AJ25" s="334"/>
      <c r="AK25" s="335"/>
      <c r="AL25" s="335"/>
      <c r="AM25" s="336"/>
      <c r="AN25" s="337"/>
      <c r="AO25" s="338"/>
      <c r="AP25" s="334"/>
      <c r="AQ25" s="335"/>
      <c r="AR25" s="335"/>
      <c r="AS25" s="336"/>
      <c r="AT25" s="337"/>
      <c r="AU25" s="338" t="n">
        <f aca="false">IFERROR(IF(AP25, AT25/AS25, 0),0)</f>
        <v>0</v>
      </c>
      <c r="AV25" s="334"/>
      <c r="AW25" s="335"/>
      <c r="AX25" s="335"/>
      <c r="AY25" s="336"/>
      <c r="AZ25" s="337"/>
      <c r="BA25" s="338"/>
      <c r="BB25" s="334"/>
      <c r="BC25" s="335"/>
      <c r="BD25" s="335"/>
      <c r="BE25" s="336"/>
      <c r="BF25" s="337"/>
      <c r="BG25" s="338" t="n">
        <f aca="false">IFERROR(IF(BB25, BF25/BE25, 0),0)</f>
        <v>0</v>
      </c>
    </row>
    <row r="26" customFormat="false" ht="13.5" hidden="false" customHeight="true" outlineLevel="0" collapsed="false">
      <c r="B26" s="333"/>
      <c r="C26" s="334"/>
      <c r="D26" s="335"/>
      <c r="E26" s="335"/>
      <c r="F26" s="336"/>
      <c r="G26" s="337"/>
      <c r="H26" s="338" t="n">
        <f aca="false">IFERROR(IF(C26, G26/F26, 0),0)</f>
        <v>0</v>
      </c>
      <c r="I26" s="339" t="str">
        <f aca="false">IF(C26&lt;&gt;"",C26,"")</f>
        <v/>
      </c>
      <c r="J26" s="340" t="str">
        <f aca="false">IF(D26&lt;&gt;"",D26,"")</f>
        <v/>
      </c>
      <c r="K26" s="340" t="str">
        <f aca="false">IF(E26&lt;&gt;"",E26,"")</f>
        <v/>
      </c>
      <c r="L26" s="341" t="str">
        <f aca="false">IF(F26&lt;&gt;"",F26,"")</f>
        <v/>
      </c>
      <c r="M26" s="337"/>
      <c r="N26" s="338" t="n">
        <f aca="false">IFERROR(IF(I26, M26/L26, 0),0)</f>
        <v>0</v>
      </c>
      <c r="O26" s="342" t="n">
        <f aca="false">G26-M26</f>
        <v>0</v>
      </c>
      <c r="P26" s="343" t="n">
        <f aca="false">'Unit Reno Premium Comp'!F22-'Unit Mix &amp; Comparables'!G26</f>
        <v>0</v>
      </c>
      <c r="Q26" s="45"/>
      <c r="R26" s="334"/>
      <c r="S26" s="335"/>
      <c r="T26" s="335"/>
      <c r="U26" s="336"/>
      <c r="V26" s="337"/>
      <c r="W26" s="338"/>
      <c r="X26" s="334"/>
      <c r="Y26" s="335"/>
      <c r="Z26" s="335"/>
      <c r="AA26" s="336"/>
      <c r="AB26" s="337"/>
      <c r="AC26" s="338"/>
      <c r="AD26" s="334"/>
      <c r="AE26" s="335"/>
      <c r="AF26" s="335"/>
      <c r="AG26" s="336"/>
      <c r="AH26" s="337"/>
      <c r="AI26" s="338"/>
      <c r="AJ26" s="334"/>
      <c r="AK26" s="335"/>
      <c r="AL26" s="335"/>
      <c r="AM26" s="336"/>
      <c r="AN26" s="337"/>
      <c r="AO26" s="338"/>
      <c r="AP26" s="334"/>
      <c r="AQ26" s="335"/>
      <c r="AR26" s="335"/>
      <c r="AS26" s="336"/>
      <c r="AT26" s="337"/>
      <c r="AU26" s="338" t="n">
        <f aca="false">IFERROR(IF(AP26, AT26/AS26, 0),0)</f>
        <v>0</v>
      </c>
      <c r="AV26" s="334"/>
      <c r="AW26" s="335"/>
      <c r="AX26" s="335"/>
      <c r="AY26" s="336"/>
      <c r="AZ26" s="337"/>
      <c r="BA26" s="338"/>
      <c r="BB26" s="334"/>
      <c r="BC26" s="335"/>
      <c r="BD26" s="335"/>
      <c r="BE26" s="336"/>
      <c r="BF26" s="337"/>
      <c r="BG26" s="338" t="n">
        <f aca="false">IFERROR(IF(BB26, BF26/BE26, 0),0)</f>
        <v>0</v>
      </c>
    </row>
    <row r="27" customFormat="false" ht="13.5" hidden="false" customHeight="true" outlineLevel="0" collapsed="false">
      <c r="B27" s="333"/>
      <c r="C27" s="334"/>
      <c r="D27" s="335"/>
      <c r="E27" s="335"/>
      <c r="F27" s="336"/>
      <c r="G27" s="337"/>
      <c r="H27" s="338" t="n">
        <f aca="false">IFERROR(IF(C27, G27/F27, 0),0)</f>
        <v>0</v>
      </c>
      <c r="I27" s="339" t="str">
        <f aca="false">IF(C27&lt;&gt;"",C27,"")</f>
        <v/>
      </c>
      <c r="J27" s="340" t="str">
        <f aca="false">IF(D27&lt;&gt;"",D27,"")</f>
        <v/>
      </c>
      <c r="K27" s="340" t="str">
        <f aca="false">IF(E27&lt;&gt;"",E27,"")</f>
        <v/>
      </c>
      <c r="L27" s="341" t="str">
        <f aca="false">IF(F27&lt;&gt;"",F27,"")</f>
        <v/>
      </c>
      <c r="M27" s="337"/>
      <c r="N27" s="338" t="n">
        <f aca="false">IFERROR(IF(I27, M27/L27, 0),0)</f>
        <v>0</v>
      </c>
      <c r="O27" s="342" t="n">
        <f aca="false">G27-M27</f>
        <v>0</v>
      </c>
      <c r="P27" s="343" t="n">
        <f aca="false">'Unit Reno Premium Comp'!F23-'Unit Mix &amp; Comparables'!G27</f>
        <v>0</v>
      </c>
      <c r="Q27" s="45"/>
      <c r="R27" s="334"/>
      <c r="S27" s="335"/>
      <c r="T27" s="335"/>
      <c r="U27" s="336"/>
      <c r="V27" s="337"/>
      <c r="W27" s="338"/>
      <c r="X27" s="334"/>
      <c r="Y27" s="335"/>
      <c r="Z27" s="335"/>
      <c r="AA27" s="336"/>
      <c r="AB27" s="337"/>
      <c r="AC27" s="338"/>
      <c r="AD27" s="334"/>
      <c r="AE27" s="335"/>
      <c r="AF27" s="335"/>
      <c r="AG27" s="336"/>
      <c r="AH27" s="337"/>
      <c r="AI27" s="338"/>
      <c r="AJ27" s="334"/>
      <c r="AK27" s="335"/>
      <c r="AL27" s="335"/>
      <c r="AM27" s="336"/>
      <c r="AN27" s="337"/>
      <c r="AO27" s="338"/>
      <c r="AP27" s="334"/>
      <c r="AQ27" s="335"/>
      <c r="AR27" s="335"/>
      <c r="AS27" s="336"/>
      <c r="AT27" s="337"/>
      <c r="AU27" s="338" t="n">
        <f aca="false">IFERROR(IF(AP27, AT27/AS27, 0),0)</f>
        <v>0</v>
      </c>
      <c r="AV27" s="334"/>
      <c r="AW27" s="335"/>
      <c r="AX27" s="335"/>
      <c r="AY27" s="336"/>
      <c r="AZ27" s="337"/>
      <c r="BA27" s="338"/>
      <c r="BB27" s="334"/>
      <c r="BC27" s="335"/>
      <c r="BD27" s="335"/>
      <c r="BE27" s="336"/>
      <c r="BF27" s="337"/>
      <c r="BG27" s="338" t="n">
        <f aca="false">IFERROR(IF(BB27, BF27/BE27, 0),0)</f>
        <v>0</v>
      </c>
    </row>
    <row r="28" customFormat="false" ht="13.5" hidden="false" customHeight="true" outlineLevel="0" collapsed="false">
      <c r="B28" s="333"/>
      <c r="C28" s="334"/>
      <c r="D28" s="335"/>
      <c r="E28" s="335"/>
      <c r="F28" s="336"/>
      <c r="G28" s="337"/>
      <c r="H28" s="338" t="n">
        <f aca="false">IFERROR(IF(C28, G28/F28, 0),0)</f>
        <v>0</v>
      </c>
      <c r="I28" s="339" t="str">
        <f aca="false">IF(C28&lt;&gt;"",C28,"")</f>
        <v/>
      </c>
      <c r="J28" s="340" t="str">
        <f aca="false">IF(D28&lt;&gt;"",D28,"")</f>
        <v/>
      </c>
      <c r="K28" s="340" t="str">
        <f aca="false">IF(E28&lt;&gt;"",E28,"")</f>
        <v/>
      </c>
      <c r="L28" s="341" t="str">
        <f aca="false">IF(F28&lt;&gt;"",F28,"")</f>
        <v/>
      </c>
      <c r="M28" s="337"/>
      <c r="N28" s="338" t="n">
        <f aca="false">IFERROR(IF(I28, M28/L28, 0),0)</f>
        <v>0</v>
      </c>
      <c r="O28" s="342" t="n">
        <f aca="false">G28-M28</f>
        <v>0</v>
      </c>
      <c r="P28" s="343" t="n">
        <f aca="false">'Unit Reno Premium Comp'!F24-'Unit Mix &amp; Comparables'!G28</f>
        <v>0</v>
      </c>
      <c r="Q28" s="45"/>
      <c r="R28" s="334"/>
      <c r="S28" s="335"/>
      <c r="T28" s="335"/>
      <c r="U28" s="336"/>
      <c r="V28" s="337"/>
      <c r="W28" s="338"/>
      <c r="X28" s="334"/>
      <c r="Y28" s="335"/>
      <c r="Z28" s="335"/>
      <c r="AA28" s="336"/>
      <c r="AB28" s="337"/>
      <c r="AC28" s="338"/>
      <c r="AD28" s="334"/>
      <c r="AE28" s="335"/>
      <c r="AF28" s="335"/>
      <c r="AG28" s="336"/>
      <c r="AH28" s="337"/>
      <c r="AI28" s="338"/>
      <c r="AJ28" s="334"/>
      <c r="AK28" s="335"/>
      <c r="AL28" s="335"/>
      <c r="AM28" s="336"/>
      <c r="AN28" s="337"/>
      <c r="AO28" s="338"/>
      <c r="AP28" s="334"/>
      <c r="AQ28" s="335"/>
      <c r="AR28" s="335"/>
      <c r="AS28" s="336"/>
      <c r="AT28" s="337"/>
      <c r="AU28" s="338" t="n">
        <f aca="false">IFERROR(IF(AP28, AT28/AS28, 0),0)</f>
        <v>0</v>
      </c>
      <c r="AV28" s="334"/>
      <c r="AW28" s="335"/>
      <c r="AX28" s="335"/>
      <c r="AY28" s="336"/>
      <c r="AZ28" s="337"/>
      <c r="BA28" s="338"/>
      <c r="BB28" s="334"/>
      <c r="BC28" s="335"/>
      <c r="BD28" s="335"/>
      <c r="BE28" s="336"/>
      <c r="BF28" s="337"/>
      <c r="BG28" s="338" t="n">
        <f aca="false">IFERROR(IF(BB28, BF28/BE28, 0),0)</f>
        <v>0</v>
      </c>
    </row>
    <row r="29" customFormat="false" ht="13.5" hidden="false" customHeight="true" outlineLevel="0" collapsed="false">
      <c r="B29" s="333"/>
      <c r="C29" s="334"/>
      <c r="D29" s="335"/>
      <c r="E29" s="335"/>
      <c r="F29" s="336"/>
      <c r="G29" s="337"/>
      <c r="H29" s="338" t="n">
        <f aca="false">IFERROR(IF(C29, G29/F29, 0),0)</f>
        <v>0</v>
      </c>
      <c r="I29" s="339" t="str">
        <f aca="false">IF(C29&lt;&gt;"",C29,"")</f>
        <v/>
      </c>
      <c r="J29" s="340" t="str">
        <f aca="false">IF(D29&lt;&gt;"",D29,"")</f>
        <v/>
      </c>
      <c r="K29" s="340" t="str">
        <f aca="false">IF(E29&lt;&gt;"",E29,"")</f>
        <v/>
      </c>
      <c r="L29" s="341" t="str">
        <f aca="false">IF(F29&lt;&gt;"",F29,"")</f>
        <v/>
      </c>
      <c r="M29" s="337"/>
      <c r="N29" s="338" t="n">
        <f aca="false">IFERROR(IF(I29, M29/L29, 0),0)</f>
        <v>0</v>
      </c>
      <c r="O29" s="342" t="n">
        <f aca="false">G29-M29</f>
        <v>0</v>
      </c>
      <c r="P29" s="343" t="n">
        <f aca="false">'Unit Reno Premium Comp'!F25-'Unit Mix &amp; Comparables'!G29</f>
        <v>0</v>
      </c>
      <c r="Q29" s="45"/>
      <c r="R29" s="334"/>
      <c r="S29" s="335"/>
      <c r="T29" s="335"/>
      <c r="U29" s="336"/>
      <c r="V29" s="337"/>
      <c r="W29" s="338"/>
      <c r="X29" s="334"/>
      <c r="Y29" s="335"/>
      <c r="Z29" s="335"/>
      <c r="AA29" s="336"/>
      <c r="AB29" s="337"/>
      <c r="AC29" s="338"/>
      <c r="AD29" s="334"/>
      <c r="AE29" s="335"/>
      <c r="AF29" s="335"/>
      <c r="AG29" s="336"/>
      <c r="AH29" s="337"/>
      <c r="AI29" s="338"/>
      <c r="AJ29" s="334"/>
      <c r="AK29" s="335"/>
      <c r="AL29" s="335"/>
      <c r="AM29" s="336"/>
      <c r="AN29" s="337"/>
      <c r="AO29" s="338"/>
      <c r="AP29" s="334"/>
      <c r="AQ29" s="335"/>
      <c r="AR29" s="335"/>
      <c r="AS29" s="336"/>
      <c r="AT29" s="337"/>
      <c r="AU29" s="338" t="n">
        <f aca="false">IFERROR(IF(AP29, AT29/AS29, 0),0)</f>
        <v>0</v>
      </c>
      <c r="AV29" s="334"/>
      <c r="AW29" s="335"/>
      <c r="AX29" s="335"/>
      <c r="AY29" s="336"/>
      <c r="AZ29" s="337"/>
      <c r="BA29" s="338"/>
      <c r="BB29" s="334"/>
      <c r="BC29" s="335"/>
      <c r="BD29" s="335"/>
      <c r="BE29" s="336"/>
      <c r="BF29" s="337"/>
      <c r="BG29" s="338" t="n">
        <f aca="false">IFERROR(IF(BB29, BF29/BE29, 0),0)</f>
        <v>0</v>
      </c>
    </row>
    <row r="30" customFormat="false" ht="13.5" hidden="false" customHeight="true" outlineLevel="0" collapsed="false">
      <c r="B30" s="333"/>
      <c r="C30" s="334"/>
      <c r="D30" s="335"/>
      <c r="E30" s="335"/>
      <c r="F30" s="336"/>
      <c r="G30" s="337"/>
      <c r="H30" s="338" t="n">
        <f aca="false">IFERROR(IF(C30, G30/F30, 0),0)</f>
        <v>0</v>
      </c>
      <c r="I30" s="339" t="str">
        <f aca="false">IF(C30&lt;&gt;"",C30,"")</f>
        <v/>
      </c>
      <c r="J30" s="340" t="str">
        <f aca="false">IF(D30&lt;&gt;"",D30,"")</f>
        <v/>
      </c>
      <c r="K30" s="340" t="str">
        <f aca="false">IF(E30&lt;&gt;"",E30,"")</f>
        <v/>
      </c>
      <c r="L30" s="341" t="str">
        <f aca="false">IF(F30&lt;&gt;"",F30,"")</f>
        <v/>
      </c>
      <c r="M30" s="337"/>
      <c r="N30" s="338" t="n">
        <f aca="false">IFERROR(IF(I30, M30/L30, 0),0)</f>
        <v>0</v>
      </c>
      <c r="O30" s="342" t="n">
        <f aca="false">G30-M30</f>
        <v>0</v>
      </c>
      <c r="P30" s="343" t="n">
        <f aca="false">'Unit Reno Premium Comp'!F26-'Unit Mix &amp; Comparables'!G30</f>
        <v>0</v>
      </c>
      <c r="Q30" s="45"/>
      <c r="R30" s="334"/>
      <c r="S30" s="335"/>
      <c r="T30" s="335"/>
      <c r="U30" s="336"/>
      <c r="V30" s="337"/>
      <c r="W30" s="338"/>
      <c r="X30" s="334"/>
      <c r="Y30" s="335"/>
      <c r="Z30" s="335"/>
      <c r="AA30" s="336"/>
      <c r="AB30" s="337"/>
      <c r="AC30" s="338"/>
      <c r="AD30" s="334"/>
      <c r="AE30" s="335"/>
      <c r="AF30" s="335"/>
      <c r="AG30" s="336"/>
      <c r="AH30" s="337"/>
      <c r="AI30" s="338"/>
      <c r="AJ30" s="334"/>
      <c r="AK30" s="335"/>
      <c r="AL30" s="335"/>
      <c r="AM30" s="336"/>
      <c r="AN30" s="337"/>
      <c r="AO30" s="338"/>
      <c r="AP30" s="334"/>
      <c r="AQ30" s="335"/>
      <c r="AR30" s="335"/>
      <c r="AS30" s="336"/>
      <c r="AT30" s="337"/>
      <c r="AU30" s="338" t="n">
        <f aca="false">IFERROR(IF(AP30, AT30/AS30, 0),0)</f>
        <v>0</v>
      </c>
      <c r="AV30" s="334"/>
      <c r="AW30" s="335"/>
      <c r="AX30" s="335"/>
      <c r="AY30" s="336"/>
      <c r="AZ30" s="337"/>
      <c r="BA30" s="338"/>
      <c r="BB30" s="334"/>
      <c r="BC30" s="335"/>
      <c r="BD30" s="335"/>
      <c r="BE30" s="336"/>
      <c r="BF30" s="337"/>
      <c r="BG30" s="338" t="n">
        <f aca="false">IFERROR(IF(BB30, BF30/BE30, 0),0)</f>
        <v>0</v>
      </c>
    </row>
    <row r="31" customFormat="false" ht="13.5" hidden="false" customHeight="true" outlineLevel="0" collapsed="false">
      <c r="B31" s="333"/>
      <c r="C31" s="334"/>
      <c r="D31" s="335"/>
      <c r="E31" s="335"/>
      <c r="F31" s="336"/>
      <c r="G31" s="337"/>
      <c r="H31" s="338" t="n">
        <f aca="false">IFERROR(IF(C31, G31/F31, 0),0)</f>
        <v>0</v>
      </c>
      <c r="I31" s="339" t="str">
        <f aca="false">IF(C31&lt;&gt;"",C31,"")</f>
        <v/>
      </c>
      <c r="J31" s="340" t="str">
        <f aca="false">IF(D31&lt;&gt;"",D31,"")</f>
        <v/>
      </c>
      <c r="K31" s="340" t="str">
        <f aca="false">IF(E31&lt;&gt;"",E31,"")</f>
        <v/>
      </c>
      <c r="L31" s="341" t="str">
        <f aca="false">IF(F31&lt;&gt;"",F31,"")</f>
        <v/>
      </c>
      <c r="M31" s="337"/>
      <c r="N31" s="338" t="n">
        <f aca="false">IFERROR(IF(I31, M31/L31, 0),0)</f>
        <v>0</v>
      </c>
      <c r="O31" s="342" t="n">
        <f aca="false">G31-M31</f>
        <v>0</v>
      </c>
      <c r="P31" s="343" t="n">
        <f aca="false">'Unit Reno Premium Comp'!F27-'Unit Mix &amp; Comparables'!G31</f>
        <v>0</v>
      </c>
      <c r="Q31" s="45"/>
      <c r="R31" s="334"/>
      <c r="S31" s="335"/>
      <c r="T31" s="335"/>
      <c r="U31" s="336"/>
      <c r="V31" s="337"/>
      <c r="W31" s="338"/>
      <c r="X31" s="334"/>
      <c r="Y31" s="335"/>
      <c r="Z31" s="335"/>
      <c r="AA31" s="336"/>
      <c r="AB31" s="337"/>
      <c r="AC31" s="338"/>
      <c r="AD31" s="334"/>
      <c r="AE31" s="335"/>
      <c r="AF31" s="335"/>
      <c r="AG31" s="336"/>
      <c r="AH31" s="337"/>
      <c r="AI31" s="338"/>
      <c r="AJ31" s="334"/>
      <c r="AK31" s="335"/>
      <c r="AL31" s="335"/>
      <c r="AM31" s="336"/>
      <c r="AN31" s="337"/>
      <c r="AO31" s="338"/>
      <c r="AP31" s="334"/>
      <c r="AQ31" s="335"/>
      <c r="AR31" s="335"/>
      <c r="AS31" s="336"/>
      <c r="AT31" s="337"/>
      <c r="AU31" s="338" t="n">
        <f aca="false">IFERROR(IF(AP31, AT31/AS31, 0),0)</f>
        <v>0</v>
      </c>
      <c r="AV31" s="334"/>
      <c r="AW31" s="335"/>
      <c r="AX31" s="335"/>
      <c r="AY31" s="336"/>
      <c r="AZ31" s="337"/>
      <c r="BA31" s="338"/>
      <c r="BB31" s="334"/>
      <c r="BC31" s="335"/>
      <c r="BD31" s="335"/>
      <c r="BE31" s="336"/>
      <c r="BF31" s="337"/>
      <c r="BG31" s="338" t="n">
        <f aca="false">IFERROR(IF(BB31, BF31/BE31, 0),0)</f>
        <v>0</v>
      </c>
    </row>
    <row r="32" customFormat="false" ht="13.5" hidden="false" customHeight="true" outlineLevel="0" collapsed="false">
      <c r="B32" s="333"/>
      <c r="C32" s="334"/>
      <c r="D32" s="335"/>
      <c r="E32" s="335"/>
      <c r="F32" s="336"/>
      <c r="G32" s="337"/>
      <c r="H32" s="338" t="n">
        <f aca="false">IFERROR(IF(C32, G32/F32, 0),0)</f>
        <v>0</v>
      </c>
      <c r="I32" s="339" t="str">
        <f aca="false">IF(C32&lt;&gt;"",C32,"")</f>
        <v/>
      </c>
      <c r="J32" s="340" t="str">
        <f aca="false">IF(D32&lt;&gt;"",D32,"")</f>
        <v/>
      </c>
      <c r="K32" s="340" t="str">
        <f aca="false">IF(E32&lt;&gt;"",E32,"")</f>
        <v/>
      </c>
      <c r="L32" s="341" t="str">
        <f aca="false">IF(F32&lt;&gt;"",F32,"")</f>
        <v/>
      </c>
      <c r="M32" s="337"/>
      <c r="N32" s="338" t="n">
        <f aca="false">IFERROR(IF(I32, M32/L32, 0),0)</f>
        <v>0</v>
      </c>
      <c r="O32" s="342" t="n">
        <f aca="false">G32-M32</f>
        <v>0</v>
      </c>
      <c r="P32" s="343" t="n">
        <f aca="false">'Unit Reno Premium Comp'!F28-'Unit Mix &amp; Comparables'!G32</f>
        <v>0</v>
      </c>
      <c r="Q32" s="45"/>
      <c r="R32" s="334"/>
      <c r="S32" s="335"/>
      <c r="T32" s="335"/>
      <c r="U32" s="336"/>
      <c r="V32" s="337"/>
      <c r="W32" s="338"/>
      <c r="X32" s="334"/>
      <c r="Y32" s="335"/>
      <c r="Z32" s="335"/>
      <c r="AA32" s="336"/>
      <c r="AB32" s="337"/>
      <c r="AC32" s="338"/>
      <c r="AD32" s="334"/>
      <c r="AE32" s="335"/>
      <c r="AF32" s="335"/>
      <c r="AG32" s="336"/>
      <c r="AH32" s="337"/>
      <c r="AI32" s="338"/>
      <c r="AJ32" s="334"/>
      <c r="AK32" s="335"/>
      <c r="AL32" s="335"/>
      <c r="AM32" s="336"/>
      <c r="AN32" s="337"/>
      <c r="AO32" s="338"/>
      <c r="AP32" s="334"/>
      <c r="AQ32" s="335"/>
      <c r="AR32" s="335"/>
      <c r="AS32" s="336"/>
      <c r="AT32" s="337"/>
      <c r="AU32" s="338" t="n">
        <f aca="false">IFERROR(IF(AP32, AT32/AS32, 0),0)</f>
        <v>0</v>
      </c>
      <c r="AV32" s="334"/>
      <c r="AW32" s="335"/>
      <c r="AX32" s="335"/>
      <c r="AY32" s="336"/>
      <c r="AZ32" s="337"/>
      <c r="BA32" s="338"/>
      <c r="BB32" s="334"/>
      <c r="BC32" s="335"/>
      <c r="BD32" s="335"/>
      <c r="BE32" s="336"/>
      <c r="BF32" s="337"/>
      <c r="BG32" s="338"/>
    </row>
    <row r="33" customFormat="false" ht="13.5" hidden="false" customHeight="true" outlineLevel="0" collapsed="false">
      <c r="B33" s="333"/>
      <c r="C33" s="334"/>
      <c r="D33" s="335"/>
      <c r="E33" s="335"/>
      <c r="F33" s="336"/>
      <c r="G33" s="337"/>
      <c r="H33" s="338" t="n">
        <f aca="false">IFERROR(IF(C33, G33/F33, 0),0)</f>
        <v>0</v>
      </c>
      <c r="I33" s="339" t="str">
        <f aca="false">IF(C33&lt;&gt;"",C33,"")</f>
        <v/>
      </c>
      <c r="J33" s="340" t="str">
        <f aca="false">IF(D33&lt;&gt;"",D33,"")</f>
        <v/>
      </c>
      <c r="K33" s="340" t="str">
        <f aca="false">IF(E33&lt;&gt;"",E33,"")</f>
        <v/>
      </c>
      <c r="L33" s="341" t="str">
        <f aca="false">IF(F33&lt;&gt;"",F33,"")</f>
        <v/>
      </c>
      <c r="M33" s="337"/>
      <c r="N33" s="338" t="n">
        <f aca="false">IFERROR(IF(I33, M33/L33, 0),0)</f>
        <v>0</v>
      </c>
      <c r="O33" s="342" t="n">
        <f aca="false">G33-M33</f>
        <v>0</v>
      </c>
      <c r="P33" s="343" t="n">
        <f aca="false">'Unit Reno Premium Comp'!F29-'Unit Mix &amp; Comparables'!G33</f>
        <v>0</v>
      </c>
      <c r="Q33" s="45"/>
      <c r="R33" s="334"/>
      <c r="S33" s="335"/>
      <c r="T33" s="335"/>
      <c r="U33" s="336"/>
      <c r="V33" s="337"/>
      <c r="W33" s="338"/>
      <c r="X33" s="334"/>
      <c r="Y33" s="335"/>
      <c r="Z33" s="335"/>
      <c r="AA33" s="336"/>
      <c r="AB33" s="337"/>
      <c r="AC33" s="338"/>
      <c r="AD33" s="334"/>
      <c r="AE33" s="335"/>
      <c r="AF33" s="335"/>
      <c r="AG33" s="336"/>
      <c r="AH33" s="337"/>
      <c r="AI33" s="338"/>
      <c r="AJ33" s="334"/>
      <c r="AK33" s="335"/>
      <c r="AL33" s="335"/>
      <c r="AM33" s="336"/>
      <c r="AN33" s="337"/>
      <c r="AO33" s="338"/>
      <c r="AP33" s="334"/>
      <c r="AQ33" s="335"/>
      <c r="AR33" s="335"/>
      <c r="AS33" s="336"/>
      <c r="AT33" s="337"/>
      <c r="AU33" s="338" t="n">
        <f aca="false">IFERROR(IF(AP33, AT33/AS33, 0),0)</f>
        <v>0</v>
      </c>
      <c r="AV33" s="334"/>
      <c r="AW33" s="335"/>
      <c r="AX33" s="335"/>
      <c r="AY33" s="336"/>
      <c r="AZ33" s="337"/>
      <c r="BA33" s="338"/>
      <c r="BB33" s="334"/>
      <c r="BC33" s="335"/>
      <c r="BD33" s="335"/>
      <c r="BE33" s="336"/>
      <c r="BF33" s="337"/>
      <c r="BG33" s="338"/>
    </row>
    <row r="34" customFormat="false" ht="13.5" hidden="false" customHeight="true" outlineLevel="0" collapsed="false">
      <c r="B34" s="333"/>
      <c r="C34" s="334"/>
      <c r="D34" s="335"/>
      <c r="E34" s="335"/>
      <c r="F34" s="336"/>
      <c r="G34" s="337"/>
      <c r="H34" s="338" t="n">
        <f aca="false">IFERROR(IF(C34, G34/F34, 0),0)</f>
        <v>0</v>
      </c>
      <c r="I34" s="339" t="str">
        <f aca="false">IF(C34&lt;&gt;"",C34,"")</f>
        <v/>
      </c>
      <c r="J34" s="340" t="str">
        <f aca="false">IF(D34&lt;&gt;"",D34,"")</f>
        <v/>
      </c>
      <c r="K34" s="340" t="str">
        <f aca="false">IF(E34&lt;&gt;"",E34,"")</f>
        <v/>
      </c>
      <c r="L34" s="341" t="str">
        <f aca="false">IF(F34&lt;&gt;"",F34,"")</f>
        <v/>
      </c>
      <c r="M34" s="337"/>
      <c r="N34" s="338" t="n">
        <f aca="false">IFERROR(IF(I34, M34/L34, 0),0)</f>
        <v>0</v>
      </c>
      <c r="O34" s="342" t="n">
        <f aca="false">G34-M34</f>
        <v>0</v>
      </c>
      <c r="P34" s="343" t="n">
        <v>0</v>
      </c>
      <c r="Q34" s="45"/>
      <c r="R34" s="334"/>
      <c r="S34" s="335"/>
      <c r="T34" s="335"/>
      <c r="U34" s="336"/>
      <c r="V34" s="337"/>
      <c r="W34" s="338"/>
      <c r="X34" s="334"/>
      <c r="Y34" s="335"/>
      <c r="Z34" s="335"/>
      <c r="AA34" s="336"/>
      <c r="AB34" s="337"/>
      <c r="AC34" s="338"/>
      <c r="AD34" s="334"/>
      <c r="AE34" s="335"/>
      <c r="AF34" s="335"/>
      <c r="AG34" s="336"/>
      <c r="AH34" s="337"/>
      <c r="AI34" s="338"/>
      <c r="AJ34" s="334"/>
      <c r="AK34" s="335"/>
      <c r="AL34" s="335"/>
      <c r="AM34" s="336"/>
      <c r="AN34" s="337"/>
      <c r="AO34" s="338"/>
      <c r="AP34" s="334"/>
      <c r="AQ34" s="335"/>
      <c r="AR34" s="335"/>
      <c r="AS34" s="336"/>
      <c r="AT34" s="337"/>
      <c r="AU34" s="338" t="n">
        <f aca="false">IFERROR(IF(AP34, AT34/AS34, 0),0)</f>
        <v>0</v>
      </c>
      <c r="AV34" s="334"/>
      <c r="AW34" s="335"/>
      <c r="AX34" s="335"/>
      <c r="AY34" s="336"/>
      <c r="AZ34" s="337"/>
      <c r="BA34" s="338"/>
      <c r="BB34" s="334"/>
      <c r="BC34" s="335"/>
      <c r="BD34" s="335"/>
      <c r="BE34" s="336"/>
      <c r="BF34" s="337"/>
      <c r="BG34" s="338"/>
    </row>
    <row r="35" customFormat="false" ht="13.5" hidden="false" customHeight="true" outlineLevel="0" collapsed="false">
      <c r="B35" s="333"/>
      <c r="C35" s="334"/>
      <c r="D35" s="335"/>
      <c r="E35" s="335"/>
      <c r="F35" s="336"/>
      <c r="G35" s="337"/>
      <c r="H35" s="338" t="n">
        <f aca="false">IFERROR(IF(C35, G35/F35, 0),0)</f>
        <v>0</v>
      </c>
      <c r="I35" s="339" t="str">
        <f aca="false">IF(C35&lt;&gt;"",C35,"")</f>
        <v/>
      </c>
      <c r="J35" s="340" t="str">
        <f aca="false">IF(D35&lt;&gt;"",D35,"")</f>
        <v/>
      </c>
      <c r="K35" s="340" t="str">
        <f aca="false">IF(E35&lt;&gt;"",E35,"")</f>
        <v/>
      </c>
      <c r="L35" s="341" t="str">
        <f aca="false">IF(F35&lt;&gt;"",F35,"")</f>
        <v/>
      </c>
      <c r="M35" s="337"/>
      <c r="N35" s="338" t="n">
        <f aca="false">IFERROR(IF(I35, M35/L35, 0),0)</f>
        <v>0</v>
      </c>
      <c r="O35" s="342" t="n">
        <f aca="false">G35-M35</f>
        <v>0</v>
      </c>
      <c r="P35" s="343" t="n">
        <f aca="false">'Unit Reno Premium Comp'!F31-'Unit Mix &amp; Comparables'!G35</f>
        <v>0</v>
      </c>
      <c r="Q35" s="45"/>
      <c r="R35" s="334"/>
      <c r="S35" s="335"/>
      <c r="T35" s="335"/>
      <c r="U35" s="336"/>
      <c r="V35" s="337"/>
      <c r="W35" s="338"/>
      <c r="X35" s="334"/>
      <c r="Y35" s="335"/>
      <c r="Z35" s="335"/>
      <c r="AA35" s="336"/>
      <c r="AB35" s="337"/>
      <c r="AC35" s="338"/>
      <c r="AD35" s="334"/>
      <c r="AE35" s="335"/>
      <c r="AF35" s="335"/>
      <c r="AG35" s="336"/>
      <c r="AH35" s="337"/>
      <c r="AI35" s="338"/>
      <c r="AJ35" s="334"/>
      <c r="AK35" s="335"/>
      <c r="AL35" s="335"/>
      <c r="AM35" s="336"/>
      <c r="AN35" s="337"/>
      <c r="AO35" s="338"/>
      <c r="AP35" s="334"/>
      <c r="AQ35" s="335"/>
      <c r="AR35" s="335"/>
      <c r="AS35" s="336"/>
      <c r="AT35" s="337"/>
      <c r="AU35" s="338" t="n">
        <f aca="false">IFERROR(IF(AP35, AT35/AS35, 0),0)</f>
        <v>0</v>
      </c>
      <c r="AV35" s="334"/>
      <c r="AW35" s="335"/>
      <c r="AX35" s="335"/>
      <c r="AY35" s="336"/>
      <c r="AZ35" s="337"/>
      <c r="BA35" s="338"/>
      <c r="BB35" s="334"/>
      <c r="BC35" s="335"/>
      <c r="BD35" s="335"/>
      <c r="BE35" s="336"/>
      <c r="BF35" s="337"/>
      <c r="BG35" s="338"/>
    </row>
    <row r="36" customFormat="false" ht="13.5" hidden="false" customHeight="true" outlineLevel="0" collapsed="false">
      <c r="B36" s="333"/>
      <c r="C36" s="334"/>
      <c r="D36" s="335"/>
      <c r="E36" s="335"/>
      <c r="F36" s="336"/>
      <c r="G36" s="337"/>
      <c r="H36" s="338" t="n">
        <f aca="false">IFERROR(IF(C36, G36/F36, 0),0)</f>
        <v>0</v>
      </c>
      <c r="I36" s="339" t="str">
        <f aca="false">IF(C36&lt;&gt;"",C36,"")</f>
        <v/>
      </c>
      <c r="J36" s="340" t="str">
        <f aca="false">IF(D36&lt;&gt;"",D36,"")</f>
        <v/>
      </c>
      <c r="K36" s="340" t="str">
        <f aca="false">IF(E36&lt;&gt;"",E36,"")</f>
        <v/>
      </c>
      <c r="L36" s="341" t="str">
        <f aca="false">IF(F36&lt;&gt;"",F36,"")</f>
        <v/>
      </c>
      <c r="M36" s="337"/>
      <c r="N36" s="338" t="n">
        <f aca="false">IFERROR(IF(I36, M36/L36, 0),0)</f>
        <v>0</v>
      </c>
      <c r="O36" s="342" t="n">
        <f aca="false">G36-M36</f>
        <v>0</v>
      </c>
      <c r="P36" s="343" t="n">
        <f aca="false">'Unit Reno Premium Comp'!F32-'Unit Mix &amp; Comparables'!G36</f>
        <v>0</v>
      </c>
      <c r="Q36" s="45"/>
      <c r="R36" s="334"/>
      <c r="S36" s="335"/>
      <c r="T36" s="335"/>
      <c r="U36" s="336"/>
      <c r="V36" s="337"/>
      <c r="W36" s="338"/>
      <c r="X36" s="334"/>
      <c r="Y36" s="335"/>
      <c r="Z36" s="335"/>
      <c r="AA36" s="336"/>
      <c r="AB36" s="337"/>
      <c r="AC36" s="338"/>
      <c r="AD36" s="334"/>
      <c r="AE36" s="335"/>
      <c r="AF36" s="335"/>
      <c r="AG36" s="336"/>
      <c r="AH36" s="337"/>
      <c r="AI36" s="338"/>
      <c r="AJ36" s="334"/>
      <c r="AK36" s="335"/>
      <c r="AL36" s="335"/>
      <c r="AM36" s="336"/>
      <c r="AN36" s="337"/>
      <c r="AO36" s="338"/>
      <c r="AP36" s="334"/>
      <c r="AQ36" s="335"/>
      <c r="AR36" s="335"/>
      <c r="AS36" s="336"/>
      <c r="AT36" s="337"/>
      <c r="AU36" s="338" t="n">
        <f aca="false">IFERROR(IF(AP36, AT36/AS36, 0),0)</f>
        <v>0</v>
      </c>
      <c r="AV36" s="334"/>
      <c r="AW36" s="335"/>
      <c r="AX36" s="335"/>
      <c r="AY36" s="336"/>
      <c r="AZ36" s="337"/>
      <c r="BA36" s="338"/>
      <c r="BB36" s="334"/>
      <c r="BC36" s="335"/>
      <c r="BD36" s="335"/>
      <c r="BE36" s="336"/>
      <c r="BF36" s="337"/>
      <c r="BG36" s="338"/>
    </row>
    <row r="37" customFormat="false" ht="13.5" hidden="false" customHeight="true" outlineLevel="0" collapsed="false">
      <c r="B37" s="333"/>
      <c r="C37" s="334"/>
      <c r="D37" s="335"/>
      <c r="E37" s="335"/>
      <c r="F37" s="336"/>
      <c r="G37" s="337"/>
      <c r="H37" s="338" t="n">
        <f aca="false">IFERROR(IF(C37, G37/F37, 0),0)</f>
        <v>0</v>
      </c>
      <c r="I37" s="339" t="str">
        <f aca="false">IF(C37&lt;&gt;"",C37,"")</f>
        <v/>
      </c>
      <c r="J37" s="340" t="str">
        <f aca="false">IF(D37&lt;&gt;"",D37,"")</f>
        <v/>
      </c>
      <c r="K37" s="340" t="str">
        <f aca="false">IF(E37&lt;&gt;"",E37,"")</f>
        <v/>
      </c>
      <c r="L37" s="341" t="str">
        <f aca="false">IF(F37&lt;&gt;"",F37,"")</f>
        <v/>
      </c>
      <c r="M37" s="337"/>
      <c r="N37" s="338" t="n">
        <f aca="false">IFERROR(IF(I37, M37/L37, 0),0)</f>
        <v>0</v>
      </c>
      <c r="O37" s="342" t="n">
        <f aca="false">G37-M37</f>
        <v>0</v>
      </c>
      <c r="P37" s="343" t="n">
        <f aca="false">'Unit Reno Premium Comp'!F33-'Unit Mix &amp; Comparables'!G37</f>
        <v>0</v>
      </c>
      <c r="Q37" s="45"/>
      <c r="R37" s="334"/>
      <c r="S37" s="335"/>
      <c r="T37" s="335"/>
      <c r="U37" s="336"/>
      <c r="V37" s="337"/>
      <c r="W37" s="338"/>
      <c r="X37" s="334"/>
      <c r="Y37" s="335"/>
      <c r="Z37" s="335"/>
      <c r="AA37" s="336"/>
      <c r="AB37" s="337"/>
      <c r="AC37" s="338"/>
      <c r="AD37" s="334"/>
      <c r="AE37" s="335"/>
      <c r="AF37" s="335"/>
      <c r="AG37" s="336"/>
      <c r="AH37" s="337"/>
      <c r="AI37" s="338"/>
      <c r="AJ37" s="334"/>
      <c r="AK37" s="335"/>
      <c r="AL37" s="335"/>
      <c r="AM37" s="336"/>
      <c r="AN37" s="337"/>
      <c r="AO37" s="338"/>
      <c r="AP37" s="334"/>
      <c r="AQ37" s="335"/>
      <c r="AR37" s="335"/>
      <c r="AS37" s="336"/>
      <c r="AT37" s="337"/>
      <c r="AU37" s="338" t="n">
        <f aca="false">IFERROR(IF(AP37, AT37/AS37, 0),0)</f>
        <v>0</v>
      </c>
      <c r="AV37" s="334"/>
      <c r="AW37" s="335"/>
      <c r="AX37" s="335"/>
      <c r="AY37" s="336"/>
      <c r="AZ37" s="337"/>
      <c r="BA37" s="338"/>
      <c r="BB37" s="334"/>
      <c r="BC37" s="335"/>
      <c r="BD37" s="335"/>
      <c r="BE37" s="336"/>
      <c r="BF37" s="337"/>
      <c r="BG37" s="338"/>
    </row>
    <row r="38" customFormat="false" ht="13.5" hidden="false" customHeight="true" outlineLevel="0" collapsed="false">
      <c r="B38" s="333"/>
      <c r="C38" s="334"/>
      <c r="D38" s="335"/>
      <c r="E38" s="335"/>
      <c r="F38" s="336"/>
      <c r="G38" s="337"/>
      <c r="H38" s="338" t="n">
        <f aca="false">IFERROR(IF(C38, G38/F38, 0),0)</f>
        <v>0</v>
      </c>
      <c r="I38" s="339" t="str">
        <f aca="false">IF(C38&lt;&gt;"",C38,"")</f>
        <v/>
      </c>
      <c r="J38" s="340" t="str">
        <f aca="false">IF(D38&lt;&gt;"",D38,"")</f>
        <v/>
      </c>
      <c r="K38" s="340" t="str">
        <f aca="false">IF(E38&lt;&gt;"",E38,"")</f>
        <v/>
      </c>
      <c r="L38" s="341" t="str">
        <f aca="false">IF(F38&lt;&gt;"",F38,"")</f>
        <v/>
      </c>
      <c r="M38" s="337"/>
      <c r="N38" s="338" t="n">
        <f aca="false">IFERROR(IF(I38, M38/L38, 0),0)</f>
        <v>0</v>
      </c>
      <c r="O38" s="344" t="n">
        <f aca="false">G38-M38</f>
        <v>0</v>
      </c>
      <c r="P38" s="345" t="n">
        <f aca="false">'Unit Reno Premium Comp'!F34-'Unit Mix &amp; Comparables'!M38</f>
        <v>0</v>
      </c>
      <c r="Q38" s="45"/>
      <c r="R38" s="334"/>
      <c r="S38" s="335"/>
      <c r="T38" s="335"/>
      <c r="U38" s="336"/>
      <c r="V38" s="337"/>
      <c r="W38" s="338"/>
      <c r="X38" s="334"/>
      <c r="Y38" s="335"/>
      <c r="Z38" s="335"/>
      <c r="AA38" s="336"/>
      <c r="AB38" s="337"/>
      <c r="AC38" s="338"/>
      <c r="AD38" s="334"/>
      <c r="AE38" s="335"/>
      <c r="AF38" s="335"/>
      <c r="AG38" s="336"/>
      <c r="AH38" s="337"/>
      <c r="AI38" s="338"/>
      <c r="AJ38" s="334"/>
      <c r="AK38" s="335"/>
      <c r="AL38" s="335"/>
      <c r="AM38" s="336"/>
      <c r="AN38" s="337"/>
      <c r="AO38" s="338"/>
      <c r="AP38" s="334"/>
      <c r="AQ38" s="335"/>
      <c r="AR38" s="335"/>
      <c r="AS38" s="336"/>
      <c r="AT38" s="337"/>
      <c r="AU38" s="338"/>
      <c r="AV38" s="334"/>
      <c r="AW38" s="335"/>
      <c r="AX38" s="335"/>
      <c r="AY38" s="336"/>
      <c r="AZ38" s="337"/>
      <c r="BA38" s="338"/>
      <c r="BB38" s="334"/>
      <c r="BC38" s="335"/>
      <c r="BD38" s="335"/>
      <c r="BE38" s="336"/>
      <c r="BF38" s="337"/>
      <c r="BG38" s="338"/>
    </row>
    <row r="39" s="306" customFormat="true" ht="13.5" hidden="false" customHeight="true" outlineLevel="0" collapsed="false">
      <c r="A39" s="262"/>
      <c r="B39" s="346" t="s">
        <v>446</v>
      </c>
      <c r="C39" s="347" t="n">
        <f aca="false">SUM(C9:C38)</f>
        <v>80</v>
      </c>
      <c r="D39" s="348"/>
      <c r="E39" s="348"/>
      <c r="F39" s="349" t="n">
        <f aca="false">SUMPRODUCT(C9:C38, F9:F38)/C39</f>
        <v>1008</v>
      </c>
      <c r="G39" s="350" t="n">
        <f aca="false">SUMPRODUCT(C9:C38, G9:G38)/C39</f>
        <v>777.225</v>
      </c>
      <c r="H39" s="351" t="n">
        <f aca="false">IFERROR(G39/F39,0)</f>
        <v>0.771056547619048</v>
      </c>
      <c r="I39" s="352" t="n">
        <f aca="false">SUM(I9:I38)</f>
        <v>80</v>
      </c>
      <c r="J39" s="353"/>
      <c r="K39" s="353"/>
      <c r="L39" s="354" t="n">
        <f aca="false">SUMPRODUCT(I9:I38, L9:L38)/I39</f>
        <v>1008</v>
      </c>
      <c r="M39" s="350" t="n">
        <f aca="false">SUMPRODUCT(I9:I38, M9:M38)/I39</f>
        <v>775</v>
      </c>
      <c r="N39" s="351" t="n">
        <f aca="false">IFERROR(M39/L39,0)</f>
        <v>0.768849206349206</v>
      </c>
      <c r="O39" s="355"/>
      <c r="P39" s="356"/>
      <c r="Q39" s="357" t="n">
        <v>0</v>
      </c>
      <c r="R39" s="347" t="n">
        <f aca="false">SUM(R9:R38)</f>
        <v>100</v>
      </c>
      <c r="S39" s="348"/>
      <c r="T39" s="348"/>
      <c r="U39" s="354" t="n">
        <f aca="false">IFERROR(SUMPRODUCT(R9:R38, U9:U38)/R39,0)</f>
        <v>522.5</v>
      </c>
      <c r="V39" s="350" t="n">
        <f aca="false">IFERROR(SUMPRODUCT(R9:R38, V9:V38)/R39,0)</f>
        <v>670</v>
      </c>
      <c r="W39" s="351" t="n">
        <f aca="false">IFERROR(IF(R39, V39/U39, 0),0)</f>
        <v>1.2822966507177</v>
      </c>
      <c r="X39" s="347" t="n">
        <f aca="false">SUM(X9:X38)</f>
        <v>200</v>
      </c>
      <c r="Y39" s="348"/>
      <c r="Z39" s="348"/>
      <c r="AA39" s="354" t="n">
        <f aca="false">IFERROR(SUMPRODUCT(X9:X38, AA9:AA38)/X39,0)</f>
        <v>716.875</v>
      </c>
      <c r="AB39" s="350" t="n">
        <f aca="false">IFERROR(SUMPRODUCT(X9:X38, AB9:AB38)/X39,0)</f>
        <v>408.125</v>
      </c>
      <c r="AC39" s="351" t="n">
        <f aca="false">IFERROR(IF(X39, AB39/AA39, 0),0)</f>
        <v>0.569311246730602</v>
      </c>
      <c r="AD39" s="347" t="n">
        <f aca="false">SUM(AD9:AD38)</f>
        <v>100</v>
      </c>
      <c r="AE39" s="348"/>
      <c r="AF39" s="348"/>
      <c r="AG39" s="354" t="n">
        <f aca="false">IFERROR(SUMPRODUCT(AD9:AD38, AG9:AG38)/AD39,0)</f>
        <v>825</v>
      </c>
      <c r="AH39" s="350" t="n">
        <f aca="false">IFERROR(SUMPRODUCT(AD9:AD38, AH9:AH38)/AD39,0)</f>
        <v>480</v>
      </c>
      <c r="AI39" s="351" t="n">
        <f aca="false">IFERROR(IF(AD39, AH39/AG39, 0),0)</f>
        <v>0.581818181818182</v>
      </c>
      <c r="AJ39" s="347" t="n">
        <f aca="false">SUM(AJ9:AJ38)</f>
        <v>125</v>
      </c>
      <c r="AK39" s="348"/>
      <c r="AL39" s="348"/>
      <c r="AM39" s="354" t="n">
        <f aca="false">IFERROR(SUMPRODUCT(AJ9:AJ38, AM9:AM38)/AJ39,0)</f>
        <v>854.2</v>
      </c>
      <c r="AN39" s="350" t="n">
        <f aca="false">IFERROR(SUMPRODUCT(AJ9:AJ38, AN9:AN38)/AJ39,0)</f>
        <v>510.2</v>
      </c>
      <c r="AO39" s="351" t="n">
        <f aca="false">IFERROR(IF(AJ39, AN39/AM39, 0),0)</f>
        <v>0.597284008428939</v>
      </c>
      <c r="AP39" s="347" t="n">
        <f aca="false">SUM(AP9:AP38)</f>
        <v>75</v>
      </c>
      <c r="AQ39" s="348"/>
      <c r="AR39" s="348"/>
      <c r="AS39" s="354" t="n">
        <f aca="false">IFERROR(SUMPRODUCT(AP9:AP38, AS9:AS38)/AP39,0)</f>
        <v>666</v>
      </c>
      <c r="AT39" s="350" t="n">
        <f aca="false">IFERROR(SUMPRODUCT(AP9:AP38, AT9:AT38)/AP39,0)</f>
        <v>471.666666666667</v>
      </c>
      <c r="AU39" s="351" t="n">
        <f aca="false">IFERROR(IF(AP39, AT39/AS39, 0),0)</f>
        <v>0.708208208208208</v>
      </c>
      <c r="AV39" s="347" t="n">
        <f aca="false">SUM(AV9:AV38)</f>
        <v>150</v>
      </c>
      <c r="AW39" s="348"/>
      <c r="AX39" s="348"/>
      <c r="AY39" s="354" t="n">
        <f aca="false">IFERROR(SUMPRODUCT(AV9:AV38, AY9:AY38)/AV39,0)</f>
        <v>1028.16666666667</v>
      </c>
      <c r="AZ39" s="350" t="n">
        <f aca="false">IFERROR(SUMPRODUCT(AV9:AV38, AZ9:AZ38)/AV39,0)</f>
        <v>941</v>
      </c>
      <c r="BA39" s="351" t="n">
        <f aca="false">IFERROR(IF(AV39, AZ39/AY39, 0),0)</f>
        <v>0.915221267628465</v>
      </c>
      <c r="BB39" s="347" t="n">
        <f aca="false">SUM(BB9:BB38)</f>
        <v>0</v>
      </c>
      <c r="BC39" s="348"/>
      <c r="BD39" s="348"/>
      <c r="BE39" s="354" t="n">
        <f aca="false">IFERROR(SUMPRODUCT(BB9:BB38, BE9:BE38)/BB39,0)</f>
        <v>0</v>
      </c>
      <c r="BF39" s="350" t="n">
        <f aca="false">IFERROR(SUMPRODUCT(BB9:BB38, BF9:BF38)/BB39,0)</f>
        <v>0</v>
      </c>
      <c r="BG39" s="351" t="n">
        <f aca="false">IFERROR(IF(BB39, BF39/BE39, 0),0)</f>
        <v>0</v>
      </c>
    </row>
    <row r="40" customFormat="false" ht="13.5" hidden="false" customHeight="true" outlineLevel="0" collapsed="false">
      <c r="B40" s="313" t="s">
        <v>447</v>
      </c>
      <c r="C40" s="358" t="n">
        <v>0</v>
      </c>
      <c r="D40" s="359"/>
      <c r="E40" s="359"/>
      <c r="F40" s="360"/>
      <c r="G40" s="360"/>
      <c r="H40" s="361" t="n">
        <f aca="false">IFERROR(G40/F39,0)</f>
        <v>0</v>
      </c>
      <c r="I40" s="362"/>
      <c r="J40" s="363"/>
      <c r="K40" s="364"/>
      <c r="L40" s="365"/>
      <c r="M40" s="364"/>
      <c r="N40" s="361"/>
      <c r="O40" s="366"/>
      <c r="P40" s="146"/>
      <c r="Q40" s="153"/>
      <c r="R40" s="31"/>
      <c r="S40" s="146"/>
      <c r="T40" s="146"/>
      <c r="U40" s="146"/>
      <c r="V40" s="146"/>
      <c r="W40" s="361"/>
      <c r="X40" s="31"/>
      <c r="Y40" s="146"/>
      <c r="Z40" s="146"/>
      <c r="AA40" s="146"/>
      <c r="AB40" s="146"/>
      <c r="AC40" s="361"/>
      <c r="AD40" s="31"/>
      <c r="AE40" s="146"/>
      <c r="AF40" s="146"/>
      <c r="AG40" s="146"/>
      <c r="AH40" s="146"/>
      <c r="AI40" s="361"/>
      <c r="AJ40" s="31"/>
      <c r="AK40" s="146"/>
      <c r="AL40" s="146"/>
      <c r="AM40" s="146"/>
      <c r="AN40" s="146"/>
      <c r="AO40" s="361"/>
      <c r="AP40" s="31"/>
      <c r="AQ40" s="146"/>
      <c r="AR40" s="146"/>
      <c r="AS40" s="146"/>
      <c r="AT40" s="146"/>
      <c r="AU40" s="361"/>
      <c r="AV40" s="31"/>
      <c r="AW40" s="146"/>
      <c r="AX40" s="146"/>
      <c r="AY40" s="146"/>
      <c r="AZ40" s="146"/>
      <c r="BA40" s="361"/>
      <c r="BB40" s="31"/>
      <c r="BC40" s="146"/>
      <c r="BD40" s="146"/>
      <c r="BE40" s="146"/>
      <c r="BF40" s="146"/>
      <c r="BG40" s="361"/>
    </row>
    <row r="41" customFormat="false" ht="13.5" hidden="false" customHeight="true" outlineLevel="0" collapsed="false">
      <c r="B41" s="367" t="s">
        <v>448</v>
      </c>
      <c r="C41" s="368" t="n">
        <f aca="false">N55</f>
        <v>50</v>
      </c>
      <c r="D41" s="368"/>
      <c r="E41" s="368"/>
      <c r="F41" s="368"/>
      <c r="G41" s="368"/>
      <c r="H41" s="368"/>
      <c r="I41" s="369"/>
      <c r="J41" s="369"/>
      <c r="K41" s="369"/>
      <c r="L41" s="369"/>
      <c r="M41" s="369"/>
      <c r="N41" s="369"/>
      <c r="O41" s="370"/>
      <c r="P41" s="370"/>
      <c r="Q41" s="370"/>
      <c r="R41" s="371"/>
      <c r="S41" s="371"/>
      <c r="T41" s="371"/>
      <c r="U41" s="371"/>
      <c r="V41" s="371"/>
      <c r="W41" s="371"/>
      <c r="X41" s="371"/>
      <c r="Y41" s="371"/>
      <c r="Z41" s="371"/>
      <c r="AA41" s="371"/>
      <c r="AB41" s="371"/>
      <c r="AC41" s="371"/>
      <c r="AD41" s="371"/>
      <c r="AE41" s="371"/>
      <c r="AF41" s="371"/>
      <c r="AG41" s="371"/>
      <c r="AH41" s="371"/>
      <c r="AI41" s="371"/>
      <c r="AJ41" s="371"/>
      <c r="AK41" s="371"/>
      <c r="AL41" s="371"/>
      <c r="AM41" s="371"/>
      <c r="AN41" s="371"/>
      <c r="AO41" s="371"/>
      <c r="AP41" s="371"/>
      <c r="AQ41" s="371"/>
      <c r="AR41" s="371"/>
      <c r="AS41" s="371"/>
      <c r="AT41" s="371"/>
      <c r="AU41" s="371"/>
      <c r="AV41" s="371"/>
      <c r="AW41" s="371"/>
      <c r="AX41" s="371"/>
      <c r="AY41" s="371"/>
      <c r="AZ41" s="371"/>
      <c r="BA41" s="371"/>
      <c r="BB41" s="371"/>
      <c r="BC41" s="371"/>
      <c r="BD41" s="371"/>
      <c r="BE41" s="371"/>
      <c r="BF41" s="371"/>
      <c r="BG41" s="371"/>
    </row>
    <row r="42" customFormat="false" ht="13.5" hidden="false" customHeight="true" outlineLevel="0" collapsed="false">
      <c r="B42" s="367" t="s">
        <v>449</v>
      </c>
      <c r="C42" s="372" t="s">
        <v>450</v>
      </c>
      <c r="D42" s="372"/>
      <c r="E42" s="372"/>
      <c r="F42" s="372"/>
      <c r="G42" s="372"/>
      <c r="H42" s="372"/>
      <c r="I42" s="373"/>
      <c r="J42" s="373"/>
      <c r="K42" s="373"/>
      <c r="L42" s="373"/>
      <c r="M42" s="373"/>
      <c r="N42" s="373"/>
      <c r="O42" s="374"/>
      <c r="P42" s="374"/>
      <c r="Q42" s="374"/>
      <c r="R42" s="375"/>
      <c r="S42" s="375"/>
      <c r="T42" s="375"/>
      <c r="U42" s="375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375"/>
      <c r="AK42" s="375"/>
      <c r="AL42" s="375"/>
      <c r="AM42" s="375"/>
      <c r="AN42" s="375"/>
      <c r="AO42" s="375"/>
      <c r="AP42" s="375"/>
      <c r="AQ42" s="375"/>
      <c r="AR42" s="375"/>
      <c r="AS42" s="375"/>
      <c r="AT42" s="375"/>
      <c r="AU42" s="375"/>
      <c r="AV42" s="375"/>
      <c r="AW42" s="375"/>
      <c r="AX42" s="375"/>
      <c r="AY42" s="375"/>
      <c r="AZ42" s="375"/>
      <c r="BA42" s="375"/>
      <c r="BB42" s="375"/>
      <c r="BC42" s="375"/>
      <c r="BD42" s="375"/>
      <c r="BE42" s="375"/>
      <c r="BF42" s="375"/>
      <c r="BG42" s="375"/>
    </row>
    <row r="43" customFormat="false" ht="13.5" hidden="false" customHeight="true" outlineLevel="0" collapsed="false">
      <c r="B43" s="313" t="s">
        <v>451</v>
      </c>
      <c r="C43" s="376" t="n">
        <v>0</v>
      </c>
      <c r="D43" s="376"/>
      <c r="E43" s="376"/>
      <c r="F43" s="376"/>
      <c r="G43" s="376"/>
      <c r="H43" s="376"/>
      <c r="I43" s="377"/>
      <c r="J43" s="377"/>
      <c r="K43" s="377"/>
      <c r="L43" s="377"/>
      <c r="M43" s="377"/>
      <c r="N43" s="377"/>
      <c r="O43" s="378"/>
      <c r="P43" s="378"/>
      <c r="Q43" s="378"/>
      <c r="R43" s="379"/>
      <c r="S43" s="379"/>
      <c r="T43" s="379"/>
      <c r="U43" s="379"/>
      <c r="V43" s="379"/>
      <c r="W43" s="379"/>
      <c r="X43" s="379"/>
      <c r="Y43" s="379"/>
      <c r="Z43" s="379"/>
      <c r="AA43" s="379"/>
      <c r="AB43" s="379"/>
      <c r="AC43" s="379"/>
      <c r="AD43" s="379"/>
      <c r="AE43" s="379"/>
      <c r="AF43" s="379"/>
      <c r="AG43" s="379"/>
      <c r="AH43" s="379"/>
      <c r="AI43" s="379"/>
      <c r="AJ43" s="379"/>
      <c r="AK43" s="379"/>
      <c r="AL43" s="379"/>
      <c r="AM43" s="379"/>
      <c r="AN43" s="379"/>
      <c r="AO43" s="379"/>
      <c r="AP43" s="379"/>
      <c r="AQ43" s="379"/>
      <c r="AR43" s="379"/>
      <c r="AS43" s="379"/>
      <c r="AT43" s="379"/>
      <c r="AU43" s="379"/>
      <c r="AV43" s="379"/>
      <c r="AW43" s="379"/>
      <c r="AX43" s="379"/>
      <c r="AY43" s="379"/>
      <c r="AZ43" s="379"/>
      <c r="BA43" s="379"/>
      <c r="BB43" s="379"/>
      <c r="BC43" s="379"/>
      <c r="BD43" s="379"/>
      <c r="BE43" s="379"/>
      <c r="BF43" s="379"/>
      <c r="BG43" s="379"/>
    </row>
    <row r="44" customFormat="false" ht="13.5" hidden="false" customHeight="true" outlineLevel="0" collapsed="false">
      <c r="B44" s="367" t="s">
        <v>452</v>
      </c>
      <c r="C44" s="380"/>
      <c r="D44" s="380"/>
      <c r="E44" s="380"/>
      <c r="F44" s="380"/>
      <c r="G44" s="380"/>
      <c r="H44" s="380"/>
      <c r="I44" s="381"/>
      <c r="J44" s="381"/>
      <c r="K44" s="381"/>
      <c r="L44" s="381"/>
      <c r="M44" s="381"/>
      <c r="N44" s="381"/>
      <c r="O44" s="382"/>
      <c r="P44" s="382"/>
      <c r="Q44" s="382"/>
      <c r="R44" s="383"/>
      <c r="S44" s="383"/>
      <c r="T44" s="383"/>
      <c r="U44" s="383"/>
      <c r="V44" s="383"/>
      <c r="W44" s="383"/>
      <c r="X44" s="383"/>
      <c r="Y44" s="383"/>
      <c r="Z44" s="383"/>
      <c r="AA44" s="383"/>
      <c r="AB44" s="383"/>
      <c r="AC44" s="383"/>
      <c r="AD44" s="383"/>
      <c r="AE44" s="383"/>
      <c r="AF44" s="383"/>
      <c r="AG44" s="383"/>
      <c r="AH44" s="383"/>
      <c r="AI44" s="383"/>
      <c r="AJ44" s="383"/>
      <c r="AK44" s="383"/>
      <c r="AL44" s="383"/>
      <c r="AM44" s="383"/>
      <c r="AN44" s="383"/>
      <c r="AO44" s="383"/>
      <c r="AP44" s="383"/>
      <c r="AQ44" s="383"/>
      <c r="AR44" s="383"/>
      <c r="AS44" s="383"/>
      <c r="AT44" s="383"/>
      <c r="AU44" s="383"/>
      <c r="AV44" s="383"/>
      <c r="AW44" s="383"/>
      <c r="AX44" s="383"/>
      <c r="AY44" s="383"/>
      <c r="AZ44" s="383"/>
      <c r="BA44" s="383"/>
      <c r="BB44" s="383"/>
      <c r="BC44" s="383"/>
      <c r="BD44" s="383"/>
      <c r="BE44" s="383"/>
      <c r="BF44" s="383"/>
      <c r="BG44" s="383"/>
    </row>
    <row r="45" customFormat="false" ht="18" hidden="false" customHeight="true" outlineLevel="0" collapsed="false">
      <c r="B45" s="313"/>
      <c r="C45" s="380"/>
      <c r="D45" s="380"/>
      <c r="E45" s="380"/>
      <c r="F45" s="380"/>
      <c r="G45" s="380"/>
      <c r="H45" s="380"/>
      <c r="I45" s="381"/>
      <c r="J45" s="381"/>
      <c r="K45" s="381"/>
      <c r="L45" s="381"/>
      <c r="M45" s="381"/>
      <c r="N45" s="381"/>
      <c r="O45" s="382"/>
      <c r="P45" s="382"/>
      <c r="Q45" s="382"/>
      <c r="R45" s="383"/>
      <c r="S45" s="383"/>
      <c r="T45" s="383"/>
      <c r="U45" s="383"/>
      <c r="V45" s="383"/>
      <c r="W45" s="383"/>
      <c r="X45" s="383"/>
      <c r="Y45" s="383"/>
      <c r="Z45" s="383"/>
      <c r="AA45" s="383"/>
      <c r="AB45" s="383"/>
      <c r="AC45" s="383"/>
      <c r="AD45" s="383"/>
      <c r="AE45" s="383"/>
      <c r="AF45" s="383"/>
      <c r="AG45" s="383"/>
      <c r="AH45" s="383"/>
      <c r="AI45" s="383"/>
      <c r="AJ45" s="383"/>
      <c r="AK45" s="383"/>
      <c r="AL45" s="383"/>
      <c r="AM45" s="383"/>
      <c r="AN45" s="383"/>
      <c r="AO45" s="383"/>
      <c r="AP45" s="383"/>
      <c r="AQ45" s="383"/>
      <c r="AR45" s="383"/>
      <c r="AS45" s="383"/>
      <c r="AT45" s="383"/>
      <c r="AU45" s="383"/>
      <c r="AV45" s="383"/>
      <c r="AW45" s="383"/>
      <c r="AX45" s="383"/>
      <c r="AY45" s="383"/>
      <c r="AZ45" s="383"/>
      <c r="BA45" s="383"/>
      <c r="BB45" s="383"/>
      <c r="BC45" s="383"/>
      <c r="BD45" s="383"/>
      <c r="BE45" s="383"/>
      <c r="BF45" s="383"/>
      <c r="BG45" s="383"/>
    </row>
    <row r="46" customFormat="false" ht="13.5" hidden="false" customHeight="true" outlineLevel="0" collapsed="false">
      <c r="B46" s="69"/>
      <c r="C46" s="299"/>
      <c r="D46" s="299"/>
      <c r="E46" s="299"/>
      <c r="F46" s="300"/>
      <c r="G46" s="300"/>
      <c r="H46" s="83"/>
      <c r="I46" s="300"/>
      <c r="J46" s="301"/>
      <c r="K46" s="302"/>
      <c r="L46" s="303"/>
      <c r="M46" s="302"/>
      <c r="N46" s="302"/>
      <c r="O46" s="303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9"/>
    </row>
    <row r="47" customFormat="false" ht="13.5" hidden="false" customHeight="true" outlineLevel="0" collapsed="false">
      <c r="B47" s="69"/>
      <c r="C47" s="299"/>
      <c r="D47" s="299"/>
      <c r="E47" s="299"/>
      <c r="F47" s="300"/>
      <c r="G47" s="300"/>
      <c r="H47" s="83"/>
      <c r="I47" s="384"/>
      <c r="J47" s="385"/>
      <c r="K47" s="385"/>
      <c r="L47" s="386"/>
      <c r="M47" s="385"/>
      <c r="N47" s="385"/>
      <c r="O47" s="386"/>
      <c r="P47" s="387"/>
      <c r="Q47" s="387"/>
      <c r="R47" s="387"/>
      <c r="S47" s="387"/>
      <c r="T47" s="387"/>
      <c r="U47" s="387"/>
      <c r="V47" s="387"/>
      <c r="W47" s="387"/>
      <c r="X47" s="387"/>
      <c r="Y47" s="387"/>
      <c r="Z47" s="387"/>
      <c r="AA47" s="17"/>
      <c r="AB47" s="17"/>
      <c r="AC47" s="17"/>
      <c r="AD47" s="106" t="s">
        <v>453</v>
      </c>
      <c r="AE47" s="106"/>
      <c r="AF47" s="106"/>
      <c r="AG47" s="106"/>
      <c r="AH47" s="106"/>
      <c r="AI47" s="106"/>
      <c r="AJ47" s="106" t="s">
        <v>454</v>
      </c>
      <c r="AK47" s="106"/>
      <c r="AL47" s="106"/>
      <c r="AM47" s="106"/>
      <c r="AN47" s="106"/>
      <c r="AO47" s="106"/>
      <c r="AP47" s="106" t="s">
        <v>455</v>
      </c>
      <c r="AQ47" s="106"/>
      <c r="AR47" s="106"/>
      <c r="AS47" s="106"/>
      <c r="AT47" s="106"/>
      <c r="AU47" s="106"/>
      <c r="AV47" s="106" t="s">
        <v>456</v>
      </c>
      <c r="AW47" s="106"/>
      <c r="AX47" s="106"/>
      <c r="AY47" s="106"/>
      <c r="AZ47" s="106"/>
      <c r="BA47" s="106"/>
      <c r="BB47" s="17"/>
      <c r="BC47" s="17"/>
      <c r="BD47" s="17"/>
      <c r="BE47" s="17"/>
      <c r="BF47" s="17"/>
      <c r="BG47" s="19"/>
    </row>
    <row r="48" s="306" customFormat="true" ht="13.5" hidden="false" customHeight="true" outlineLevel="0" collapsed="false">
      <c r="A48" s="262"/>
      <c r="B48" s="245" t="s">
        <v>457</v>
      </c>
      <c r="C48" s="245"/>
      <c r="D48" s="245"/>
      <c r="E48" s="245"/>
      <c r="F48" s="245"/>
      <c r="G48" s="245"/>
      <c r="H48" s="388"/>
      <c r="I48" s="305" t="s">
        <v>458</v>
      </c>
      <c r="J48" s="305"/>
      <c r="K48" s="305"/>
      <c r="L48" s="305"/>
      <c r="M48" s="305"/>
      <c r="N48" s="305"/>
      <c r="O48" s="305"/>
      <c r="P48" s="305"/>
      <c r="Q48" s="305"/>
      <c r="R48" s="389"/>
      <c r="S48" s="390"/>
      <c r="T48" s="390"/>
      <c r="U48" s="390"/>
      <c r="V48" s="390"/>
      <c r="W48" s="390"/>
      <c r="X48" s="390"/>
      <c r="Y48" s="390"/>
      <c r="Z48" s="390"/>
      <c r="AA48" s="391"/>
      <c r="AB48" s="391"/>
      <c r="AC48" s="391"/>
      <c r="AD48" s="311" t="s">
        <v>459</v>
      </c>
      <c r="AE48" s="17"/>
      <c r="AF48" s="17"/>
      <c r="AG48" s="17"/>
      <c r="AH48" s="17"/>
      <c r="AI48" s="312" t="s">
        <v>427</v>
      </c>
      <c r="AJ48" s="311"/>
      <c r="AK48" s="17"/>
      <c r="AL48" s="17"/>
      <c r="AM48" s="17"/>
      <c r="AN48" s="17"/>
      <c r="AO48" s="312" t="s">
        <v>427</v>
      </c>
      <c r="AP48" s="311"/>
      <c r="AQ48" s="17"/>
      <c r="AR48" s="17"/>
      <c r="AS48" s="17"/>
      <c r="AT48" s="17"/>
      <c r="AU48" s="312" t="s">
        <v>427</v>
      </c>
      <c r="AV48" s="311"/>
      <c r="AW48" s="17"/>
      <c r="AX48" s="17"/>
      <c r="AY48" s="17"/>
      <c r="AZ48" s="17"/>
      <c r="BA48" s="312" t="s">
        <v>460</v>
      </c>
      <c r="BB48" s="391"/>
      <c r="BC48" s="391"/>
      <c r="BD48" s="391"/>
      <c r="BE48" s="391"/>
      <c r="BF48" s="391"/>
      <c r="BG48" s="392"/>
    </row>
    <row r="49" customFormat="false" ht="13.5" hidden="false" customHeight="true" outlineLevel="0" collapsed="false">
      <c r="B49" s="69"/>
      <c r="C49" s="299"/>
      <c r="D49" s="299"/>
      <c r="E49" s="299"/>
      <c r="F49" s="393" t="s">
        <v>101</v>
      </c>
      <c r="G49" s="394" t="s">
        <v>461</v>
      </c>
      <c r="H49" s="82"/>
      <c r="I49" s="395"/>
      <c r="J49" s="396"/>
      <c r="K49" s="396"/>
      <c r="L49" s="397"/>
      <c r="M49" s="396" t="s">
        <v>462</v>
      </c>
      <c r="N49" s="396"/>
      <c r="O49" s="397"/>
      <c r="P49" s="398"/>
      <c r="Q49" s="399"/>
      <c r="R49" s="387"/>
      <c r="S49" s="400"/>
      <c r="T49" s="400"/>
      <c r="U49" s="400"/>
      <c r="V49" s="400"/>
      <c r="W49" s="400"/>
      <c r="X49" s="400"/>
      <c r="Y49" s="400"/>
      <c r="Z49" s="400"/>
      <c r="AA49" s="17"/>
      <c r="AB49" s="17"/>
      <c r="AC49" s="17"/>
      <c r="AD49" s="319" t="n">
        <v>2008</v>
      </c>
      <c r="AE49" s="17"/>
      <c r="AF49" s="17"/>
      <c r="AG49" s="17"/>
      <c r="AH49" s="17"/>
      <c r="AI49" s="19"/>
      <c r="AJ49" s="319"/>
      <c r="AK49" s="17"/>
      <c r="AL49" s="17"/>
      <c r="AM49" s="17"/>
      <c r="AN49" s="17"/>
      <c r="AO49" s="19"/>
      <c r="AP49" s="319"/>
      <c r="AQ49" s="17"/>
      <c r="AR49" s="17"/>
      <c r="AS49" s="17"/>
      <c r="AT49" s="17"/>
      <c r="AU49" s="19"/>
      <c r="AV49" s="319"/>
      <c r="AW49" s="17"/>
      <c r="AX49" s="17"/>
      <c r="AY49" s="17"/>
      <c r="AZ49" s="17"/>
      <c r="BA49" s="19"/>
      <c r="BB49" s="17"/>
      <c r="BC49" s="17"/>
      <c r="BD49" s="17"/>
      <c r="BE49" s="17"/>
      <c r="BF49" s="17"/>
      <c r="BG49" s="19"/>
    </row>
    <row r="50" customFormat="false" ht="13.5" hidden="false" customHeight="true" outlineLevel="0" collapsed="false">
      <c r="B50" s="69" t="s">
        <v>463</v>
      </c>
      <c r="C50" s="299"/>
      <c r="D50" s="299"/>
      <c r="E50" s="299"/>
      <c r="F50" s="302" t="n">
        <f aca="false">N55</f>
        <v>50</v>
      </c>
      <c r="G50" s="401" t="n">
        <f aca="false">IF(F52, F50/$F$53, 0)</f>
        <v>0.957395883197702</v>
      </c>
      <c r="H50" s="82"/>
      <c r="I50" s="402" t="s">
        <v>464</v>
      </c>
      <c r="J50" s="403" t="s">
        <v>68</v>
      </c>
      <c r="K50" s="403" t="s">
        <v>465</v>
      </c>
      <c r="L50" s="404" t="s">
        <v>466</v>
      </c>
      <c r="M50" s="403" t="s">
        <v>467</v>
      </c>
      <c r="N50" s="403" t="s">
        <v>468</v>
      </c>
      <c r="O50" s="404" t="s">
        <v>469</v>
      </c>
      <c r="P50" s="56"/>
      <c r="Q50" s="57" t="s">
        <v>470</v>
      </c>
      <c r="R50" s="387"/>
      <c r="S50" s="405"/>
      <c r="T50" s="406"/>
      <c r="U50" s="406"/>
      <c r="V50" s="405"/>
      <c r="W50" s="405"/>
      <c r="X50" s="301"/>
      <c r="Y50" s="405"/>
      <c r="Z50" s="101"/>
      <c r="AA50" s="17"/>
      <c r="AB50" s="17"/>
      <c r="AC50" s="17"/>
      <c r="AD50" s="330" t="s">
        <v>68</v>
      </c>
      <c r="AE50" s="104" t="s">
        <v>438</v>
      </c>
      <c r="AF50" s="104" t="s">
        <v>439</v>
      </c>
      <c r="AG50" s="104" t="s">
        <v>440</v>
      </c>
      <c r="AH50" s="327" t="s">
        <v>101</v>
      </c>
      <c r="AI50" s="105" t="s">
        <v>441</v>
      </c>
      <c r="AJ50" s="330" t="s">
        <v>68</v>
      </c>
      <c r="AK50" s="104" t="s">
        <v>438</v>
      </c>
      <c r="AL50" s="104" t="s">
        <v>439</v>
      </c>
      <c r="AM50" s="104" t="s">
        <v>440</v>
      </c>
      <c r="AN50" s="327" t="s">
        <v>101</v>
      </c>
      <c r="AO50" s="105" t="s">
        <v>441</v>
      </c>
      <c r="AP50" s="330" t="s">
        <v>68</v>
      </c>
      <c r="AQ50" s="104" t="s">
        <v>438</v>
      </c>
      <c r="AR50" s="104" t="s">
        <v>439</v>
      </c>
      <c r="AS50" s="104" t="s">
        <v>440</v>
      </c>
      <c r="AT50" s="327" t="s">
        <v>101</v>
      </c>
      <c r="AU50" s="105" t="s">
        <v>441</v>
      </c>
      <c r="AV50" s="330" t="s">
        <v>68</v>
      </c>
      <c r="AW50" s="104" t="s">
        <v>438</v>
      </c>
      <c r="AX50" s="104" t="s">
        <v>439</v>
      </c>
      <c r="AY50" s="104" t="s">
        <v>440</v>
      </c>
      <c r="AZ50" s="327" t="s">
        <v>101</v>
      </c>
      <c r="BA50" s="105" t="s">
        <v>441</v>
      </c>
      <c r="BB50" s="17"/>
      <c r="BC50" s="17"/>
      <c r="BD50" s="17"/>
      <c r="BE50" s="17"/>
      <c r="BF50" s="17"/>
      <c r="BG50" s="19"/>
    </row>
    <row r="51" customFormat="false" ht="13.5" hidden="false" customHeight="true" outlineLevel="0" collapsed="false">
      <c r="B51" s="69" t="s">
        <v>471</v>
      </c>
      <c r="C51" s="299"/>
      <c r="D51" s="407" t="n">
        <v>0</v>
      </c>
      <c r="E51" s="299"/>
      <c r="F51" s="302" t="n">
        <f aca="false">O55</f>
        <v>0</v>
      </c>
      <c r="G51" s="401" t="n">
        <f aca="false">IF(F53, F51/$F$53, 0)</f>
        <v>0</v>
      </c>
      <c r="H51" s="82"/>
      <c r="I51" s="408" t="n">
        <v>0</v>
      </c>
      <c r="J51" s="405" t="n">
        <f aca="false">SUMPRODUCT(($D$9:$D$38=I51)*($C$9:$C$38))</f>
        <v>0</v>
      </c>
      <c r="K51" s="405" t="n">
        <f aca="false">IF(J51,SUMPRODUCT(($D$9:$D$38=$I51)*($C$9:$C$38)*($F$9:$F$38))/SUMPRODUCT(($D$9:$D$38=$I51)*($C$9:$C$38)),0)</f>
        <v>0</v>
      </c>
      <c r="L51" s="301" t="n">
        <f aca="false">IF(J51,SUMPRODUCT(($D$9:$D$38=$I51)*($C$9:$C$38)*($M$9:$M$38))/SUMPRODUCT(($D$9:$D$38=$I51)*($C$9:$C$38)),0)</f>
        <v>0</v>
      </c>
      <c r="M51" s="301" t="n">
        <f aca="false">Q51-O51-N51</f>
        <v>0</v>
      </c>
      <c r="N51" s="301" t="n">
        <v>0</v>
      </c>
      <c r="O51" s="301" t="n">
        <f aca="false">Q51/(1+$D$51)*$D$51</f>
        <v>0</v>
      </c>
      <c r="P51" s="101"/>
      <c r="Q51" s="45" t="n">
        <f aca="false">IF(J51, SUMPRODUCT(($D$9:$D$38=$I51)*($C$9:$C$38)*($G$9:$G$38))/SUMPRODUCT(($D$9:$D$38=$I51)*($C$9:$C$38)),0)</f>
        <v>0</v>
      </c>
      <c r="R51" s="387" t="n">
        <f aca="false">Q51*J51</f>
        <v>0</v>
      </c>
      <c r="S51" s="405"/>
      <c r="T51" s="406"/>
      <c r="U51" s="406"/>
      <c r="V51" s="405"/>
      <c r="W51" s="405"/>
      <c r="X51" s="301"/>
      <c r="Y51" s="405"/>
      <c r="Z51" s="101"/>
      <c r="AA51" s="17"/>
      <c r="AB51" s="17"/>
      <c r="AC51" s="17"/>
      <c r="AD51" s="334" t="n">
        <v>25</v>
      </c>
      <c r="AE51" s="335" t="n">
        <v>1</v>
      </c>
      <c r="AF51" s="335" t="n">
        <v>1</v>
      </c>
      <c r="AG51" s="336" t="n">
        <v>923</v>
      </c>
      <c r="AH51" s="337" t="n">
        <v>873</v>
      </c>
      <c r="AI51" s="338" t="n">
        <f aca="false">IFERROR(IF(AD51, AH51/AG51, 0),0)</f>
        <v>0.945828819068256</v>
      </c>
      <c r="AJ51" s="334"/>
      <c r="AK51" s="335"/>
      <c r="AL51" s="335"/>
      <c r="AM51" s="336"/>
      <c r="AN51" s="337"/>
      <c r="AO51" s="338" t="n">
        <f aca="false">IFERROR(IF(AJ51, AN51/AM51, 0),0)</f>
        <v>0</v>
      </c>
      <c r="AP51" s="334"/>
      <c r="AQ51" s="335"/>
      <c r="AR51" s="335"/>
      <c r="AS51" s="336"/>
      <c r="AT51" s="337"/>
      <c r="AU51" s="338" t="n">
        <f aca="false">IFERROR(IF(AP51, AT51/AS51, 0),0)</f>
        <v>0</v>
      </c>
      <c r="AV51" s="334"/>
      <c r="AW51" s="335"/>
      <c r="AX51" s="335"/>
      <c r="AY51" s="336"/>
      <c r="AZ51" s="337"/>
      <c r="BA51" s="338" t="n">
        <f aca="false">IFERROR(AZ51/AY51,0)</f>
        <v>0</v>
      </c>
      <c r="BB51" s="17"/>
      <c r="BC51" s="17"/>
      <c r="BD51" s="17"/>
      <c r="BE51" s="17"/>
      <c r="BF51" s="17"/>
      <c r="BG51" s="19"/>
    </row>
    <row r="52" customFormat="false" ht="13.5" hidden="false" customHeight="true" outlineLevel="0" collapsed="false">
      <c r="B52" s="69" t="s">
        <v>472</v>
      </c>
      <c r="C52" s="299"/>
      <c r="D52" s="299"/>
      <c r="E52" s="299"/>
      <c r="F52" s="364" t="n">
        <f aca="false">F53-(F50+F51)</f>
        <v>2.22500000000002</v>
      </c>
      <c r="G52" s="409" t="n">
        <f aca="false">IF(F54, F52/$F$53, 0)</f>
        <v>0</v>
      </c>
      <c r="H52" s="82"/>
      <c r="I52" s="408" t="n">
        <v>1</v>
      </c>
      <c r="J52" s="405" t="n">
        <f aca="false">SUMPRODUCT(($D$9:$D$38=I52)*($C$9:$C$38))</f>
        <v>0</v>
      </c>
      <c r="K52" s="405" t="n">
        <f aca="false">IF(J52,SUMPRODUCT(($D$9:$D$38=$I52)*($C$9:$C$38)*($F$9:$F$38))/SUMPRODUCT(($D$9:$D$38=$I52)*($C$9:$C$38)),0)</f>
        <v>0</v>
      </c>
      <c r="L52" s="301" t="n">
        <f aca="false">IF(J52,SUMPRODUCT(($D$9:$D$38=$I52)*($C$9:$C$38)*($M$9:$M$38))/SUMPRODUCT(($D$9:$D$38=$I52)*($C$9:$C$38)),0)</f>
        <v>0</v>
      </c>
      <c r="M52" s="301" t="n">
        <f aca="false">IF(J52,SUMPRODUCT(($D$9:$D$38=$I52)*($C$9:$C$38)*($G$9:$G$38))/SUMPRODUCT(($D$9:$D$38=$I52)*($C$9:$C$38)),0)</f>
        <v>0</v>
      </c>
      <c r="N52" s="301" t="n">
        <v>0</v>
      </c>
      <c r="O52" s="301" t="n">
        <f aca="false">Q52/(1+$D$51)*$D$51</f>
        <v>0</v>
      </c>
      <c r="P52" s="101"/>
      <c r="Q52" s="45" t="n">
        <f aca="false">IF(J52, SUMPRODUCT(($D$9:$D$38=$I52)*($C$9:$C$38)*($G$9:$G$38))/SUMPRODUCT(($D$9:$D$38=$I52)*($C$9:$C$38)),0)+N52</f>
        <v>0</v>
      </c>
      <c r="R52" s="410" t="n">
        <f aca="false">Q52*J52</f>
        <v>0</v>
      </c>
      <c r="S52" s="405"/>
      <c r="T52" s="406"/>
      <c r="U52" s="406"/>
      <c r="V52" s="405"/>
      <c r="W52" s="405"/>
      <c r="X52" s="301"/>
      <c r="Y52" s="405"/>
      <c r="Z52" s="101"/>
      <c r="AA52" s="17"/>
      <c r="AB52" s="17"/>
      <c r="AC52" s="17"/>
      <c r="AD52" s="334" t="n">
        <v>25</v>
      </c>
      <c r="AE52" s="335" t="n">
        <v>2</v>
      </c>
      <c r="AF52" s="335" t="n">
        <v>2</v>
      </c>
      <c r="AG52" s="336" t="n">
        <v>1122</v>
      </c>
      <c r="AH52" s="337" t="n">
        <v>1123</v>
      </c>
      <c r="AI52" s="338" t="n">
        <f aca="false">IFERROR(IF(AD52, AH52/AG52, 0),0)</f>
        <v>1.00089126559715</v>
      </c>
      <c r="AJ52" s="334"/>
      <c r="AK52" s="335"/>
      <c r="AL52" s="335"/>
      <c r="AM52" s="336"/>
      <c r="AN52" s="337"/>
      <c r="AO52" s="338" t="n">
        <f aca="false">IFERROR(IF(AJ52, AN52/AM52, 0),0)</f>
        <v>0</v>
      </c>
      <c r="AP52" s="334"/>
      <c r="AQ52" s="335"/>
      <c r="AR52" s="335"/>
      <c r="AS52" s="336"/>
      <c r="AT52" s="337"/>
      <c r="AU52" s="338" t="n">
        <f aca="false">IFERROR(IF(AP52, AT52/AS52, 0),0)</f>
        <v>0</v>
      </c>
      <c r="AV52" s="334"/>
      <c r="AW52" s="335"/>
      <c r="AX52" s="335"/>
      <c r="AY52" s="336"/>
      <c r="AZ52" s="337"/>
      <c r="BA52" s="338" t="n">
        <v>0</v>
      </c>
      <c r="BB52" s="17"/>
      <c r="BC52" s="17"/>
      <c r="BD52" s="17"/>
      <c r="BE52" s="17"/>
      <c r="BF52" s="17"/>
      <c r="BG52" s="19"/>
    </row>
    <row r="53" customFormat="false" ht="13.5" hidden="false" customHeight="true" outlineLevel="0" collapsed="false">
      <c r="B53" s="75" t="s">
        <v>473</v>
      </c>
      <c r="C53" s="359"/>
      <c r="D53" s="359"/>
      <c r="E53" s="359"/>
      <c r="F53" s="327" t="n">
        <f aca="false">Q55-L55</f>
        <v>52.225</v>
      </c>
      <c r="G53" s="411" t="n">
        <f aca="false">IF(F53, F53/$F$53, 0)</f>
        <v>1</v>
      </c>
      <c r="H53" s="82"/>
      <c r="I53" s="408" t="n">
        <v>2</v>
      </c>
      <c r="J53" s="405" t="n">
        <f aca="false">SUMPRODUCT(($D$9:$D$38=I53)*($C$9:$C$38))</f>
        <v>80</v>
      </c>
      <c r="K53" s="405" t="n">
        <f aca="false">IF(J53,SUMPRODUCT(($D$9:$D$38=$I53)*($C$9:$C$38)*($F$9:$F$38))/SUMPRODUCT(($D$9:$D$38=$I53)*($C$9:$C$38)),0)</f>
        <v>1008</v>
      </c>
      <c r="L53" s="301" t="n">
        <f aca="false">IF(J53,SUMPRODUCT(($D$9:$D$38=$I53)*($C$9:$C$38)*($M$9:$M$38))/SUMPRODUCT(($D$9:$D$38=$I53)*($C$9:$C$38)),0)</f>
        <v>775</v>
      </c>
      <c r="M53" s="301" t="n">
        <f aca="false">IF(J53,SUMPRODUCT(($D$9:$D$38=$I53)*($C$9:$C$38)*($G$9:$G$38))/SUMPRODUCT(($D$9:$D$38=$I53)*($C$9:$C$38)),0)</f>
        <v>777.225</v>
      </c>
      <c r="N53" s="301" t="n">
        <v>50</v>
      </c>
      <c r="O53" s="301" t="n">
        <f aca="false">Q53/(1+$D$51)*$D$51</f>
        <v>0</v>
      </c>
      <c r="P53" s="101"/>
      <c r="Q53" s="45" t="n">
        <f aca="false">IF(J53, SUMPRODUCT(($D$9:$D$38=$I53)*($C$9:$C$38)*($G$9:$G$38))/SUMPRODUCT(($D$9:$D$38=$I53)*($C$9:$C$38)),0)+N53</f>
        <v>827.225</v>
      </c>
      <c r="R53" s="410" t="n">
        <f aca="false">Q53*J53</f>
        <v>66178</v>
      </c>
      <c r="S53" s="405"/>
      <c r="T53" s="406"/>
      <c r="U53" s="406"/>
      <c r="V53" s="405"/>
      <c r="W53" s="405"/>
      <c r="X53" s="301"/>
      <c r="Y53" s="405"/>
      <c r="Z53" s="101"/>
      <c r="AA53" s="17"/>
      <c r="AB53" s="17"/>
      <c r="AC53" s="17"/>
      <c r="AD53" s="334" t="n">
        <v>25</v>
      </c>
      <c r="AE53" s="335" t="n">
        <v>2</v>
      </c>
      <c r="AF53" s="335" t="n">
        <v>2</v>
      </c>
      <c r="AG53" s="336" t="n">
        <v>1200</v>
      </c>
      <c r="AH53" s="337" t="n">
        <v>1211</v>
      </c>
      <c r="AI53" s="338" t="n">
        <f aca="false">IFERROR(IF(AD53, AH53/AG53, 0),0)</f>
        <v>1.00916666666667</v>
      </c>
      <c r="AJ53" s="334"/>
      <c r="AK53" s="335"/>
      <c r="AL53" s="335"/>
      <c r="AM53" s="336"/>
      <c r="AN53" s="337"/>
      <c r="AO53" s="338" t="n">
        <f aca="false">IFERROR(IF(AJ53, AN53/AM53, 0),0)</f>
        <v>0</v>
      </c>
      <c r="AP53" s="334"/>
      <c r="AQ53" s="335"/>
      <c r="AR53" s="335"/>
      <c r="AS53" s="336"/>
      <c r="AT53" s="337"/>
      <c r="AU53" s="338" t="n">
        <f aca="false">IFERROR(IF(AP53, AT53/AS53, 0),0)</f>
        <v>0</v>
      </c>
      <c r="AV53" s="334"/>
      <c r="AW53" s="335"/>
      <c r="AX53" s="335"/>
      <c r="AY53" s="336"/>
      <c r="AZ53" s="337"/>
      <c r="BA53" s="338" t="n">
        <v>0</v>
      </c>
      <c r="BB53" s="17"/>
      <c r="BC53" s="17"/>
      <c r="BD53" s="17"/>
      <c r="BE53" s="17"/>
      <c r="BF53" s="17"/>
      <c r="BG53" s="19"/>
    </row>
    <row r="54" customFormat="false" ht="13.5" hidden="false" customHeight="true" outlineLevel="0" collapsed="false">
      <c r="B54" s="69"/>
      <c r="C54" s="299"/>
      <c r="D54" s="299"/>
      <c r="E54" s="299"/>
      <c r="F54" s="300"/>
      <c r="G54" s="300"/>
      <c r="H54" s="82"/>
      <c r="I54" s="412" t="n">
        <v>3</v>
      </c>
      <c r="J54" s="413" t="n">
        <f aca="false">SUMPRODUCT(($D$9:$D$38=I54)*($C$9:$C$38))</f>
        <v>0</v>
      </c>
      <c r="K54" s="413" t="n">
        <f aca="false">IF(J54,SUMPRODUCT(($D$9:$D$38=$I54)*($C$9:$C$38)*($F$9:$F$38))/SUMPRODUCT(($D$9:$D$38=$I54)*($C$9:$C$38)),0)</f>
        <v>0</v>
      </c>
      <c r="L54" s="363" t="n">
        <f aca="false">IF(J54,SUMPRODUCT(($D$9:$D$38=$I54)*($C$9:$C$38)*($M$9:$M$38))/SUMPRODUCT(($D$9:$D$38=$I54)*($C$9:$C$38)),0)</f>
        <v>0</v>
      </c>
      <c r="M54" s="363" t="n">
        <f aca="false">IF(J54,SUMPRODUCT(($D$9:$D$38=$I54)*($C$9:$C$38)*($G$9:$G$38))/SUMPRODUCT(($D$9:$D$38=$I54)*($C$9:$C$38)),0)</f>
        <v>0</v>
      </c>
      <c r="N54" s="363" t="n">
        <v>0</v>
      </c>
      <c r="O54" s="363" t="n">
        <f aca="false">Q54/(1+$D$51)*$D$51</f>
        <v>0</v>
      </c>
      <c r="P54" s="253"/>
      <c r="Q54" s="51" t="n">
        <f aca="false">IF(J54, SUMPRODUCT(($D$9:$D$38=$I54)*($C$9:$C$38)*($G$9:$G$38))/SUMPRODUCT(($D$9:$D$38=$I54)*($C$9:$C$38)),0)+N54</f>
        <v>0</v>
      </c>
      <c r="R54" s="410" t="n">
        <f aca="false">Q54*J54</f>
        <v>0</v>
      </c>
      <c r="S54" s="405"/>
      <c r="T54" s="406"/>
      <c r="U54" s="406"/>
      <c r="V54" s="405"/>
      <c r="W54" s="405"/>
      <c r="X54" s="301"/>
      <c r="Y54" s="405"/>
      <c r="Z54" s="101"/>
      <c r="AA54" s="17"/>
      <c r="AB54" s="17"/>
      <c r="AC54" s="17"/>
      <c r="AD54" s="334" t="n">
        <v>25</v>
      </c>
      <c r="AE54" s="335" t="n">
        <v>2</v>
      </c>
      <c r="AF54" s="335" t="n">
        <v>2</v>
      </c>
      <c r="AG54" s="336" t="n">
        <v>1222</v>
      </c>
      <c r="AH54" s="337" t="n">
        <v>961</v>
      </c>
      <c r="AI54" s="338" t="n">
        <f aca="false">IFERROR(IF(AD54, AH54/AG54, 0),0)</f>
        <v>0.786415711947627</v>
      </c>
      <c r="AJ54" s="334"/>
      <c r="AK54" s="335"/>
      <c r="AL54" s="335"/>
      <c r="AM54" s="336"/>
      <c r="AN54" s="337"/>
      <c r="AO54" s="338" t="n">
        <f aca="false">IFERROR(IF(AJ54, AN54/AM54, 0),0)</f>
        <v>0</v>
      </c>
      <c r="AP54" s="334"/>
      <c r="AQ54" s="335"/>
      <c r="AR54" s="335"/>
      <c r="AS54" s="336"/>
      <c r="AT54" s="337"/>
      <c r="AU54" s="338" t="n">
        <f aca="false">IFERROR(IF(AP54, AT54/AS54, 0),0)</f>
        <v>0</v>
      </c>
      <c r="AV54" s="334"/>
      <c r="AW54" s="335"/>
      <c r="AX54" s="335"/>
      <c r="AY54" s="336"/>
      <c r="AZ54" s="337"/>
      <c r="BA54" s="338" t="n">
        <v>0</v>
      </c>
      <c r="BB54" s="17"/>
      <c r="BC54" s="17"/>
      <c r="BD54" s="17"/>
      <c r="BE54" s="17"/>
      <c r="BF54" s="17"/>
      <c r="BG54" s="19"/>
    </row>
    <row r="55" customFormat="false" ht="13.5" hidden="false" customHeight="true" outlineLevel="0" collapsed="false">
      <c r="B55" s="414" t="s">
        <v>474</v>
      </c>
      <c r="C55" s="414"/>
      <c r="D55" s="414"/>
      <c r="E55" s="414"/>
      <c r="F55" s="414"/>
      <c r="G55" s="414"/>
      <c r="H55" s="82"/>
      <c r="I55" s="415" t="s">
        <v>369</v>
      </c>
      <c r="J55" s="416" t="n">
        <f aca="false">SUM(J51:J54)</f>
        <v>80</v>
      </c>
      <c r="K55" s="416" t="n">
        <f aca="false">F39</f>
        <v>1008</v>
      </c>
      <c r="L55" s="403" t="n">
        <f aca="false">M39</f>
        <v>775</v>
      </c>
      <c r="M55" s="403" t="n">
        <f aca="false">G39</f>
        <v>777.225</v>
      </c>
      <c r="N55" s="403" t="n">
        <f aca="false">SUM(N51:N54)</f>
        <v>50</v>
      </c>
      <c r="O55" s="403" t="n">
        <f aca="false">SUM(O51:O54)</f>
        <v>0</v>
      </c>
      <c r="P55" s="136"/>
      <c r="Q55" s="417" t="n">
        <f aca="false">SUM(M55:O55)</f>
        <v>827.225</v>
      </c>
      <c r="R55" s="418" t="n">
        <f aca="false">SUM(R51:R54)</f>
        <v>66178</v>
      </c>
      <c r="S55" s="405"/>
      <c r="T55" s="406"/>
      <c r="U55" s="406"/>
      <c r="V55" s="405"/>
      <c r="W55" s="405"/>
      <c r="X55" s="301"/>
      <c r="Y55" s="405"/>
      <c r="Z55" s="101"/>
      <c r="AA55" s="17"/>
      <c r="AB55" s="17"/>
      <c r="AC55" s="17"/>
      <c r="AD55" s="334" t="n">
        <v>25</v>
      </c>
      <c r="AE55" s="335" t="n">
        <v>2</v>
      </c>
      <c r="AF55" s="335" t="n">
        <v>2</v>
      </c>
      <c r="AG55" s="336" t="n">
        <v>1347</v>
      </c>
      <c r="AH55" s="337" t="n">
        <v>940</v>
      </c>
      <c r="AI55" s="338" t="n">
        <f aca="false">IFERROR(IF(AD55, AH55/AG55, 0),0)</f>
        <v>0.697847067557535</v>
      </c>
      <c r="AJ55" s="334"/>
      <c r="AK55" s="335"/>
      <c r="AL55" s="335"/>
      <c r="AM55" s="336"/>
      <c r="AN55" s="337"/>
      <c r="AO55" s="338" t="n">
        <f aca="false">IFERROR(IF(AJ55, AN55/AM55, 0),0)</f>
        <v>0</v>
      </c>
      <c r="AP55" s="334"/>
      <c r="AQ55" s="335"/>
      <c r="AR55" s="335"/>
      <c r="AS55" s="336"/>
      <c r="AT55" s="337"/>
      <c r="AU55" s="338" t="n">
        <f aca="false">IFERROR(IF(AP55, AT55/AS55, 0),0)</f>
        <v>0</v>
      </c>
      <c r="AV55" s="334"/>
      <c r="AW55" s="335"/>
      <c r="AX55" s="335"/>
      <c r="AY55" s="336"/>
      <c r="AZ55" s="337"/>
      <c r="BA55" s="338" t="n">
        <v>0</v>
      </c>
      <c r="BB55" s="17"/>
      <c r="BC55" s="17"/>
      <c r="BD55" s="17"/>
      <c r="BE55" s="17"/>
      <c r="BF55" s="17"/>
      <c r="BG55" s="19"/>
    </row>
    <row r="56" customFormat="false" ht="13.5" hidden="false" customHeight="true" outlineLevel="0" collapsed="false">
      <c r="B56" s="414"/>
      <c r="C56" s="414"/>
      <c r="D56" s="414"/>
      <c r="E56" s="414"/>
      <c r="F56" s="414"/>
      <c r="G56" s="414"/>
      <c r="H56" s="82"/>
      <c r="I56" s="300"/>
      <c r="J56" s="301"/>
      <c r="K56" s="301"/>
      <c r="L56" s="419"/>
      <c r="M56" s="301"/>
      <c r="N56" s="301"/>
      <c r="O56" s="419"/>
      <c r="P56" s="17"/>
      <c r="Q56" s="17"/>
      <c r="R56" s="418" t="n">
        <f aca="false">R55/J55</f>
        <v>827.225</v>
      </c>
      <c r="S56" s="405"/>
      <c r="T56" s="406"/>
      <c r="U56" s="406"/>
      <c r="V56" s="405"/>
      <c r="W56" s="405"/>
      <c r="X56" s="301"/>
      <c r="Y56" s="405"/>
      <c r="Z56" s="101"/>
      <c r="AA56" s="17"/>
      <c r="AB56" s="17"/>
      <c r="AC56" s="17"/>
      <c r="AD56" s="334" t="n">
        <v>25</v>
      </c>
      <c r="AE56" s="335" t="n">
        <v>3</v>
      </c>
      <c r="AF56" s="335" t="n">
        <v>2</v>
      </c>
      <c r="AG56" s="336" t="n">
        <v>1464</v>
      </c>
      <c r="AH56" s="337" t="n">
        <v>1236</v>
      </c>
      <c r="AI56" s="338" t="n">
        <f aca="false">IFERROR(IF(AD56, AH56/AG56, 0),0)</f>
        <v>0.844262295081967</v>
      </c>
      <c r="AJ56" s="334"/>
      <c r="AK56" s="335"/>
      <c r="AL56" s="335"/>
      <c r="AM56" s="336"/>
      <c r="AN56" s="337"/>
      <c r="AO56" s="338" t="n">
        <f aca="false">IFERROR(IF(AJ56, AN56/AM56, 0),0)</f>
        <v>0</v>
      </c>
      <c r="AP56" s="334"/>
      <c r="AQ56" s="335"/>
      <c r="AR56" s="335"/>
      <c r="AS56" s="336"/>
      <c r="AT56" s="337"/>
      <c r="AU56" s="338" t="n">
        <f aca="false">IFERROR(IF(AP56, AT56/AS56, 0),0)</f>
        <v>0</v>
      </c>
      <c r="AV56" s="334"/>
      <c r="AW56" s="335"/>
      <c r="AX56" s="335"/>
      <c r="AY56" s="336"/>
      <c r="AZ56" s="337"/>
      <c r="BA56" s="338" t="n">
        <v>0</v>
      </c>
      <c r="BB56" s="17"/>
      <c r="BC56" s="17"/>
      <c r="BD56" s="17"/>
      <c r="BE56" s="17"/>
      <c r="BF56" s="17"/>
      <c r="BG56" s="19"/>
    </row>
    <row r="57" customFormat="false" ht="13.5" hidden="false" customHeight="true" outlineLevel="0" collapsed="false">
      <c r="B57" s="414"/>
      <c r="C57" s="414"/>
      <c r="D57" s="414"/>
      <c r="E57" s="414"/>
      <c r="F57" s="414"/>
      <c r="G57" s="414"/>
      <c r="H57" s="82"/>
      <c r="I57" s="300"/>
      <c r="J57" s="301"/>
      <c r="K57" s="301"/>
      <c r="L57" s="419"/>
      <c r="M57" s="301"/>
      <c r="N57" s="301"/>
      <c r="O57" s="419"/>
      <c r="P57" s="17"/>
      <c r="Q57" s="420"/>
      <c r="R57" s="17"/>
      <c r="S57" s="405"/>
      <c r="T57" s="406"/>
      <c r="U57" s="406"/>
      <c r="V57" s="405"/>
      <c r="W57" s="405"/>
      <c r="X57" s="301"/>
      <c r="Y57" s="405"/>
      <c r="Z57" s="101"/>
      <c r="AA57" s="17"/>
      <c r="AB57" s="17"/>
      <c r="AC57" s="17"/>
      <c r="AD57" s="334"/>
      <c r="AE57" s="335"/>
      <c r="AF57" s="335"/>
      <c r="AG57" s="336"/>
      <c r="AH57" s="337"/>
      <c r="AI57" s="338" t="n">
        <f aca="false">IFERROR(IF(AD57, AH57/AG57, 0),0)</f>
        <v>0</v>
      </c>
      <c r="AJ57" s="334"/>
      <c r="AK57" s="335"/>
      <c r="AL57" s="335"/>
      <c r="AM57" s="336"/>
      <c r="AN57" s="337"/>
      <c r="AO57" s="338" t="n">
        <f aca="false">IFERROR(IF(AJ57, AN57/AM57, 0),0)</f>
        <v>0</v>
      </c>
      <c r="AP57" s="334"/>
      <c r="AQ57" s="335"/>
      <c r="AR57" s="335"/>
      <c r="AS57" s="336"/>
      <c r="AT57" s="337"/>
      <c r="AU57" s="338" t="n">
        <f aca="false">IFERROR(IF(AP57, AT57/AS57, 0),0)</f>
        <v>0</v>
      </c>
      <c r="AV57" s="334"/>
      <c r="AW57" s="335"/>
      <c r="AX57" s="335"/>
      <c r="AY57" s="336"/>
      <c r="AZ57" s="337"/>
      <c r="BA57" s="338" t="n">
        <v>0</v>
      </c>
      <c r="BB57" s="17"/>
      <c r="BC57" s="17"/>
      <c r="BD57" s="17"/>
      <c r="BE57" s="17"/>
      <c r="BF57" s="17"/>
      <c r="BG57" s="19"/>
    </row>
    <row r="58" customFormat="false" ht="13.5" hidden="false" customHeight="true" outlineLevel="0" collapsed="false">
      <c r="B58" s="414"/>
      <c r="C58" s="414"/>
      <c r="D58" s="414"/>
      <c r="E58" s="414"/>
      <c r="F58" s="414"/>
      <c r="G58" s="414"/>
      <c r="H58" s="82"/>
      <c r="I58" s="300"/>
      <c r="J58" s="301"/>
      <c r="K58" s="301"/>
      <c r="L58" s="419"/>
      <c r="M58" s="301"/>
      <c r="N58" s="301"/>
      <c r="O58" s="419"/>
      <c r="P58" s="17"/>
      <c r="Q58" s="17"/>
      <c r="R58" s="17"/>
      <c r="S58" s="405"/>
      <c r="T58" s="406"/>
      <c r="U58" s="406"/>
      <c r="V58" s="405"/>
      <c r="W58" s="405"/>
      <c r="X58" s="301"/>
      <c r="Y58" s="405"/>
      <c r="Z58" s="101"/>
      <c r="AA58" s="17"/>
      <c r="AB58" s="17"/>
      <c r="AC58" s="17"/>
      <c r="AD58" s="334"/>
      <c r="AE58" s="335"/>
      <c r="AF58" s="335"/>
      <c r="AG58" s="336"/>
      <c r="AH58" s="337"/>
      <c r="AI58" s="338" t="n">
        <f aca="false">IFERROR(IF(AD58, AH58/AG58, 0),0)</f>
        <v>0</v>
      </c>
      <c r="AJ58" s="334"/>
      <c r="AK58" s="335"/>
      <c r="AL58" s="335"/>
      <c r="AM58" s="336"/>
      <c r="AN58" s="337"/>
      <c r="AO58" s="338" t="n">
        <f aca="false">IFERROR(IF(AJ58, AN58/AM58, 0),0)</f>
        <v>0</v>
      </c>
      <c r="AP58" s="334"/>
      <c r="AQ58" s="335"/>
      <c r="AR58" s="335"/>
      <c r="AS58" s="336"/>
      <c r="AT58" s="337"/>
      <c r="AU58" s="338" t="n">
        <f aca="false">IFERROR(IF(AP58, AT58/AS58, 0),0)</f>
        <v>0</v>
      </c>
      <c r="AV58" s="334"/>
      <c r="AW58" s="335"/>
      <c r="AX58" s="335"/>
      <c r="AY58" s="336"/>
      <c r="AZ58" s="337"/>
      <c r="BA58" s="338" t="n">
        <v>0</v>
      </c>
      <c r="BB58" s="17"/>
      <c r="BC58" s="17"/>
      <c r="BD58" s="17"/>
      <c r="BE58" s="17"/>
      <c r="BF58" s="17"/>
      <c r="BG58" s="19"/>
    </row>
    <row r="59" customFormat="false" ht="13.5" hidden="false" customHeight="true" outlineLevel="0" collapsed="false">
      <c r="B59" s="414"/>
      <c r="C59" s="414"/>
      <c r="D59" s="414"/>
      <c r="E59" s="414"/>
      <c r="F59" s="414"/>
      <c r="G59" s="414"/>
      <c r="H59" s="82"/>
      <c r="I59" s="300"/>
      <c r="J59" s="301"/>
      <c r="K59" s="301"/>
      <c r="L59" s="419"/>
      <c r="M59" s="301"/>
      <c r="N59" s="301"/>
      <c r="O59" s="419"/>
      <c r="P59" s="17"/>
      <c r="Q59" s="17"/>
      <c r="R59" s="17"/>
      <c r="S59" s="405"/>
      <c r="T59" s="406"/>
      <c r="U59" s="406"/>
      <c r="V59" s="405"/>
      <c r="W59" s="405"/>
      <c r="X59" s="301"/>
      <c r="Y59" s="405"/>
      <c r="Z59" s="101"/>
      <c r="AA59" s="17"/>
      <c r="AB59" s="17"/>
      <c r="AC59" s="17"/>
      <c r="AD59" s="334"/>
      <c r="AE59" s="335"/>
      <c r="AF59" s="335"/>
      <c r="AG59" s="336"/>
      <c r="AH59" s="337"/>
      <c r="AI59" s="338" t="n">
        <f aca="false">IFERROR(IF(AD59, AH59/AG59, 0),0)</f>
        <v>0</v>
      </c>
      <c r="AJ59" s="334"/>
      <c r="AK59" s="335"/>
      <c r="AL59" s="335"/>
      <c r="AM59" s="336"/>
      <c r="AN59" s="337"/>
      <c r="AO59" s="338" t="n">
        <f aca="false">IFERROR(IF(AJ59, AN59/AM59, 0),0)</f>
        <v>0</v>
      </c>
      <c r="AP59" s="334"/>
      <c r="AQ59" s="335"/>
      <c r="AR59" s="335"/>
      <c r="AS59" s="336"/>
      <c r="AT59" s="337"/>
      <c r="AU59" s="338" t="n">
        <f aca="false">IFERROR(IF(AP59, AT59/AS59, 0),0)</f>
        <v>0</v>
      </c>
      <c r="AV59" s="334"/>
      <c r="AW59" s="335"/>
      <c r="AX59" s="335"/>
      <c r="AY59" s="336"/>
      <c r="AZ59" s="337"/>
      <c r="BA59" s="338" t="n">
        <v>0</v>
      </c>
      <c r="BB59" s="17"/>
      <c r="BC59" s="17"/>
      <c r="BD59" s="17"/>
      <c r="BE59" s="17"/>
      <c r="BF59" s="17"/>
      <c r="BG59" s="19"/>
    </row>
    <row r="60" customFormat="false" ht="13.5" hidden="false" customHeight="true" outlineLevel="0" collapsed="false">
      <c r="B60" s="414"/>
      <c r="C60" s="414"/>
      <c r="D60" s="414"/>
      <c r="E60" s="414"/>
      <c r="F60" s="414"/>
      <c r="G60" s="414"/>
      <c r="H60" s="82"/>
      <c r="I60" s="300"/>
      <c r="J60" s="301"/>
      <c r="K60" s="301"/>
      <c r="L60" s="419"/>
      <c r="M60" s="301"/>
      <c r="N60" s="301"/>
      <c r="O60" s="419"/>
      <c r="P60" s="17"/>
      <c r="Q60" s="17"/>
      <c r="R60" s="17"/>
      <c r="S60" s="405"/>
      <c r="T60" s="406"/>
      <c r="U60" s="406"/>
      <c r="V60" s="405"/>
      <c r="W60" s="405"/>
      <c r="X60" s="301"/>
      <c r="Y60" s="405"/>
      <c r="Z60" s="101"/>
      <c r="AA60" s="17"/>
      <c r="AB60" s="17"/>
      <c r="AC60" s="17"/>
      <c r="AD60" s="334"/>
      <c r="AE60" s="335"/>
      <c r="AF60" s="335"/>
      <c r="AG60" s="336"/>
      <c r="AH60" s="337"/>
      <c r="AI60" s="338" t="n">
        <f aca="false">IFERROR(IF(AD60, AH60/AG60, 0),0)</f>
        <v>0</v>
      </c>
      <c r="AJ60" s="334"/>
      <c r="AK60" s="335"/>
      <c r="AL60" s="335"/>
      <c r="AM60" s="336"/>
      <c r="AN60" s="337"/>
      <c r="AO60" s="338" t="n">
        <f aca="false">IFERROR(IF(AJ60, AN60/AM60, 0),0)</f>
        <v>0</v>
      </c>
      <c r="AP60" s="334"/>
      <c r="AQ60" s="335"/>
      <c r="AR60" s="335"/>
      <c r="AS60" s="336"/>
      <c r="AT60" s="337"/>
      <c r="AU60" s="338" t="n">
        <f aca="false">IFERROR(IF(AP60, AT60/AS60, 0),0)</f>
        <v>0</v>
      </c>
      <c r="AV60" s="334"/>
      <c r="AW60" s="335"/>
      <c r="AX60" s="335"/>
      <c r="AY60" s="336"/>
      <c r="AZ60" s="337"/>
      <c r="BA60" s="338" t="n">
        <v>0</v>
      </c>
      <c r="BB60" s="17"/>
      <c r="BC60" s="17"/>
      <c r="BD60" s="17"/>
      <c r="BE60" s="17"/>
      <c r="BF60" s="17"/>
      <c r="BG60" s="19"/>
    </row>
    <row r="61" customFormat="false" ht="13.5" hidden="false" customHeight="true" outlineLevel="0" collapsed="false">
      <c r="B61" s="414"/>
      <c r="C61" s="414"/>
      <c r="D61" s="414"/>
      <c r="E61" s="414"/>
      <c r="F61" s="414"/>
      <c r="G61" s="414"/>
      <c r="H61" s="82"/>
      <c r="I61" s="300"/>
      <c r="J61" s="301"/>
      <c r="K61" s="301"/>
      <c r="L61" s="419"/>
      <c r="M61" s="301"/>
      <c r="N61" s="301"/>
      <c r="O61" s="419"/>
      <c r="P61" s="17"/>
      <c r="Q61" s="17"/>
      <c r="R61" s="17"/>
      <c r="S61" s="405"/>
      <c r="T61" s="406"/>
      <c r="U61" s="406"/>
      <c r="V61" s="405"/>
      <c r="W61" s="405"/>
      <c r="X61" s="301"/>
      <c r="Y61" s="405"/>
      <c r="Z61" s="101"/>
      <c r="AA61" s="17"/>
      <c r="AB61" s="17"/>
      <c r="AC61" s="17"/>
      <c r="AD61" s="334"/>
      <c r="AE61" s="335"/>
      <c r="AF61" s="335"/>
      <c r="AG61" s="336"/>
      <c r="AH61" s="337"/>
      <c r="AI61" s="338" t="n">
        <f aca="false">IFERROR(IF(AD61, AH61/AG61, 0),0)</f>
        <v>0</v>
      </c>
      <c r="AJ61" s="334"/>
      <c r="AK61" s="335"/>
      <c r="AL61" s="335"/>
      <c r="AM61" s="336"/>
      <c r="AN61" s="337"/>
      <c r="AO61" s="338" t="n">
        <f aca="false">IFERROR(IF(AJ61, AN61/AM61, 0),0)</f>
        <v>0</v>
      </c>
      <c r="AP61" s="334"/>
      <c r="AQ61" s="335"/>
      <c r="AR61" s="335"/>
      <c r="AS61" s="336"/>
      <c r="AT61" s="337"/>
      <c r="AU61" s="338" t="n">
        <f aca="false">IFERROR(IF(AP61, AT61/AS61, 0),0)</f>
        <v>0</v>
      </c>
      <c r="AV61" s="334"/>
      <c r="AW61" s="335"/>
      <c r="AX61" s="335"/>
      <c r="AY61" s="336"/>
      <c r="AZ61" s="337"/>
      <c r="BA61" s="338" t="n">
        <v>0</v>
      </c>
      <c r="BB61" s="17"/>
      <c r="BC61" s="17"/>
      <c r="BD61" s="17"/>
      <c r="BE61" s="17"/>
      <c r="BF61" s="17"/>
      <c r="BG61" s="19"/>
    </row>
    <row r="62" customFormat="false" ht="13.5" hidden="false" customHeight="true" outlineLevel="0" collapsed="false">
      <c r="B62" s="414"/>
      <c r="C62" s="414"/>
      <c r="D62" s="414"/>
      <c r="E62" s="414"/>
      <c r="F62" s="414"/>
      <c r="G62" s="414"/>
      <c r="H62" s="82"/>
      <c r="I62" s="300"/>
      <c r="J62" s="301"/>
      <c r="K62" s="301"/>
      <c r="L62" s="419"/>
      <c r="M62" s="301"/>
      <c r="N62" s="301"/>
      <c r="O62" s="419"/>
      <c r="P62" s="17"/>
      <c r="Q62" s="17"/>
      <c r="R62" s="17"/>
      <c r="S62" s="405"/>
      <c r="T62" s="17"/>
      <c r="U62" s="17"/>
      <c r="V62" s="405"/>
      <c r="W62" s="405"/>
      <c r="X62" s="301"/>
      <c r="Y62" s="421"/>
      <c r="Z62" s="101"/>
      <c r="AA62" s="17"/>
      <c r="AB62" s="17"/>
      <c r="AC62" s="17"/>
      <c r="AD62" s="334"/>
      <c r="AE62" s="335"/>
      <c r="AF62" s="335"/>
      <c r="AG62" s="336"/>
      <c r="AH62" s="337"/>
      <c r="AI62" s="338"/>
      <c r="AJ62" s="334"/>
      <c r="AK62" s="335"/>
      <c r="AL62" s="335"/>
      <c r="AM62" s="336"/>
      <c r="AN62" s="337"/>
      <c r="AO62" s="338"/>
      <c r="AP62" s="334"/>
      <c r="AQ62" s="335"/>
      <c r="AR62" s="335"/>
      <c r="AS62" s="336"/>
      <c r="AT62" s="337"/>
      <c r="AU62" s="338"/>
      <c r="AV62" s="334"/>
      <c r="AW62" s="335"/>
      <c r="AX62" s="335"/>
      <c r="AY62" s="336"/>
      <c r="AZ62" s="337"/>
      <c r="BA62" s="338"/>
      <c r="BB62" s="17"/>
      <c r="BC62" s="17"/>
      <c r="BD62" s="17"/>
      <c r="BE62" s="17"/>
      <c r="BF62" s="17"/>
      <c r="BG62" s="19"/>
    </row>
    <row r="63" customFormat="false" ht="13.5" hidden="false" customHeight="true" outlineLevel="0" collapsed="false">
      <c r="B63" s="69"/>
      <c r="C63" s="299"/>
      <c r="D63" s="299"/>
      <c r="E63" s="299"/>
      <c r="F63" s="300"/>
      <c r="G63" s="300"/>
      <c r="H63" s="82"/>
      <c r="I63" s="300"/>
      <c r="J63" s="301"/>
      <c r="K63" s="301"/>
      <c r="L63" s="419"/>
      <c r="M63" s="301"/>
      <c r="N63" s="301"/>
      <c r="O63" s="419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334"/>
      <c r="AE63" s="335"/>
      <c r="AF63" s="335"/>
      <c r="AG63" s="336"/>
      <c r="AH63" s="337"/>
      <c r="AI63" s="338"/>
      <c r="AJ63" s="334"/>
      <c r="AK63" s="335"/>
      <c r="AL63" s="335"/>
      <c r="AM63" s="336"/>
      <c r="AN63" s="337"/>
      <c r="AO63" s="338"/>
      <c r="AP63" s="334"/>
      <c r="AQ63" s="335"/>
      <c r="AR63" s="335"/>
      <c r="AS63" s="336"/>
      <c r="AT63" s="337"/>
      <c r="AU63" s="338"/>
      <c r="AV63" s="334"/>
      <c r="AW63" s="335"/>
      <c r="AX63" s="335"/>
      <c r="AY63" s="336"/>
      <c r="AZ63" s="337"/>
      <c r="BA63" s="338"/>
      <c r="BB63" s="17"/>
      <c r="BC63" s="17"/>
      <c r="BD63" s="17"/>
      <c r="BE63" s="17"/>
      <c r="BF63" s="17"/>
      <c r="BG63" s="19"/>
    </row>
    <row r="64" customFormat="false" ht="13.5" hidden="false" customHeight="true" outlineLevel="0" collapsed="false">
      <c r="B64" s="69"/>
      <c r="C64" s="299"/>
      <c r="D64" s="299"/>
      <c r="E64" s="299"/>
      <c r="F64" s="300"/>
      <c r="G64" s="300"/>
      <c r="H64" s="82"/>
      <c r="I64" s="300"/>
      <c r="J64" s="301"/>
      <c r="K64" s="301"/>
      <c r="L64" s="419"/>
      <c r="M64" s="301"/>
      <c r="N64" s="301"/>
      <c r="O64" s="419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334"/>
      <c r="AE64" s="335"/>
      <c r="AF64" s="335"/>
      <c r="AG64" s="336"/>
      <c r="AH64" s="337"/>
      <c r="AI64" s="338"/>
      <c r="AJ64" s="334"/>
      <c r="AK64" s="335"/>
      <c r="AL64" s="335"/>
      <c r="AM64" s="336"/>
      <c r="AN64" s="337"/>
      <c r="AO64" s="338"/>
      <c r="AP64" s="334"/>
      <c r="AQ64" s="335"/>
      <c r="AR64" s="335"/>
      <c r="AS64" s="336"/>
      <c r="AT64" s="337"/>
      <c r="AU64" s="338"/>
      <c r="AV64" s="334"/>
      <c r="AW64" s="335"/>
      <c r="AX64" s="335"/>
      <c r="AY64" s="336"/>
      <c r="AZ64" s="337"/>
      <c r="BA64" s="338"/>
      <c r="BB64" s="17"/>
      <c r="BC64" s="17"/>
      <c r="BD64" s="17"/>
      <c r="BE64" s="17"/>
      <c r="BF64" s="17"/>
      <c r="BG64" s="19"/>
    </row>
    <row r="65" customFormat="false" ht="13.5" hidden="false" customHeight="true" outlineLevel="0" collapsed="false">
      <c r="B65" s="69"/>
      <c r="C65" s="299"/>
      <c r="D65" s="299"/>
      <c r="E65" s="299"/>
      <c r="F65" s="300"/>
      <c r="G65" s="300"/>
      <c r="H65" s="82"/>
      <c r="I65" s="300"/>
      <c r="J65" s="301"/>
      <c r="K65" s="301"/>
      <c r="L65" s="419"/>
      <c r="M65" s="301"/>
      <c r="N65" s="301"/>
      <c r="O65" s="419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334"/>
      <c r="AE65" s="335"/>
      <c r="AF65" s="335"/>
      <c r="AG65" s="336"/>
      <c r="AH65" s="337"/>
      <c r="AI65" s="338"/>
      <c r="AJ65" s="334"/>
      <c r="AK65" s="335"/>
      <c r="AL65" s="335"/>
      <c r="AM65" s="336"/>
      <c r="AN65" s="337"/>
      <c r="AO65" s="338"/>
      <c r="AP65" s="334"/>
      <c r="AQ65" s="335"/>
      <c r="AR65" s="335"/>
      <c r="AS65" s="336"/>
      <c r="AT65" s="337"/>
      <c r="AU65" s="338"/>
      <c r="AV65" s="334"/>
      <c r="AW65" s="335"/>
      <c r="AX65" s="335"/>
      <c r="AY65" s="336"/>
      <c r="AZ65" s="337"/>
      <c r="BA65" s="338"/>
      <c r="BB65" s="17"/>
      <c r="BC65" s="17"/>
      <c r="BD65" s="17"/>
      <c r="BE65" s="17"/>
      <c r="BF65" s="17"/>
      <c r="BG65" s="19"/>
    </row>
    <row r="66" customFormat="false" ht="13.5" hidden="false" customHeight="true" outlineLevel="0" collapsed="false">
      <c r="B66" s="69"/>
      <c r="C66" s="299"/>
      <c r="D66" s="299"/>
      <c r="E66" s="299"/>
      <c r="F66" s="300"/>
      <c r="G66" s="300"/>
      <c r="H66" s="82"/>
      <c r="I66" s="300"/>
      <c r="J66" s="301"/>
      <c r="K66" s="301"/>
      <c r="L66" s="419"/>
      <c r="M66" s="301"/>
      <c r="N66" s="301"/>
      <c r="O66" s="419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334"/>
      <c r="AE66" s="335"/>
      <c r="AF66" s="335"/>
      <c r="AG66" s="336"/>
      <c r="AH66" s="337"/>
      <c r="AI66" s="338"/>
      <c r="AJ66" s="334"/>
      <c r="AK66" s="335"/>
      <c r="AL66" s="335"/>
      <c r="AM66" s="336"/>
      <c r="AN66" s="337"/>
      <c r="AO66" s="338"/>
      <c r="AP66" s="334"/>
      <c r="AQ66" s="335"/>
      <c r="AR66" s="335"/>
      <c r="AS66" s="336"/>
      <c r="AT66" s="337"/>
      <c r="AU66" s="338"/>
      <c r="AV66" s="334"/>
      <c r="AW66" s="335"/>
      <c r="AX66" s="335"/>
      <c r="AY66" s="336"/>
      <c r="AZ66" s="337"/>
      <c r="BA66" s="338"/>
      <c r="BB66" s="17"/>
      <c r="BC66" s="17"/>
      <c r="BD66" s="17"/>
      <c r="BE66" s="17"/>
      <c r="BF66" s="17"/>
      <c r="BG66" s="19"/>
    </row>
    <row r="67" customFormat="false" ht="13.5" hidden="false" customHeight="true" outlineLevel="0" collapsed="false">
      <c r="B67" s="69"/>
      <c r="C67" s="299"/>
      <c r="D67" s="299"/>
      <c r="E67" s="299"/>
      <c r="F67" s="300"/>
      <c r="G67" s="300"/>
      <c r="H67" s="83"/>
      <c r="I67" s="300"/>
      <c r="J67" s="301"/>
      <c r="K67" s="302"/>
      <c r="L67" s="303"/>
      <c r="M67" s="302"/>
      <c r="N67" s="302"/>
      <c r="O67" s="303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334"/>
      <c r="AE67" s="335"/>
      <c r="AF67" s="335"/>
      <c r="AG67" s="336"/>
      <c r="AH67" s="337"/>
      <c r="AI67" s="338"/>
      <c r="AJ67" s="334"/>
      <c r="AK67" s="335"/>
      <c r="AL67" s="335"/>
      <c r="AM67" s="336"/>
      <c r="AN67" s="337"/>
      <c r="AO67" s="338"/>
      <c r="AP67" s="334"/>
      <c r="AQ67" s="335"/>
      <c r="AR67" s="335"/>
      <c r="AS67" s="336"/>
      <c r="AT67" s="337"/>
      <c r="AU67" s="338"/>
      <c r="AV67" s="334"/>
      <c r="AW67" s="335"/>
      <c r="AX67" s="335"/>
      <c r="AY67" s="336"/>
      <c r="AZ67" s="337"/>
      <c r="BA67" s="338"/>
      <c r="BB67" s="17"/>
      <c r="BC67" s="17"/>
      <c r="BD67" s="17"/>
      <c r="BE67" s="17"/>
      <c r="BF67" s="17"/>
      <c r="BG67" s="19"/>
    </row>
    <row r="68" customFormat="false" ht="13.5" hidden="false" customHeight="true" outlineLevel="0" collapsed="false">
      <c r="B68" s="241" t="s">
        <v>475</v>
      </c>
      <c r="C68" s="299"/>
      <c r="D68" s="299"/>
      <c r="E68" s="299"/>
      <c r="F68" s="300"/>
      <c r="G68" s="300"/>
      <c r="H68" s="83"/>
      <c r="I68" s="300"/>
      <c r="J68" s="301"/>
      <c r="K68" s="302"/>
      <c r="L68" s="303"/>
      <c r="M68" s="302"/>
      <c r="N68" s="302"/>
      <c r="O68" s="303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334"/>
      <c r="AE68" s="335"/>
      <c r="AF68" s="335"/>
      <c r="AG68" s="336"/>
      <c r="AH68" s="337"/>
      <c r="AI68" s="338"/>
      <c r="AJ68" s="334"/>
      <c r="AK68" s="335"/>
      <c r="AL68" s="335"/>
      <c r="AM68" s="336"/>
      <c r="AN68" s="337"/>
      <c r="AO68" s="338"/>
      <c r="AP68" s="334"/>
      <c r="AQ68" s="335"/>
      <c r="AR68" s="335"/>
      <c r="AS68" s="336"/>
      <c r="AT68" s="337"/>
      <c r="AU68" s="338"/>
      <c r="AV68" s="334"/>
      <c r="AW68" s="335"/>
      <c r="AX68" s="335"/>
      <c r="AY68" s="336"/>
      <c r="AZ68" s="337"/>
      <c r="BA68" s="338"/>
      <c r="BB68" s="17"/>
      <c r="BC68" s="17"/>
      <c r="BD68" s="17"/>
      <c r="BE68" s="17"/>
      <c r="BF68" s="17"/>
      <c r="BG68" s="19"/>
    </row>
    <row r="69" customFormat="false" ht="13.5" hidden="false" customHeight="true" outlineLevel="0" collapsed="false">
      <c r="B69" s="422" t="s">
        <v>24</v>
      </c>
      <c r="C69" s="423" t="s">
        <v>68</v>
      </c>
      <c r="D69" s="424" t="s">
        <v>438</v>
      </c>
      <c r="E69" s="424" t="s">
        <v>439</v>
      </c>
      <c r="F69" s="423" t="s">
        <v>440</v>
      </c>
      <c r="G69" s="425" t="s">
        <v>101</v>
      </c>
      <c r="H69" s="426" t="s">
        <v>441</v>
      </c>
      <c r="I69" s="425" t="s">
        <v>476</v>
      </c>
      <c r="J69" s="425" t="s">
        <v>477</v>
      </c>
      <c r="K69" s="426" t="s">
        <v>478</v>
      </c>
      <c r="L69" s="427" t="s">
        <v>479</v>
      </c>
      <c r="M69" s="428" t="s">
        <v>480</v>
      </c>
      <c r="N69" s="429" t="s">
        <v>248</v>
      </c>
      <c r="O69" s="303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430"/>
      <c r="AE69" s="431"/>
      <c r="AF69" s="431"/>
      <c r="AG69" s="432"/>
      <c r="AH69" s="433"/>
      <c r="AI69" s="361" t="n">
        <f aca="false">IFERROR(IF(AD69, AH69/AG69, 0),0)</f>
        <v>0</v>
      </c>
      <c r="AJ69" s="430"/>
      <c r="AK69" s="431"/>
      <c r="AL69" s="431"/>
      <c r="AM69" s="432"/>
      <c r="AN69" s="433"/>
      <c r="AO69" s="361" t="n">
        <f aca="false">IFERROR(IF(AJ69, AN69/AM69, 0),0)</f>
        <v>0</v>
      </c>
      <c r="AP69" s="430"/>
      <c r="AQ69" s="431"/>
      <c r="AR69" s="431"/>
      <c r="AS69" s="432"/>
      <c r="AT69" s="433"/>
      <c r="AU69" s="361" t="n">
        <f aca="false">IFERROR(IF(AP69, AT69/AS69, 0),0)</f>
        <v>0</v>
      </c>
      <c r="AV69" s="430"/>
      <c r="AW69" s="431"/>
      <c r="AX69" s="431"/>
      <c r="AY69" s="432"/>
      <c r="AZ69" s="433"/>
      <c r="BA69" s="361" t="n">
        <v>0</v>
      </c>
      <c r="BB69" s="17"/>
      <c r="BC69" s="17"/>
      <c r="BD69" s="17"/>
      <c r="BE69" s="17"/>
      <c r="BF69" s="17"/>
      <c r="BG69" s="19"/>
    </row>
    <row r="70" customFormat="false" ht="13.5" hidden="true" customHeight="true" outlineLevel="0" collapsed="false">
      <c r="B70" s="434" t="str">
        <f aca="false">$R$6</f>
        <v>Johnathan's Ridge</v>
      </c>
      <c r="C70" s="405" t="e">
        <f aca="false">IF('unit mix &amp; comparables'!#ref!&lt;&gt;"",'unit mix &amp; comparables'!#ref!,"")</f>
        <v>#VALUE!</v>
      </c>
      <c r="D70" s="299" t="e">
        <f aca="false">IF('unit mix &amp; comparables'!#ref!&lt;&gt;"",'unit mix &amp; comparables'!#ref!,"")</f>
        <v>#VALUE!</v>
      </c>
      <c r="E70" s="299" t="e">
        <f aca="false">IF('unit mix &amp; comparables'!#ref!&lt;&gt;"",'unit mix &amp; comparables'!#ref!,"")</f>
        <v>#VALUE!</v>
      </c>
      <c r="F70" s="405" t="e">
        <f aca="false">IF('unit mix &amp; comparables'!#ref!&lt;&gt;"",'unit mix &amp; comparables'!#ref!,"")</f>
        <v>#VALUE!</v>
      </c>
      <c r="G70" s="301" t="e">
        <f aca="false">IF('unit mix &amp; comparables'!#ref!&lt;&gt;"",'unit mix &amp; comparables'!#ref!,"")</f>
        <v>#VALUE!</v>
      </c>
      <c r="H70" s="435" t="e">
        <f aca="false">IF('unit mix &amp; comparables'!#ref!&lt;&gt;"",'unit mix &amp; comparables'!#ref!,"")</f>
        <v>#VALUE!</v>
      </c>
      <c r="I70" s="301" t="n">
        <f aca="false">'Unit Mix &amp; Comparables'!$V$40</f>
        <v>0</v>
      </c>
      <c r="J70" s="301" t="str">
        <f aca="false">IFERROR(G70+I70,"")</f>
        <v/>
      </c>
      <c r="K70" s="435" t="str">
        <f aca="false">IFERROR(J70/F70,"")</f>
        <v/>
      </c>
      <c r="L70" s="341" t="n">
        <f aca="false">$R$43</f>
        <v>0</v>
      </c>
      <c r="M70" s="316" t="str">
        <f aca="false">'Unit Mix &amp; Comparables'!$W$6</f>
        <v>B</v>
      </c>
      <c r="N70" s="316" t="n">
        <f aca="false">$R$7</f>
        <v>1982</v>
      </c>
      <c r="O70" s="303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334"/>
      <c r="AE70" s="335"/>
      <c r="AF70" s="335"/>
      <c r="AG70" s="336"/>
      <c r="AH70" s="337"/>
      <c r="AI70" s="338"/>
      <c r="AJ70" s="334"/>
      <c r="AK70" s="335"/>
      <c r="AL70" s="335"/>
      <c r="AM70" s="336"/>
      <c r="AN70" s="337"/>
      <c r="AO70" s="338"/>
      <c r="AP70" s="334"/>
      <c r="AQ70" s="335"/>
      <c r="AR70" s="335"/>
      <c r="AS70" s="336"/>
      <c r="AT70" s="337"/>
      <c r="AU70" s="338"/>
      <c r="AV70" s="334"/>
      <c r="AW70" s="335"/>
      <c r="AX70" s="335"/>
      <c r="AY70" s="336"/>
      <c r="AZ70" s="337"/>
      <c r="BA70" s="338"/>
      <c r="BB70" s="17"/>
      <c r="BC70" s="17"/>
      <c r="BD70" s="17"/>
      <c r="BE70" s="17"/>
      <c r="BF70" s="17"/>
      <c r="BG70" s="19"/>
    </row>
    <row r="71" customFormat="false" ht="13.5" hidden="true" customHeight="true" outlineLevel="0" collapsed="false">
      <c r="B71" s="434" t="str">
        <f aca="false">$X$6</f>
        <v>Riverside Manor</v>
      </c>
      <c r="C71" s="405" t="e">
        <f aca="false">IF('unit mix &amp; comparables'!#ref!&lt;&gt;"",'unit mix &amp; comparables'!#ref!,"")</f>
        <v>#VALUE!</v>
      </c>
      <c r="D71" s="299" t="e">
        <f aca="false">IF('unit mix &amp; comparables'!#ref!&lt;&gt;"",'unit mix &amp; comparables'!#ref!,"")</f>
        <v>#VALUE!</v>
      </c>
      <c r="E71" s="299" t="e">
        <f aca="false">IF('unit mix &amp; comparables'!#ref!&lt;&gt;"",'unit mix &amp; comparables'!#ref!,"")</f>
        <v>#VALUE!</v>
      </c>
      <c r="F71" s="405" t="e">
        <f aca="false">IF('unit mix &amp; comparables'!#ref!&lt;&gt;"",'unit mix &amp; comparables'!#ref!,"")</f>
        <v>#VALUE!</v>
      </c>
      <c r="G71" s="301" t="e">
        <f aca="false">IF('unit mix &amp; comparables'!#ref!&lt;&gt;"",'unit mix &amp; comparables'!#ref!,"")</f>
        <v>#VALUE!</v>
      </c>
      <c r="H71" s="435" t="e">
        <f aca="false">IF('unit mix &amp; comparables'!#ref!&lt;&gt;"",'unit mix &amp; comparables'!#ref!,"")</f>
        <v>#VALUE!</v>
      </c>
      <c r="I71" s="301" t="n">
        <f aca="false">'Unit Mix &amp; Comparables'!$AB$40</f>
        <v>0</v>
      </c>
      <c r="J71" s="301" t="str">
        <f aca="false">IFERROR(G71+I71,"")</f>
        <v/>
      </c>
      <c r="K71" s="435" t="str">
        <f aca="false">IFERROR(J71/F71,"")</f>
        <v/>
      </c>
      <c r="L71" s="341" t="n">
        <f aca="false">$AV$43</f>
        <v>0</v>
      </c>
      <c r="M71" s="316" t="str">
        <f aca="false">'Unit Mix &amp; Comparables'!$W$6</f>
        <v>B</v>
      </c>
      <c r="N71" s="316" t="n">
        <f aca="false">$X$7</f>
        <v>1985</v>
      </c>
      <c r="O71" s="303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334"/>
      <c r="AE71" s="335"/>
      <c r="AF71" s="335"/>
      <c r="AG71" s="336"/>
      <c r="AH71" s="337"/>
      <c r="AI71" s="338"/>
      <c r="AJ71" s="334"/>
      <c r="AK71" s="335"/>
      <c r="AL71" s="335"/>
      <c r="AM71" s="336"/>
      <c r="AN71" s="337"/>
      <c r="AO71" s="338"/>
      <c r="AP71" s="334"/>
      <c r="AQ71" s="335"/>
      <c r="AR71" s="335"/>
      <c r="AS71" s="336"/>
      <c r="AT71" s="337"/>
      <c r="AU71" s="338"/>
      <c r="AV71" s="334"/>
      <c r="AW71" s="335"/>
      <c r="AX71" s="335"/>
      <c r="AY71" s="336"/>
      <c r="AZ71" s="337"/>
      <c r="BA71" s="338"/>
      <c r="BB71" s="17"/>
      <c r="BC71" s="17"/>
      <c r="BD71" s="17"/>
      <c r="BE71" s="17"/>
      <c r="BF71" s="17"/>
      <c r="BG71" s="19"/>
    </row>
    <row r="72" customFormat="false" ht="13.5" hidden="true" customHeight="true" outlineLevel="0" collapsed="false">
      <c r="B72" s="434" t="str">
        <f aca="false">$AD$6</f>
        <v>Windy Lakes</v>
      </c>
      <c r="C72" s="405" t="e">
        <f aca="false">IF('unit mix &amp; comparables'!#ref!&lt;&gt;"",'unit mix &amp; comparables'!#ref!,"")</f>
        <v>#VALUE!</v>
      </c>
      <c r="D72" s="299" t="e">
        <f aca="false">IF('unit mix &amp; comparables'!#ref!&lt;&gt;"",'unit mix &amp; comparables'!#ref!,"")</f>
        <v>#VALUE!</v>
      </c>
      <c r="E72" s="299" t="e">
        <f aca="false">IF('unit mix &amp; comparables'!#ref!&lt;&gt;"",'unit mix &amp; comparables'!#ref!,"")</f>
        <v>#VALUE!</v>
      </c>
      <c r="F72" s="405" t="e">
        <f aca="false">IF('unit mix &amp; comparables'!#ref!&lt;&gt;"",'unit mix &amp; comparables'!#ref!,"")</f>
        <v>#VALUE!</v>
      </c>
      <c r="G72" s="301" t="e">
        <f aca="false">IF('unit mix &amp; comparables'!#ref!&lt;&gt;"",'unit mix &amp; comparables'!#ref!,"")</f>
        <v>#VALUE!</v>
      </c>
      <c r="H72" s="435" t="e">
        <f aca="false">IF('unit mix &amp; comparables'!#ref!&lt;&gt;"",'unit mix &amp; comparables'!#ref!,"")</f>
        <v>#VALUE!</v>
      </c>
      <c r="I72" s="301" t="n">
        <f aca="false">'Unit Mix &amp; Comparables'!$AH$40</f>
        <v>0</v>
      </c>
      <c r="J72" s="301" t="str">
        <f aca="false">IFERROR(G72+I72,"")</f>
        <v/>
      </c>
      <c r="K72" s="435" t="str">
        <f aca="false">IFERROR(J72/F72,"")</f>
        <v/>
      </c>
      <c r="L72" s="341" t="n">
        <f aca="false">$AD$43</f>
        <v>0</v>
      </c>
      <c r="M72" s="316" t="str">
        <f aca="false">'Unit Mix &amp; Comparables'!$AI$6</f>
        <v>B</v>
      </c>
      <c r="N72" s="316" t="n">
        <f aca="false">$AD$7</f>
        <v>1979</v>
      </c>
      <c r="O72" s="303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334"/>
      <c r="AE72" s="335"/>
      <c r="AF72" s="335"/>
      <c r="AG72" s="336"/>
      <c r="AH72" s="337"/>
      <c r="AI72" s="338"/>
      <c r="AJ72" s="334"/>
      <c r="AK72" s="335"/>
      <c r="AL72" s="335"/>
      <c r="AM72" s="336"/>
      <c r="AN72" s="337"/>
      <c r="AO72" s="338"/>
      <c r="AP72" s="334"/>
      <c r="AQ72" s="335"/>
      <c r="AR72" s="335"/>
      <c r="AS72" s="336"/>
      <c r="AT72" s="337"/>
      <c r="AU72" s="338"/>
      <c r="AV72" s="334"/>
      <c r="AW72" s="335"/>
      <c r="AX72" s="335"/>
      <c r="AY72" s="336"/>
      <c r="AZ72" s="337"/>
      <c r="BA72" s="338"/>
      <c r="BB72" s="17"/>
      <c r="BC72" s="17"/>
      <c r="BD72" s="17"/>
      <c r="BE72" s="17"/>
      <c r="BF72" s="17"/>
      <c r="BG72" s="19"/>
    </row>
    <row r="73" customFormat="false" ht="13.5" hidden="true" customHeight="true" outlineLevel="0" collapsed="false">
      <c r="B73" s="434" t="str">
        <f aca="false">$AJ$6</f>
        <v>Riverside South</v>
      </c>
      <c r="C73" s="405" t="e">
        <f aca="false">IF('unit mix &amp; comparables'!#ref!&lt;&gt;"",'unit mix &amp; comparables'!#ref!,"")</f>
        <v>#VALUE!</v>
      </c>
      <c r="D73" s="299" t="e">
        <f aca="false">IF('unit mix &amp; comparables'!#ref!&lt;&gt;"",'unit mix &amp; comparables'!#ref!,"")</f>
        <v>#VALUE!</v>
      </c>
      <c r="E73" s="299" t="e">
        <f aca="false">IF('unit mix &amp; comparables'!#ref!&lt;&gt;"",'unit mix &amp; comparables'!#ref!,"")</f>
        <v>#VALUE!</v>
      </c>
      <c r="F73" s="405" t="e">
        <f aca="false">IF('unit mix &amp; comparables'!#ref!&lt;&gt;"",'unit mix &amp; comparables'!#ref!,"")</f>
        <v>#VALUE!</v>
      </c>
      <c r="G73" s="301" t="e">
        <f aca="false">IF('unit mix &amp; comparables'!#ref!&lt;&gt;"",'unit mix &amp; comparables'!#ref!,"")</f>
        <v>#VALUE!</v>
      </c>
      <c r="H73" s="435" t="e">
        <f aca="false">IF('unit mix &amp; comparables'!#ref!&lt;&gt;"",'unit mix &amp; comparables'!#ref!,"")</f>
        <v>#VALUE!</v>
      </c>
      <c r="I73" s="301" t="n">
        <f aca="false">'Unit Mix &amp; Comparables'!$V$40</f>
        <v>0</v>
      </c>
      <c r="J73" s="301" t="str">
        <f aca="false">IFERROR(G73+I73,"")</f>
        <v/>
      </c>
      <c r="K73" s="435" t="str">
        <f aca="false">IFERROR(J73/F73,"")</f>
        <v/>
      </c>
      <c r="L73" s="341" t="n">
        <f aca="false">$AV$43</f>
        <v>0</v>
      </c>
      <c r="M73" s="316" t="str">
        <f aca="false">'Unit Mix &amp; Comparables'!$AO$6</f>
        <v>B</v>
      </c>
      <c r="N73" s="316" t="n">
        <f aca="false">$AJ$7</f>
        <v>1988</v>
      </c>
      <c r="O73" s="303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334"/>
      <c r="AE73" s="335"/>
      <c r="AF73" s="335"/>
      <c r="AG73" s="336"/>
      <c r="AH73" s="337"/>
      <c r="AI73" s="338"/>
      <c r="AJ73" s="334"/>
      <c r="AK73" s="335"/>
      <c r="AL73" s="335"/>
      <c r="AM73" s="336"/>
      <c r="AN73" s="337"/>
      <c r="AO73" s="338"/>
      <c r="AP73" s="334"/>
      <c r="AQ73" s="335"/>
      <c r="AR73" s="335"/>
      <c r="AS73" s="336"/>
      <c r="AT73" s="337"/>
      <c r="AU73" s="338"/>
      <c r="AV73" s="334"/>
      <c r="AW73" s="335"/>
      <c r="AX73" s="335"/>
      <c r="AY73" s="336"/>
      <c r="AZ73" s="337"/>
      <c r="BA73" s="338"/>
      <c r="BB73" s="17"/>
      <c r="BC73" s="17"/>
      <c r="BD73" s="17"/>
      <c r="BE73" s="17"/>
      <c r="BF73" s="17"/>
      <c r="BG73" s="19"/>
    </row>
    <row r="74" customFormat="false" ht="13.5" hidden="true" customHeight="true" outlineLevel="0" collapsed="false">
      <c r="B74" s="434" t="str">
        <f aca="false">$AP$6</f>
        <v>Country View</v>
      </c>
      <c r="C74" s="405" t="e">
        <f aca="false">IF('unit mix &amp; comparables'!#ref!&lt;&gt;"",'unit mix &amp; comparables'!#ref!,"")</f>
        <v>#VALUE!</v>
      </c>
      <c r="D74" s="299" t="e">
        <f aca="false">IF('unit mix &amp; comparables'!#ref!&lt;&gt;"",'unit mix &amp; comparables'!#ref!,"")</f>
        <v>#VALUE!</v>
      </c>
      <c r="E74" s="299" t="e">
        <f aca="false">IF('unit mix &amp; comparables'!#ref!&lt;&gt;"",'unit mix &amp; comparables'!#ref!,"")</f>
        <v>#VALUE!</v>
      </c>
      <c r="F74" s="405" t="e">
        <f aca="false">IF('unit mix &amp; comparables'!#ref!&lt;&gt;"",'unit mix &amp; comparables'!#ref!,"")</f>
        <v>#VALUE!</v>
      </c>
      <c r="G74" s="301" t="e">
        <f aca="false">IF('unit mix &amp; comparables'!#ref!&lt;&gt;"",'unit mix &amp; comparables'!#ref!,"")</f>
        <v>#VALUE!</v>
      </c>
      <c r="H74" s="435" t="e">
        <f aca="false">IF('unit mix &amp; comparables'!#ref!&lt;&gt;"",'unit mix &amp; comparables'!#ref!,"")</f>
        <v>#VALUE!</v>
      </c>
      <c r="I74" s="301" t="n">
        <f aca="false">'Unit Mix &amp; Comparables'!$AT$40</f>
        <v>0</v>
      </c>
      <c r="J74" s="301" t="str">
        <f aca="false">IFERROR(G74+I74,"")</f>
        <v/>
      </c>
      <c r="K74" s="435" t="str">
        <f aca="false">IFERROR(J74/F74,"")</f>
        <v/>
      </c>
      <c r="L74" s="341" t="n">
        <f aca="false">$AP$43</f>
        <v>0</v>
      </c>
      <c r="M74" s="316" t="str">
        <f aca="false">'Unit Mix &amp; Comparables'!$AU$6</f>
        <v>B</v>
      </c>
      <c r="N74" s="316" t="n">
        <f aca="false">'Unit Mix &amp; Comparables'!$AP$7</f>
        <v>1993</v>
      </c>
      <c r="O74" s="303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334"/>
      <c r="AE74" s="335"/>
      <c r="AF74" s="335"/>
      <c r="AG74" s="336"/>
      <c r="AH74" s="337"/>
      <c r="AI74" s="338"/>
      <c r="AJ74" s="334"/>
      <c r="AK74" s="335"/>
      <c r="AL74" s="335"/>
      <c r="AM74" s="336"/>
      <c r="AN74" s="337"/>
      <c r="AO74" s="338"/>
      <c r="AP74" s="334"/>
      <c r="AQ74" s="335"/>
      <c r="AR74" s="335"/>
      <c r="AS74" s="336"/>
      <c r="AT74" s="337"/>
      <c r="AU74" s="338"/>
      <c r="AV74" s="334"/>
      <c r="AW74" s="335"/>
      <c r="AX74" s="335"/>
      <c r="AY74" s="336"/>
      <c r="AZ74" s="337"/>
      <c r="BA74" s="338"/>
      <c r="BB74" s="17"/>
      <c r="BC74" s="17"/>
      <c r="BD74" s="17"/>
      <c r="BE74" s="17"/>
      <c r="BF74" s="17"/>
      <c r="BG74" s="19"/>
    </row>
    <row r="75" customFormat="false" ht="13.5" hidden="true" customHeight="true" outlineLevel="0" collapsed="false">
      <c r="B75" s="434" t="str">
        <f aca="false">$AV$6</f>
        <v>Camellia Trace</v>
      </c>
      <c r="C75" s="405" t="e">
        <f aca="false">IF('unit mix &amp; comparables'!#ref!&lt;&gt;"",'unit mix &amp; comparables'!#ref!,"")</f>
        <v>#VALUE!</v>
      </c>
      <c r="D75" s="299" t="e">
        <f aca="false">IF('unit mix &amp; comparables'!#ref!&lt;&gt;"",'unit mix &amp; comparables'!#ref!,"")</f>
        <v>#VALUE!</v>
      </c>
      <c r="E75" s="299" t="e">
        <f aca="false">IF('unit mix &amp; comparables'!#ref!&lt;&gt;"",'unit mix &amp; comparables'!#ref!,"")</f>
        <v>#VALUE!</v>
      </c>
      <c r="F75" s="405" t="e">
        <f aca="false">IF('unit mix &amp; comparables'!#ref!&lt;&gt;"",'unit mix &amp; comparables'!#ref!,"")</f>
        <v>#VALUE!</v>
      </c>
      <c r="G75" s="301" t="e">
        <f aca="false">IF('unit mix &amp; comparables'!#ref!&lt;&gt;"",'unit mix &amp; comparables'!#ref!,"")</f>
        <v>#VALUE!</v>
      </c>
      <c r="H75" s="435" t="e">
        <f aca="false">IF('unit mix &amp; comparables'!#ref!&lt;&gt;"",'unit mix &amp; comparables'!#ref!,"")</f>
        <v>#VALUE!</v>
      </c>
      <c r="I75" s="301" t="n">
        <f aca="false">'Unit Mix &amp; Comparables'!$AZ$40</f>
        <v>0</v>
      </c>
      <c r="J75" s="301" t="str">
        <f aca="false">IFERROR(G75+I75,"")</f>
        <v/>
      </c>
      <c r="K75" s="435" t="str">
        <f aca="false">IFERROR(J75/F75,"")</f>
        <v/>
      </c>
      <c r="L75" s="341" t="n">
        <f aca="false">$AV$43</f>
        <v>0</v>
      </c>
      <c r="M75" s="316" t="str">
        <f aca="false">'Unit Mix &amp; Comparables'!$BA$6</f>
        <v>B</v>
      </c>
      <c r="N75" s="316" t="n">
        <f aca="false">'Unit Mix &amp; Comparables'!$AV$7</f>
        <v>2004</v>
      </c>
      <c r="O75" s="303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334"/>
      <c r="AE75" s="335"/>
      <c r="AF75" s="335"/>
      <c r="AG75" s="336"/>
      <c r="AH75" s="337"/>
      <c r="AI75" s="338"/>
      <c r="AJ75" s="334"/>
      <c r="AK75" s="335"/>
      <c r="AL75" s="335"/>
      <c r="AM75" s="336"/>
      <c r="AN75" s="337"/>
      <c r="AO75" s="338"/>
      <c r="AP75" s="334"/>
      <c r="AQ75" s="335"/>
      <c r="AR75" s="335"/>
      <c r="AS75" s="336"/>
      <c r="AT75" s="337"/>
      <c r="AU75" s="338"/>
      <c r="AV75" s="334"/>
      <c r="AW75" s="335"/>
      <c r="AX75" s="335"/>
      <c r="AY75" s="336"/>
      <c r="AZ75" s="337"/>
      <c r="BA75" s="338"/>
      <c r="BB75" s="17"/>
      <c r="BC75" s="17"/>
      <c r="BD75" s="17"/>
      <c r="BE75" s="17"/>
      <c r="BF75" s="17"/>
      <c r="BG75" s="19"/>
    </row>
    <row r="76" customFormat="false" ht="13.5" hidden="true" customHeight="true" outlineLevel="0" collapsed="false">
      <c r="B76" s="434" t="str">
        <f aca="false">$BB$6</f>
        <v>Bridgeway</v>
      </c>
      <c r="C76" s="405" t="e">
        <f aca="false">IF('unit mix &amp; comparables'!#ref!&lt;&gt;"",'unit mix &amp; comparables'!#ref!,"")</f>
        <v>#VALUE!</v>
      </c>
      <c r="D76" s="299" t="e">
        <f aca="false">IF('unit mix &amp; comparables'!#ref!&lt;&gt;"",'unit mix &amp; comparables'!#ref!,"")</f>
        <v>#VALUE!</v>
      </c>
      <c r="E76" s="299" t="e">
        <f aca="false">IF('unit mix &amp; comparables'!#ref!&lt;&gt;"",'unit mix &amp; comparables'!#ref!,"")</f>
        <v>#VALUE!</v>
      </c>
      <c r="F76" s="405" t="e">
        <f aca="false">IF('unit mix &amp; comparables'!#ref!&lt;&gt;"",'unit mix &amp; comparables'!#ref!,"")</f>
        <v>#VALUE!</v>
      </c>
      <c r="G76" s="301" t="e">
        <f aca="false">IF('unit mix &amp; comparables'!#ref!&lt;&gt;"",'unit mix &amp; comparables'!#ref!,"")</f>
        <v>#VALUE!</v>
      </c>
      <c r="H76" s="435" t="e">
        <f aca="false">IF('unit mix &amp; comparables'!#ref!&lt;&gt;"",'unit mix &amp; comparables'!#ref!,"")</f>
        <v>#VALUE!</v>
      </c>
      <c r="I76" s="301" t="n">
        <f aca="false">'Unit Mix &amp; Comparables'!$BF$40</f>
        <v>0</v>
      </c>
      <c r="J76" s="301" t="str">
        <f aca="false">IFERROR(G76+I76,"")</f>
        <v/>
      </c>
      <c r="K76" s="435" t="str">
        <f aca="false">IFERROR(J76/F76,"")</f>
        <v/>
      </c>
      <c r="L76" s="341" t="n">
        <f aca="false">$BB$43</f>
        <v>0</v>
      </c>
      <c r="M76" s="316" t="n">
        <f aca="false">'Unit Mix &amp; Comparables'!$BG$6</f>
        <v>0</v>
      </c>
      <c r="N76" s="316" t="n">
        <f aca="false">'Unit Mix &amp; Comparables'!$BB$7</f>
        <v>2012</v>
      </c>
      <c r="O76" s="303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334"/>
      <c r="AE76" s="335"/>
      <c r="AF76" s="335"/>
      <c r="AG76" s="336"/>
      <c r="AH76" s="337"/>
      <c r="AI76" s="338"/>
      <c r="AJ76" s="334"/>
      <c r="AK76" s="335"/>
      <c r="AL76" s="335"/>
      <c r="AM76" s="336"/>
      <c r="AN76" s="337"/>
      <c r="AO76" s="338"/>
      <c r="AP76" s="334"/>
      <c r="AQ76" s="335"/>
      <c r="AR76" s="335"/>
      <c r="AS76" s="336"/>
      <c r="AT76" s="337"/>
      <c r="AU76" s="338"/>
      <c r="AV76" s="334"/>
      <c r="AW76" s="335"/>
      <c r="AX76" s="335"/>
      <c r="AY76" s="336"/>
      <c r="AZ76" s="337"/>
      <c r="BA76" s="338"/>
      <c r="BB76" s="17"/>
      <c r="BC76" s="17"/>
      <c r="BD76" s="17"/>
      <c r="BE76" s="17"/>
      <c r="BF76" s="17"/>
      <c r="BG76" s="19"/>
    </row>
    <row r="77" customFormat="false" ht="13.5" hidden="true" customHeight="true" outlineLevel="0" collapsed="false">
      <c r="B77" s="434" t="str">
        <f aca="false">CONCATENATE($I$6," Current")</f>
        <v>Riverhill TH Current</v>
      </c>
      <c r="C77" s="405" t="e">
        <f aca="false">IF('unit mix &amp; comparables'!#ref!&lt;&gt;"",'unit mix &amp; comparables'!#ref!,"")</f>
        <v>#VALUE!</v>
      </c>
      <c r="D77" s="299" t="e">
        <f aca="false">IF('unit mix &amp; comparables'!#ref!&lt;&gt;"",'unit mix &amp; comparables'!#ref!,"")</f>
        <v>#VALUE!</v>
      </c>
      <c r="E77" s="299" t="e">
        <f aca="false">IF('unit mix &amp; comparables'!#ref!&lt;&gt;"",'unit mix &amp; comparables'!#ref!,"")</f>
        <v>#VALUE!</v>
      </c>
      <c r="F77" s="405" t="e">
        <f aca="false">IF('unit mix &amp; comparables'!#ref!&lt;&gt;"",'unit mix &amp; comparables'!#ref!,"")</f>
        <v>#VALUE!</v>
      </c>
      <c r="G77" s="301" t="e">
        <f aca="false">IF('unit mix &amp; comparables'!#ref!&lt;&gt;"",'unit mix &amp; comparables'!#ref!,"")</f>
        <v>#VALUE!</v>
      </c>
      <c r="H77" s="435" t="e">
        <f aca="false">IF('unit mix &amp; comparables'!#ref!&lt;&gt;"",'unit mix &amp; comparables'!#ref!,"")</f>
        <v>#VALUE!</v>
      </c>
      <c r="I77" s="301" t="n">
        <f aca="false">'Unit Mix &amp; Comparables'!$M$40</f>
        <v>0</v>
      </c>
      <c r="J77" s="301" t="str">
        <f aca="false">IFERROR(G77+I77,"")</f>
        <v/>
      </c>
      <c r="K77" s="435" t="str">
        <f aca="false">IFERROR(J77/F77,"")</f>
        <v/>
      </c>
      <c r="L77" s="341" t="n">
        <f aca="false">$I$43</f>
        <v>0</v>
      </c>
      <c r="M77" s="316" t="str">
        <f aca="false">'Unit Mix &amp; Comparables'!$H$6</f>
        <v>B</v>
      </c>
      <c r="N77" s="316" t="n">
        <f aca="false">'Unit Mix &amp; Comparables'!$C$7</f>
        <v>1982</v>
      </c>
      <c r="O77" s="303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334"/>
      <c r="AE77" s="335"/>
      <c r="AF77" s="335"/>
      <c r="AG77" s="336"/>
      <c r="AH77" s="337"/>
      <c r="AI77" s="338"/>
      <c r="AJ77" s="334"/>
      <c r="AK77" s="335"/>
      <c r="AL77" s="335"/>
      <c r="AM77" s="336"/>
      <c r="AN77" s="337"/>
      <c r="AO77" s="338"/>
      <c r="AP77" s="334"/>
      <c r="AQ77" s="335"/>
      <c r="AR77" s="335"/>
      <c r="AS77" s="336"/>
      <c r="AT77" s="337"/>
      <c r="AU77" s="338"/>
      <c r="AV77" s="334"/>
      <c r="AW77" s="335"/>
      <c r="AX77" s="335"/>
      <c r="AY77" s="336"/>
      <c r="AZ77" s="337"/>
      <c r="BA77" s="338"/>
      <c r="BB77" s="17"/>
      <c r="BC77" s="17"/>
      <c r="BD77" s="17"/>
      <c r="BE77" s="17"/>
      <c r="BF77" s="17"/>
      <c r="BG77" s="19"/>
    </row>
    <row r="78" customFormat="false" ht="13.5" hidden="true" customHeight="true" outlineLevel="0" collapsed="false">
      <c r="B78" s="434" t="str">
        <f aca="false">CONCATENATE($C$6," Pro Forma")</f>
        <v>Riverhill TH Pro Forma</v>
      </c>
      <c r="C78" s="405" t="e">
        <f aca="false">IF('unit mix &amp; comparables'!#ref!&lt;&gt;"",'unit mix &amp; comparables'!#ref!,"")</f>
        <v>#VALUE!</v>
      </c>
      <c r="D78" s="299" t="e">
        <f aca="false">IF('unit mix &amp; comparables'!#ref!&lt;&gt;"",'unit mix &amp; comparables'!#ref!,"")</f>
        <v>#VALUE!</v>
      </c>
      <c r="E78" s="299" t="e">
        <f aca="false">IF('unit mix &amp; comparables'!#ref!&lt;&gt;"",'unit mix &amp; comparables'!#ref!,"")</f>
        <v>#VALUE!</v>
      </c>
      <c r="F78" s="405" t="e">
        <f aca="false">IF('unit mix &amp; comparables'!#ref!&lt;&gt;"",'unit mix &amp; comparables'!#ref!,"")</f>
        <v>#VALUE!</v>
      </c>
      <c r="G78" s="301" t="e">
        <f aca="false">IF('unit mix &amp; comparables'!#ref!&lt;&gt;"",'unit mix &amp; comparables'!#ref!,"")</f>
        <v>#VALUE!</v>
      </c>
      <c r="H78" s="435" t="e">
        <f aca="false">IF('unit mix &amp; comparables'!#ref!&lt;&gt;"",'unit mix &amp; comparables'!#ref!,"")</f>
        <v>#VALUE!</v>
      </c>
      <c r="I78" s="301" t="n">
        <f aca="false">'Unit Mix &amp; Comparables'!$G$40</f>
        <v>0</v>
      </c>
      <c r="J78" s="301" t="str">
        <f aca="false">IFERROR(G78+I78,"")</f>
        <v/>
      </c>
      <c r="K78" s="435" t="str">
        <f aca="false">IFERROR(J78/F78,"")</f>
        <v/>
      </c>
      <c r="L78" s="341" t="n">
        <f aca="false">C4</f>
        <v>0</v>
      </c>
      <c r="M78" s="316" t="str">
        <f aca="false">'Unit Mix &amp; Comparables'!$H$6</f>
        <v>B</v>
      </c>
      <c r="N78" s="316" t="n">
        <f aca="false">'Unit Mix &amp; Comparables'!$C$7</f>
        <v>1982</v>
      </c>
      <c r="O78" s="303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334"/>
      <c r="AE78" s="335"/>
      <c r="AF78" s="335"/>
      <c r="AG78" s="336"/>
      <c r="AH78" s="337"/>
      <c r="AI78" s="338"/>
      <c r="AJ78" s="334"/>
      <c r="AK78" s="335"/>
      <c r="AL78" s="335"/>
      <c r="AM78" s="336"/>
      <c r="AN78" s="337"/>
      <c r="AO78" s="338"/>
      <c r="AP78" s="334"/>
      <c r="AQ78" s="335"/>
      <c r="AR78" s="335"/>
      <c r="AS78" s="336"/>
      <c r="AT78" s="337"/>
      <c r="AU78" s="338"/>
      <c r="AV78" s="334"/>
      <c r="AW78" s="335"/>
      <c r="AX78" s="335"/>
      <c r="AY78" s="336"/>
      <c r="AZ78" s="337"/>
      <c r="BA78" s="338"/>
      <c r="BB78" s="17"/>
      <c r="BC78" s="17"/>
      <c r="BD78" s="17"/>
      <c r="BE78" s="17"/>
      <c r="BF78" s="17"/>
      <c r="BG78" s="19"/>
    </row>
    <row r="79" customFormat="false" ht="13.5" hidden="false" customHeight="true" outlineLevel="0" collapsed="false">
      <c r="B79" s="434" t="str">
        <f aca="false">$AP$6</f>
        <v>Country View</v>
      </c>
      <c r="C79" s="405" t="str">
        <f aca="false">IF('Unit Mix &amp; Comparables'!$AP34&lt;&gt;"",'Unit Mix &amp; Comparables'!$AP34,"")</f>
        <v/>
      </c>
      <c r="D79" s="299" t="str">
        <f aca="false">IF('Unit Mix &amp; Comparables'!$AQ$34&lt;&gt;"",'Unit Mix &amp; Comparables'!$AQ$34,"")</f>
        <v/>
      </c>
      <c r="E79" s="299" t="str">
        <f aca="false">IF('Unit Mix &amp; Comparables'!$AR$34&lt;&gt;"",'Unit Mix &amp; Comparables'!$AR$34,"")</f>
        <v/>
      </c>
      <c r="F79" s="405" t="str">
        <f aca="false">IF('Unit Mix &amp; Comparables'!$AS$34&lt;&gt;"",'Unit Mix &amp; Comparables'!$AS$34,"")</f>
        <v/>
      </c>
      <c r="G79" s="301" t="str">
        <f aca="false">IF('Unit Mix &amp; Comparables'!$AT$34&lt;&gt;"",'Unit Mix &amp; Comparables'!$AT$34,"")</f>
        <v/>
      </c>
      <c r="H79" s="435" t="n">
        <f aca="false">IF('Unit Mix &amp; Comparables'!$AU$34&lt;&gt;"",'Unit Mix &amp; Comparables'!$AU$34,"")</f>
        <v>0</v>
      </c>
      <c r="I79" s="301" t="n">
        <f aca="false">'Unit Mix &amp; Comparables'!$AT$40</f>
        <v>0</v>
      </c>
      <c r="J79" s="301" t="str">
        <f aca="false">IFERROR(G79+I79,"")</f>
        <v/>
      </c>
      <c r="K79" s="435" t="str">
        <f aca="false">IFERROR(J79/F79,"")</f>
        <v/>
      </c>
      <c r="L79" s="341" t="n">
        <f aca="false">$AP$43</f>
        <v>0</v>
      </c>
      <c r="M79" s="316" t="str">
        <f aca="false">'Unit Mix &amp; Comparables'!$AU$6</f>
        <v>B</v>
      </c>
      <c r="N79" s="316" t="n">
        <f aca="false">'Unit Mix &amp; Comparables'!$AP$7</f>
        <v>1993</v>
      </c>
      <c r="O79" s="303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334"/>
      <c r="AE79" s="335"/>
      <c r="AF79" s="335"/>
      <c r="AG79" s="336"/>
      <c r="AH79" s="337"/>
      <c r="AI79" s="338"/>
      <c r="AJ79" s="334"/>
      <c r="AK79" s="335"/>
      <c r="AL79" s="335"/>
      <c r="AM79" s="336"/>
      <c r="AN79" s="337"/>
      <c r="AO79" s="338"/>
      <c r="AP79" s="334"/>
      <c r="AQ79" s="335"/>
      <c r="AR79" s="335"/>
      <c r="AS79" s="336"/>
      <c r="AT79" s="337"/>
      <c r="AU79" s="338"/>
      <c r="AV79" s="334"/>
      <c r="AW79" s="335"/>
      <c r="AX79" s="335"/>
      <c r="AY79" s="336"/>
      <c r="AZ79" s="337"/>
      <c r="BA79" s="338"/>
      <c r="BB79" s="17"/>
      <c r="BC79" s="17"/>
      <c r="BD79" s="17"/>
      <c r="BE79" s="17"/>
      <c r="BF79" s="17"/>
      <c r="BG79" s="19"/>
    </row>
    <row r="80" customFormat="false" ht="13.5" hidden="false" customHeight="true" outlineLevel="0" collapsed="false">
      <c r="B80" s="434" t="str">
        <f aca="false">$AD$6</f>
        <v>Windy Lakes</v>
      </c>
      <c r="C80" s="405" t="str">
        <f aca="false">IF('Unit Mix &amp; Comparables'!$AD15&lt;&gt;"",'Unit Mix &amp; Comparables'!$AD15,"")</f>
        <v/>
      </c>
      <c r="D80" s="299" t="str">
        <f aca="false">IF('Unit Mix &amp; Comparables'!$AE15&lt;&gt;"",'Unit Mix &amp; Comparables'!$AE15,"")</f>
        <v/>
      </c>
      <c r="E80" s="299" t="str">
        <f aca="false">IF('Unit Mix &amp; Comparables'!$AF15&lt;&gt;"",'Unit Mix &amp; Comparables'!$AF15,"")</f>
        <v/>
      </c>
      <c r="F80" s="405" t="str">
        <f aca="false">IF('Unit Mix &amp; Comparables'!$AG15&lt;&gt;"",'Unit Mix &amp; Comparables'!$AG15,"")</f>
        <v/>
      </c>
      <c r="G80" s="301" t="str">
        <f aca="false">IF('Unit Mix &amp; Comparables'!$AH15&lt;&gt;"",'Unit Mix &amp; Comparables'!$AH15,"")</f>
        <v/>
      </c>
      <c r="H80" s="435" t="n">
        <f aca="false">IF('Unit Mix &amp; Comparables'!$AI15&lt;&gt;"",'Unit Mix &amp; Comparables'!$AI15,"")</f>
        <v>0</v>
      </c>
      <c r="I80" s="301" t="n">
        <f aca="false">'Unit Mix &amp; Comparables'!$AH$40</f>
        <v>0</v>
      </c>
      <c r="J80" s="301" t="str">
        <f aca="false">IFERROR(G80+I80,"")</f>
        <v/>
      </c>
      <c r="K80" s="435" t="str">
        <f aca="false">IFERROR(J80/F80,"")</f>
        <v/>
      </c>
      <c r="L80" s="341" t="n">
        <f aca="false">$AD$43</f>
        <v>0</v>
      </c>
      <c r="M80" s="316" t="str">
        <f aca="false">'Unit Mix &amp; Comparables'!$AI$6</f>
        <v>B</v>
      </c>
      <c r="N80" s="316" t="n">
        <f aca="false">$AD$7</f>
        <v>1979</v>
      </c>
      <c r="O80" s="303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334"/>
      <c r="AE80" s="335"/>
      <c r="AF80" s="335"/>
      <c r="AG80" s="336"/>
      <c r="AH80" s="337"/>
      <c r="AI80" s="338"/>
      <c r="AJ80" s="334"/>
      <c r="AK80" s="335"/>
      <c r="AL80" s="335"/>
      <c r="AM80" s="336"/>
      <c r="AN80" s="337"/>
      <c r="AO80" s="338"/>
      <c r="AP80" s="334"/>
      <c r="AQ80" s="335"/>
      <c r="AR80" s="335"/>
      <c r="AS80" s="336"/>
      <c r="AT80" s="337"/>
      <c r="AU80" s="338"/>
      <c r="AV80" s="334"/>
      <c r="AW80" s="335"/>
      <c r="AX80" s="335"/>
      <c r="AY80" s="336"/>
      <c r="AZ80" s="337"/>
      <c r="BA80" s="338"/>
      <c r="BB80" s="17"/>
      <c r="BC80" s="17"/>
      <c r="BD80" s="17"/>
      <c r="BE80" s="17"/>
      <c r="BF80" s="17"/>
      <c r="BG80" s="19"/>
    </row>
    <row r="81" customFormat="false" ht="13.5" hidden="false" customHeight="true" outlineLevel="0" collapsed="false">
      <c r="B81" s="434" t="str">
        <f aca="false">$AP$6</f>
        <v>Country View</v>
      </c>
      <c r="C81" s="405" t="str">
        <f aca="false">IF('Unit Mix &amp; Comparables'!$AP30&lt;&gt;"",'Unit Mix &amp; Comparables'!$AP30,"")</f>
        <v/>
      </c>
      <c r="D81" s="299" t="str">
        <f aca="false">IF('Unit Mix &amp; Comparables'!$AQ$30&lt;&gt;"",'Unit Mix &amp; Comparables'!$AQ$30,"")</f>
        <v/>
      </c>
      <c r="E81" s="299" t="str">
        <f aca="false">IF('Unit Mix &amp; Comparables'!$AR$30&lt;&gt;"",'Unit Mix &amp; Comparables'!$AR$30,"")</f>
        <v/>
      </c>
      <c r="F81" s="405" t="str">
        <f aca="false">IF('Unit Mix &amp; Comparables'!$AS$30&lt;&gt;"",'Unit Mix &amp; Comparables'!$AS$30,"")</f>
        <v/>
      </c>
      <c r="G81" s="301" t="str">
        <f aca="false">IF('Unit Mix &amp; Comparables'!$AT$30&lt;&gt;"",'Unit Mix &amp; Comparables'!$AT$30,"")</f>
        <v/>
      </c>
      <c r="H81" s="435" t="n">
        <f aca="false">IF('Unit Mix &amp; Comparables'!$AU$30&lt;&gt;"",'Unit Mix &amp; Comparables'!$AU$30,"")</f>
        <v>0</v>
      </c>
      <c r="I81" s="301" t="n">
        <f aca="false">'Unit Mix &amp; Comparables'!$AT$40</f>
        <v>0</v>
      </c>
      <c r="J81" s="301" t="str">
        <f aca="false">IFERROR(G81+I81,"")</f>
        <v/>
      </c>
      <c r="K81" s="435" t="str">
        <f aca="false">IFERROR(J81/F81,"")</f>
        <v/>
      </c>
      <c r="L81" s="341" t="n">
        <f aca="false">$AP$43</f>
        <v>0</v>
      </c>
      <c r="M81" s="316" t="str">
        <f aca="false">'Unit Mix &amp; Comparables'!$AU$6</f>
        <v>B</v>
      </c>
      <c r="N81" s="316" t="n">
        <f aca="false">'Unit Mix &amp; Comparables'!$AP$7</f>
        <v>1993</v>
      </c>
      <c r="O81" s="303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334"/>
      <c r="AE81" s="335"/>
      <c r="AF81" s="335"/>
      <c r="AG81" s="336"/>
      <c r="AH81" s="337"/>
      <c r="AI81" s="338"/>
      <c r="AJ81" s="334"/>
      <c r="AK81" s="335"/>
      <c r="AL81" s="335"/>
      <c r="AM81" s="336"/>
      <c r="AN81" s="337"/>
      <c r="AO81" s="338"/>
      <c r="AP81" s="334"/>
      <c r="AQ81" s="335"/>
      <c r="AR81" s="335"/>
      <c r="AS81" s="336"/>
      <c r="AT81" s="337"/>
      <c r="AU81" s="338"/>
      <c r="AV81" s="334"/>
      <c r="AW81" s="335"/>
      <c r="AX81" s="335"/>
      <c r="AY81" s="336"/>
      <c r="AZ81" s="337"/>
      <c r="BA81" s="338"/>
      <c r="BB81" s="17"/>
      <c r="BC81" s="17"/>
      <c r="BD81" s="17"/>
      <c r="BE81" s="17"/>
      <c r="BF81" s="17"/>
      <c r="BG81" s="19"/>
    </row>
    <row r="82" customFormat="false" ht="13.5" hidden="false" customHeight="true" outlineLevel="0" collapsed="false">
      <c r="B82" s="434" t="str">
        <f aca="false">$AP$6</f>
        <v>Country View</v>
      </c>
      <c r="C82" s="405" t="str">
        <f aca="false">IF('Unit Mix &amp; Comparables'!$AP37&lt;&gt;"",'Unit Mix &amp; Comparables'!$AP37,"")</f>
        <v/>
      </c>
      <c r="D82" s="299" t="str">
        <f aca="false">IF('Unit Mix &amp; Comparables'!$AQ$37&lt;&gt;"",'Unit Mix &amp; Comparables'!$AQ$37,"")</f>
        <v/>
      </c>
      <c r="E82" s="299" t="str">
        <f aca="false">IF('Unit Mix &amp; Comparables'!$AR$37&lt;&gt;"",'Unit Mix &amp; Comparables'!$AR$37,"")</f>
        <v/>
      </c>
      <c r="F82" s="405" t="str">
        <f aca="false">IF('Unit Mix &amp; Comparables'!$AS$37&lt;&gt;"",'Unit Mix &amp; Comparables'!$AS$37,"")</f>
        <v/>
      </c>
      <c r="G82" s="301" t="str">
        <f aca="false">IF('Unit Mix &amp; Comparables'!$AT$37&lt;&gt;"",'Unit Mix &amp; Comparables'!$AT$37,"")</f>
        <v/>
      </c>
      <c r="H82" s="435" t="n">
        <f aca="false">IF('Unit Mix &amp; Comparables'!$AU$37&lt;&gt;"",'Unit Mix &amp; Comparables'!$AU$37,"")</f>
        <v>0</v>
      </c>
      <c r="I82" s="301" t="n">
        <f aca="false">'Unit Mix &amp; Comparables'!$AT$40</f>
        <v>0</v>
      </c>
      <c r="J82" s="301" t="str">
        <f aca="false">IFERROR(G82+I82,"")</f>
        <v/>
      </c>
      <c r="K82" s="435" t="str">
        <f aca="false">IFERROR(J82/F82,"")</f>
        <v/>
      </c>
      <c r="L82" s="341" t="n">
        <f aca="false">$AP$43</f>
        <v>0</v>
      </c>
      <c r="M82" s="316" t="str">
        <f aca="false">'Unit Mix &amp; Comparables'!$AU$6</f>
        <v>B</v>
      </c>
      <c r="N82" s="316" t="n">
        <f aca="false">'Unit Mix &amp; Comparables'!$AP$7</f>
        <v>1993</v>
      </c>
      <c r="O82" s="303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334"/>
      <c r="AE82" s="335"/>
      <c r="AF82" s="335"/>
      <c r="AG82" s="336"/>
      <c r="AH82" s="337"/>
      <c r="AI82" s="338"/>
      <c r="AJ82" s="334"/>
      <c r="AK82" s="335"/>
      <c r="AL82" s="335"/>
      <c r="AM82" s="336"/>
      <c r="AN82" s="337"/>
      <c r="AO82" s="338"/>
      <c r="AP82" s="334"/>
      <c r="AQ82" s="335"/>
      <c r="AR82" s="335"/>
      <c r="AS82" s="336"/>
      <c r="AT82" s="337"/>
      <c r="AU82" s="338"/>
      <c r="AV82" s="334"/>
      <c r="AW82" s="335"/>
      <c r="AX82" s="335"/>
      <c r="AY82" s="336"/>
      <c r="AZ82" s="337"/>
      <c r="BA82" s="338"/>
      <c r="BB82" s="17"/>
      <c r="BC82" s="17"/>
      <c r="BD82" s="17"/>
      <c r="BE82" s="17"/>
      <c r="BF82" s="17"/>
      <c r="BG82" s="19"/>
    </row>
    <row r="83" customFormat="false" ht="13.5" hidden="false" customHeight="true" outlineLevel="0" collapsed="false">
      <c r="B83" s="434" t="str">
        <f aca="false">$AP$6</f>
        <v>Country View</v>
      </c>
      <c r="C83" s="405" t="str">
        <f aca="false">IF('Unit Mix &amp; Comparables'!$AP36&lt;&gt;"",'Unit Mix &amp; Comparables'!$AP36,"")</f>
        <v/>
      </c>
      <c r="D83" s="299" t="str">
        <f aca="false">IF('Unit Mix &amp; Comparables'!$AQ$36&lt;&gt;"",'Unit Mix &amp; Comparables'!$AQ$36,"")</f>
        <v/>
      </c>
      <c r="E83" s="299" t="str">
        <f aca="false">IF('Unit Mix &amp; Comparables'!$AR$36&lt;&gt;"",'Unit Mix &amp; Comparables'!$AR$36,"")</f>
        <v/>
      </c>
      <c r="F83" s="405" t="str">
        <f aca="false">IF('Unit Mix &amp; Comparables'!$AS$36&lt;&gt;"",'Unit Mix &amp; Comparables'!$AS$36,"")</f>
        <v/>
      </c>
      <c r="G83" s="301" t="str">
        <f aca="false">IF('Unit Mix &amp; Comparables'!$AT$36&lt;&gt;"",'Unit Mix &amp; Comparables'!$AT$36,"")</f>
        <v/>
      </c>
      <c r="H83" s="435" t="n">
        <f aca="false">IF('Unit Mix &amp; Comparables'!$AU$36&lt;&gt;"",'Unit Mix &amp; Comparables'!$AU$36,"")</f>
        <v>0</v>
      </c>
      <c r="I83" s="301" t="n">
        <f aca="false">'Unit Mix &amp; Comparables'!$AT$40</f>
        <v>0</v>
      </c>
      <c r="J83" s="301" t="str">
        <f aca="false">IFERROR(G83+I83,"")</f>
        <v/>
      </c>
      <c r="K83" s="435" t="str">
        <f aca="false">IFERROR(J83/F83,"")</f>
        <v/>
      </c>
      <c r="L83" s="341" t="n">
        <f aca="false">$AP$43</f>
        <v>0</v>
      </c>
      <c r="M83" s="316" t="str">
        <f aca="false">'Unit Mix &amp; Comparables'!$AU$6</f>
        <v>B</v>
      </c>
      <c r="N83" s="316" t="n">
        <f aca="false">'Unit Mix &amp; Comparables'!$AP$7</f>
        <v>1993</v>
      </c>
      <c r="O83" s="303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334"/>
      <c r="AE83" s="335"/>
      <c r="AF83" s="335"/>
      <c r="AG83" s="336"/>
      <c r="AH83" s="337"/>
      <c r="AI83" s="338"/>
      <c r="AJ83" s="334"/>
      <c r="AK83" s="335"/>
      <c r="AL83" s="335"/>
      <c r="AM83" s="336"/>
      <c r="AN83" s="337"/>
      <c r="AO83" s="338"/>
      <c r="AP83" s="334"/>
      <c r="AQ83" s="335"/>
      <c r="AR83" s="335"/>
      <c r="AS83" s="336"/>
      <c r="AT83" s="337"/>
      <c r="AU83" s="338"/>
      <c r="AV83" s="334"/>
      <c r="AW83" s="335"/>
      <c r="AX83" s="335"/>
      <c r="AY83" s="336"/>
      <c r="AZ83" s="337"/>
      <c r="BA83" s="338"/>
      <c r="BB83" s="17"/>
      <c r="BC83" s="17"/>
      <c r="BD83" s="17"/>
      <c r="BE83" s="17"/>
      <c r="BF83" s="17"/>
      <c r="BG83" s="19"/>
    </row>
    <row r="84" customFormat="false" ht="13.5" hidden="false" customHeight="true" outlineLevel="0" collapsed="false">
      <c r="B84" s="434" t="str">
        <f aca="false">$AV$6</f>
        <v>Camellia Trace</v>
      </c>
      <c r="C84" s="405" t="str">
        <f aca="false">IF('Unit Mix &amp; Comparables'!$AV15&lt;&gt;"",'Unit Mix &amp; Comparables'!$AV15,"")</f>
        <v/>
      </c>
      <c r="D84" s="299" t="str">
        <f aca="false">IF('Unit Mix &amp; Comparables'!$AW$15&lt;&gt;"",'Unit Mix &amp; Comparables'!$AW$15,"")</f>
        <v/>
      </c>
      <c r="E84" s="299" t="str">
        <f aca="false">IF('Unit Mix &amp; Comparables'!$AX$15&lt;&gt;"",'Unit Mix &amp; Comparables'!$AX$15,"")</f>
        <v/>
      </c>
      <c r="F84" s="405" t="str">
        <f aca="false">IF('Unit Mix &amp; Comparables'!$AY$15&lt;&gt;"",'Unit Mix &amp; Comparables'!$AY$15,"")</f>
        <v/>
      </c>
      <c r="G84" s="301" t="str">
        <f aca="false">IF('Unit Mix &amp; Comparables'!$AZ$15&lt;&gt;"",'Unit Mix &amp; Comparables'!$AZ$15,"")</f>
        <v/>
      </c>
      <c r="H84" s="435" t="n">
        <f aca="false">IF('Unit Mix &amp; Comparables'!$BA$15&lt;&gt;"",'Unit Mix &amp; Comparables'!$BA$15,"")</f>
        <v>0</v>
      </c>
      <c r="I84" s="301" t="n">
        <f aca="false">'Unit Mix &amp; Comparables'!$AZ$40</f>
        <v>0</v>
      </c>
      <c r="J84" s="301" t="str">
        <f aca="false">IFERROR(G84+I84,"")</f>
        <v/>
      </c>
      <c r="K84" s="435" t="str">
        <f aca="false">IFERROR(J84/F84,"")</f>
        <v/>
      </c>
      <c r="L84" s="341" t="n">
        <f aca="false">$AV$43</f>
        <v>0</v>
      </c>
      <c r="M84" s="316" t="str">
        <f aca="false">'Unit Mix &amp; Comparables'!$BA$6</f>
        <v>B</v>
      </c>
      <c r="N84" s="316" t="n">
        <f aca="false">'Unit Mix &amp; Comparables'!$AV$7</f>
        <v>2004</v>
      </c>
      <c r="O84" s="303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347" t="n">
        <f aca="false">SUM(AD51:AD69)</f>
        <v>150</v>
      </c>
      <c r="AE84" s="348"/>
      <c r="AF84" s="348"/>
      <c r="AG84" s="354" t="n">
        <f aca="false">IFERROR(SUMPRODUCT(AD51:AD69, AG51:AG69)/AD84,0)</f>
        <v>1213</v>
      </c>
      <c r="AH84" s="350" t="n">
        <f aca="false">IFERROR(SUMPRODUCT(AD51:AD69, AH51:AH69)/AD84,0)</f>
        <v>1057.33333333333</v>
      </c>
      <c r="AI84" s="351" t="n">
        <f aca="false">IFERROR(IF(AD84, AH84/AG84, 0),0)</f>
        <v>0.871668040670514</v>
      </c>
      <c r="AJ84" s="347" t="n">
        <f aca="false">SUM(AJ51:AJ69)</f>
        <v>0</v>
      </c>
      <c r="AK84" s="348"/>
      <c r="AL84" s="348"/>
      <c r="AM84" s="354" t="n">
        <f aca="false">IFERROR(SUMPRODUCT(AJ51:AJ69, AM51:AM69)/AJ84,0)</f>
        <v>0</v>
      </c>
      <c r="AN84" s="350" t="n">
        <f aca="false">IFERROR(SUMPRODUCT(AJ51:AJ69, AN51:AN69)/AJ84,0)</f>
        <v>0</v>
      </c>
      <c r="AO84" s="351" t="n">
        <f aca="false">IFERROR(IF(AJ84, AN84/AM84, 0),0)</f>
        <v>0</v>
      </c>
      <c r="AP84" s="347" t="n">
        <f aca="false">SUM(AP51:AP69)</f>
        <v>0</v>
      </c>
      <c r="AQ84" s="348"/>
      <c r="AR84" s="348"/>
      <c r="AS84" s="354" t="n">
        <f aca="false">IFERROR(SUMPRODUCT(AP51:AP69, AS51:AS69)/AP84,0)</f>
        <v>0</v>
      </c>
      <c r="AT84" s="350" t="n">
        <f aca="false">IFERROR(SUMPRODUCT(AP51:AP69, AT51:AT69)/AP84,0)</f>
        <v>0</v>
      </c>
      <c r="AU84" s="351" t="n">
        <f aca="false">IFERROR(IF(AP84, AT84/AS84, 0),0)</f>
        <v>0</v>
      </c>
      <c r="AV84" s="347" t="n">
        <f aca="false">SUM(AV51:AV69)</f>
        <v>0</v>
      </c>
      <c r="AW84" s="348"/>
      <c r="AX84" s="348"/>
      <c r="AY84" s="354" t="n">
        <f aca="false">IFERROR(SUMPRODUCT(AV51:AV69, AY51:AY69)/AV84,0)</f>
        <v>0</v>
      </c>
      <c r="AZ84" s="350" t="n">
        <f aca="false">IFERROR(SUMPRODUCT(AV51:AV69, AZ51:AZ69)/AV84,0)</f>
        <v>0</v>
      </c>
      <c r="BA84" s="351" t="n">
        <f aca="false">IFERROR(IF(AV84, AZ84/AY84, 0),0)</f>
        <v>0</v>
      </c>
      <c r="BB84" s="17"/>
      <c r="BC84" s="17"/>
      <c r="BD84" s="17"/>
      <c r="BE84" s="17"/>
      <c r="BF84" s="17"/>
      <c r="BG84" s="19"/>
    </row>
    <row r="85" customFormat="false" ht="13.5" hidden="false" customHeight="true" outlineLevel="0" collapsed="false">
      <c r="B85" s="434" t="str">
        <f aca="false">$AP$6</f>
        <v>Country View</v>
      </c>
      <c r="C85" s="405" t="str">
        <f aca="false">IF('Unit Mix &amp; Comparables'!$AP35&lt;&gt;"",'Unit Mix &amp; Comparables'!$AP35,"")</f>
        <v/>
      </c>
      <c r="D85" s="299" t="str">
        <f aca="false">IF('Unit Mix &amp; Comparables'!$AQ$35&lt;&gt;"",'Unit Mix &amp; Comparables'!$AQ$35,"")</f>
        <v/>
      </c>
      <c r="E85" s="299" t="str">
        <f aca="false">IF('Unit Mix &amp; Comparables'!$AR$35&lt;&gt;"",'Unit Mix &amp; Comparables'!$AR$35,"")</f>
        <v/>
      </c>
      <c r="F85" s="405" t="str">
        <f aca="false">IF('Unit Mix &amp; Comparables'!$AS$35&lt;&gt;"",'Unit Mix &amp; Comparables'!$AS$35,"")</f>
        <v/>
      </c>
      <c r="G85" s="301" t="str">
        <f aca="false">IF('Unit Mix &amp; Comparables'!$AT$35&lt;&gt;"",'Unit Mix &amp; Comparables'!$AT$35,"")</f>
        <v/>
      </c>
      <c r="H85" s="435" t="n">
        <f aca="false">IF('Unit Mix &amp; Comparables'!$AU$35&lt;&gt;"",'Unit Mix &amp; Comparables'!$AU$35,"")</f>
        <v>0</v>
      </c>
      <c r="I85" s="301" t="n">
        <f aca="false">'Unit Mix &amp; Comparables'!$AT$40</f>
        <v>0</v>
      </c>
      <c r="J85" s="301" t="str">
        <f aca="false">IFERROR(G85+I85,"")</f>
        <v/>
      </c>
      <c r="K85" s="435" t="str">
        <f aca="false">IFERROR(J85/F85,"")</f>
        <v/>
      </c>
      <c r="L85" s="341" t="n">
        <f aca="false">$AP$43</f>
        <v>0</v>
      </c>
      <c r="M85" s="316" t="str">
        <f aca="false">'Unit Mix &amp; Comparables'!$AU$6</f>
        <v>B</v>
      </c>
      <c r="N85" s="316" t="n">
        <f aca="false">'Unit Mix &amp; Comparables'!$AP$7</f>
        <v>1993</v>
      </c>
      <c r="O85" s="303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371"/>
      <c r="AE85" s="371"/>
      <c r="AF85" s="371"/>
      <c r="AG85" s="371"/>
      <c r="AH85" s="371"/>
      <c r="AI85" s="371"/>
      <c r="AJ85" s="371"/>
      <c r="AK85" s="371"/>
      <c r="AL85" s="371"/>
      <c r="AM85" s="371"/>
      <c r="AN85" s="371"/>
      <c r="AO85" s="371"/>
      <c r="AP85" s="371"/>
      <c r="AQ85" s="371"/>
      <c r="AR85" s="371"/>
      <c r="AS85" s="371"/>
      <c r="AT85" s="371"/>
      <c r="AU85" s="371"/>
      <c r="AV85" s="371"/>
      <c r="AW85" s="371"/>
      <c r="AX85" s="371"/>
      <c r="AY85" s="371"/>
      <c r="AZ85" s="371"/>
      <c r="BA85" s="371"/>
      <c r="BB85" s="17"/>
      <c r="BC85" s="17"/>
      <c r="BD85" s="17"/>
      <c r="BE85" s="17"/>
      <c r="BF85" s="17"/>
      <c r="BG85" s="19"/>
    </row>
    <row r="86" customFormat="false" ht="13.5" hidden="false" customHeight="true" outlineLevel="0" collapsed="false">
      <c r="B86" s="434" t="n">
        <f aca="false">AV48</f>
        <v>0</v>
      </c>
      <c r="C86" s="405" t="str">
        <f aca="false">IF('Unit Mix &amp; Comparables'!$AV53&lt;&gt;"",'Unit Mix &amp; Comparables'!$AV53,"")</f>
        <v/>
      </c>
      <c r="D86" s="299" t="str">
        <f aca="false">IF('Unit Mix &amp; Comparables'!$AW$53&lt;&gt;"",'Unit Mix &amp; Comparables'!$AW$53,"")</f>
        <v/>
      </c>
      <c r="E86" s="299" t="str">
        <f aca="false">IF('Unit Mix &amp; Comparables'!$AX$53&lt;&gt;"",'Unit Mix &amp; Comparables'!$AX$53,"")</f>
        <v/>
      </c>
      <c r="F86" s="405" t="str">
        <f aca="false">IF('Unit Mix &amp; Comparables'!$AY$53&lt;&gt;"",'Unit Mix &amp; Comparables'!$AY$53,"")</f>
        <v/>
      </c>
      <c r="G86" s="301" t="str">
        <f aca="false">IF('Unit Mix &amp; Comparables'!$AZ$53&lt;&gt;"",'Unit Mix &amp; Comparables'!$AZ$53,"")</f>
        <v/>
      </c>
      <c r="H86" s="435" t="n">
        <f aca="false">IF('Unit Mix &amp; Comparables'!$BA$53&lt;&gt;"",'Unit Mix &amp; Comparables'!$BA$53,"")</f>
        <v>0</v>
      </c>
      <c r="I86" s="301" t="n">
        <f aca="false">'Unit Mix &amp; Comparables'!$AT$40</f>
        <v>0</v>
      </c>
      <c r="J86" s="301" t="str">
        <f aca="false">IFERROR(G86+I86,"")</f>
        <v/>
      </c>
      <c r="K86" s="435" t="str">
        <f aca="false">IFERROR(J86/F86,"")</f>
        <v/>
      </c>
      <c r="L86" s="341" t="n">
        <f aca="false">$AV$86</f>
        <v>0</v>
      </c>
      <c r="M86" s="316" t="str">
        <f aca="false">'Unit Mix &amp; Comparables'!$BA$48</f>
        <v>A</v>
      </c>
      <c r="N86" s="316" t="n">
        <f aca="false">'Unit Mix &amp; Comparables'!$AV$49</f>
        <v>0</v>
      </c>
      <c r="O86" s="303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379"/>
      <c r="AE86" s="379"/>
      <c r="AF86" s="379"/>
      <c r="AG86" s="379"/>
      <c r="AH86" s="379"/>
      <c r="AI86" s="379"/>
      <c r="AJ86" s="379"/>
      <c r="AK86" s="379"/>
      <c r="AL86" s="379"/>
      <c r="AM86" s="379"/>
      <c r="AN86" s="379"/>
      <c r="AO86" s="379"/>
      <c r="AP86" s="379"/>
      <c r="AQ86" s="379"/>
      <c r="AR86" s="379"/>
      <c r="AS86" s="379"/>
      <c r="AT86" s="379"/>
      <c r="AU86" s="379"/>
      <c r="AV86" s="379"/>
      <c r="AW86" s="379"/>
      <c r="AX86" s="379"/>
      <c r="AY86" s="379"/>
      <c r="AZ86" s="379"/>
      <c r="BA86" s="379"/>
      <c r="BB86" s="17"/>
      <c r="BC86" s="17"/>
      <c r="BD86" s="17"/>
      <c r="BE86" s="17"/>
      <c r="BF86" s="17"/>
      <c r="BG86" s="19"/>
    </row>
    <row r="87" customFormat="false" ht="15" hidden="false" customHeight="true" outlineLevel="0" collapsed="false">
      <c r="B87" s="434" t="str">
        <f aca="false">$AP$6</f>
        <v>Country View</v>
      </c>
      <c r="C87" s="405" t="str">
        <f aca="false">IF('Unit Mix &amp; Comparables'!$AP33&lt;&gt;"",'Unit Mix &amp; Comparables'!$AP33,"")</f>
        <v/>
      </c>
      <c r="D87" s="299" t="str">
        <f aca="false">IF('Unit Mix &amp; Comparables'!$AQ$33&lt;&gt;"",'Unit Mix &amp; Comparables'!$AQ$33,"")</f>
        <v/>
      </c>
      <c r="E87" s="299" t="str">
        <f aca="false">IF('Unit Mix &amp; Comparables'!$AR$33&lt;&gt;"",'Unit Mix &amp; Comparables'!$AR$33,"")</f>
        <v/>
      </c>
      <c r="F87" s="405" t="str">
        <f aca="false">IF('Unit Mix &amp; Comparables'!$AS$33&lt;&gt;"",'Unit Mix &amp; Comparables'!$AS$33,"")</f>
        <v/>
      </c>
      <c r="G87" s="301" t="str">
        <f aca="false">IF('Unit Mix &amp; Comparables'!$AT$33&lt;&gt;"",'Unit Mix &amp; Comparables'!$AT$33,"")</f>
        <v/>
      </c>
      <c r="H87" s="435" t="n">
        <f aca="false">IF('Unit Mix &amp; Comparables'!$AU$33&lt;&gt;"",'Unit Mix &amp; Comparables'!$AU$33,"")</f>
        <v>0</v>
      </c>
      <c r="I87" s="301" t="n">
        <f aca="false">'Unit Mix &amp; Comparables'!$AT$40</f>
        <v>0</v>
      </c>
      <c r="J87" s="301" t="str">
        <f aca="false">IFERROR(G87+I87,"")</f>
        <v/>
      </c>
      <c r="K87" s="435" t="str">
        <f aca="false">IFERROR(J87/F87,"")</f>
        <v/>
      </c>
      <c r="L87" s="341" t="n">
        <f aca="false">$AP$43</f>
        <v>0</v>
      </c>
      <c r="M87" s="316" t="str">
        <f aca="false">'Unit Mix &amp; Comparables'!$AU$6</f>
        <v>B</v>
      </c>
      <c r="N87" s="316" t="n">
        <f aca="false">'Unit Mix &amp; Comparables'!$AP$7</f>
        <v>1993</v>
      </c>
      <c r="O87" s="303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383"/>
      <c r="AE87" s="383"/>
      <c r="AF87" s="383"/>
      <c r="AG87" s="383"/>
      <c r="AH87" s="383"/>
      <c r="AI87" s="383"/>
      <c r="AJ87" s="383"/>
      <c r="AK87" s="383"/>
      <c r="AL87" s="383"/>
      <c r="AM87" s="383"/>
      <c r="AN87" s="383"/>
      <c r="AO87" s="383"/>
      <c r="AP87" s="383"/>
      <c r="AQ87" s="383"/>
      <c r="AR87" s="383"/>
      <c r="AS87" s="383"/>
      <c r="AT87" s="383"/>
      <c r="AU87" s="383"/>
      <c r="AV87" s="383"/>
      <c r="AW87" s="383"/>
      <c r="AX87" s="383"/>
      <c r="AY87" s="383"/>
      <c r="AZ87" s="383"/>
      <c r="BA87" s="383"/>
      <c r="BB87" s="17"/>
      <c r="BC87" s="17"/>
      <c r="BD87" s="17"/>
      <c r="BE87" s="17"/>
      <c r="BF87" s="17"/>
      <c r="BG87" s="19"/>
    </row>
    <row r="88" customFormat="false" ht="15" hidden="false" customHeight="true" outlineLevel="0" collapsed="false">
      <c r="B88" s="434" t="str">
        <f aca="false">$AP$6</f>
        <v>Country View</v>
      </c>
      <c r="C88" s="405" t="str">
        <f aca="false">IF('Unit Mix &amp; Comparables'!$AP27&lt;&gt;"",'Unit Mix &amp; Comparables'!$AP27,"")</f>
        <v/>
      </c>
      <c r="D88" s="299" t="str">
        <f aca="false">IF('Unit Mix &amp; Comparables'!$AQ$27&lt;&gt;"",'Unit Mix &amp; Comparables'!$AQ$27,"")</f>
        <v/>
      </c>
      <c r="E88" s="299" t="str">
        <f aca="false">IF('Unit Mix &amp; Comparables'!$AR$27&lt;&gt;"",'Unit Mix &amp; Comparables'!$AR$27,"")</f>
        <v/>
      </c>
      <c r="F88" s="405" t="str">
        <f aca="false">IF('Unit Mix &amp; Comparables'!$AS$27&lt;&gt;"",'Unit Mix &amp; Comparables'!$AS$27,"")</f>
        <v/>
      </c>
      <c r="G88" s="301" t="str">
        <f aca="false">IF('Unit Mix &amp; Comparables'!$AT$27&lt;&gt;"",'Unit Mix &amp; Comparables'!$AT$27,"")</f>
        <v/>
      </c>
      <c r="H88" s="435" t="n">
        <f aca="false">IF('Unit Mix &amp; Comparables'!$AU$27&lt;&gt;"",'Unit Mix &amp; Comparables'!$AU$27,"")</f>
        <v>0</v>
      </c>
      <c r="I88" s="301" t="n">
        <f aca="false">'Unit Mix &amp; Comparables'!$AT$40</f>
        <v>0</v>
      </c>
      <c r="J88" s="301" t="str">
        <f aca="false">IFERROR(G88+I88,"")</f>
        <v/>
      </c>
      <c r="K88" s="435" t="str">
        <f aca="false">IFERROR(J88/F88,"")</f>
        <v/>
      </c>
      <c r="L88" s="341" t="n">
        <f aca="false">$AP$43</f>
        <v>0</v>
      </c>
      <c r="M88" s="316" t="str">
        <f aca="false">'Unit Mix &amp; Comparables'!$AU$6</f>
        <v>B</v>
      </c>
      <c r="N88" s="316" t="n">
        <f aca="false">'Unit Mix &amp; Comparables'!$AP$7</f>
        <v>1993</v>
      </c>
      <c r="O88" s="303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383"/>
      <c r="AE88" s="383"/>
      <c r="AF88" s="383"/>
      <c r="AG88" s="383"/>
      <c r="AH88" s="383"/>
      <c r="AI88" s="383"/>
      <c r="AJ88" s="383"/>
      <c r="AK88" s="383"/>
      <c r="AL88" s="383"/>
      <c r="AM88" s="383"/>
      <c r="AN88" s="383"/>
      <c r="AO88" s="383"/>
      <c r="AP88" s="383"/>
      <c r="AQ88" s="383"/>
      <c r="AR88" s="383"/>
      <c r="AS88" s="383"/>
      <c r="AT88" s="383"/>
      <c r="AU88" s="383"/>
      <c r="AV88" s="383"/>
      <c r="AW88" s="383"/>
      <c r="AX88" s="383"/>
      <c r="AY88" s="383"/>
      <c r="AZ88" s="383"/>
      <c r="BA88" s="383"/>
      <c r="BB88" s="17"/>
      <c r="BC88" s="17"/>
      <c r="BD88" s="17"/>
      <c r="BE88" s="17"/>
      <c r="BF88" s="17"/>
      <c r="BG88" s="19"/>
    </row>
    <row r="89" customFormat="false" ht="15" hidden="false" customHeight="true" outlineLevel="0" collapsed="false">
      <c r="B89" s="434" t="n">
        <f aca="false">AP48</f>
        <v>0</v>
      </c>
      <c r="C89" s="405" t="str">
        <f aca="false">IF('Unit Mix &amp; Comparables'!$AP53&lt;&gt;"",'Unit Mix &amp; Comparables'!$AP53,"")</f>
        <v/>
      </c>
      <c r="D89" s="299" t="str">
        <f aca="false">IF('Unit Mix &amp; Comparables'!$AQ$53&lt;&gt;"",'Unit Mix &amp; Comparables'!$AQ$53,"")</f>
        <v/>
      </c>
      <c r="E89" s="299" t="str">
        <f aca="false">IF('Unit Mix &amp; Comparables'!$AR$53&lt;&gt;"",'Unit Mix &amp; Comparables'!$AR$53,"")</f>
        <v/>
      </c>
      <c r="F89" s="405" t="str">
        <f aca="false">IF('Unit Mix &amp; Comparables'!$AS$53&lt;&gt;"",'Unit Mix &amp; Comparables'!$AS$53,"")</f>
        <v/>
      </c>
      <c r="G89" s="301" t="str">
        <f aca="false">IF('Unit Mix &amp; Comparables'!$AT$53&lt;&gt;"",'Unit Mix &amp; Comparables'!$AT$53,"")</f>
        <v/>
      </c>
      <c r="H89" s="435" t="n">
        <f aca="false">IF('Unit Mix &amp; Comparables'!$AU$53&lt;&gt;"",'Unit Mix &amp; Comparables'!$AU$53,"")</f>
        <v>0</v>
      </c>
      <c r="I89" s="301" t="n">
        <f aca="false">'Unit Mix &amp; Comparables'!$AT$40</f>
        <v>0</v>
      </c>
      <c r="J89" s="301" t="str">
        <f aca="false">IFERROR(G89+I89,"")</f>
        <v/>
      </c>
      <c r="K89" s="435" t="str">
        <f aca="false">IFERROR(J89/F89,"")</f>
        <v/>
      </c>
      <c r="L89" s="341" t="n">
        <f aca="false">$AP$86</f>
        <v>0</v>
      </c>
      <c r="M89" s="316" t="str">
        <f aca="false">'Unit Mix &amp; Comparables'!$AU$48</f>
        <v>B</v>
      </c>
      <c r="N89" s="316" t="n">
        <f aca="false">'Unit Mix &amp; Comparables'!$AP$49</f>
        <v>0</v>
      </c>
      <c r="O89" s="303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391"/>
      <c r="AE89" s="391"/>
      <c r="AF89" s="391"/>
      <c r="AG89" s="391"/>
      <c r="AH89" s="391"/>
      <c r="AI89" s="391"/>
      <c r="AJ89" s="391"/>
      <c r="AK89" s="391"/>
      <c r="AL89" s="391"/>
      <c r="AM89" s="391"/>
      <c r="AN89" s="391"/>
      <c r="AO89" s="391"/>
      <c r="AP89" s="391"/>
      <c r="AQ89" s="391"/>
      <c r="AR89" s="391"/>
      <c r="AS89" s="391"/>
      <c r="AT89" s="391"/>
      <c r="AU89" s="391"/>
      <c r="AV89" s="391"/>
      <c r="AW89" s="391"/>
      <c r="AX89" s="391"/>
      <c r="AY89" s="391"/>
      <c r="AZ89" s="391"/>
      <c r="BA89" s="391"/>
      <c r="BB89" s="17"/>
      <c r="BC89" s="17"/>
      <c r="BD89" s="17"/>
      <c r="BE89" s="17"/>
      <c r="BF89" s="17"/>
      <c r="BG89" s="19"/>
    </row>
    <row r="90" customFormat="false" ht="13.5" hidden="true" customHeight="true" outlineLevel="0" collapsed="false">
      <c r="B90" s="436" t="n">
        <f aca="false">AD58</f>
        <v>0</v>
      </c>
      <c r="C90" s="405" t="n">
        <f aca="false">IF('Unit Mix &amp; Comparables'!$AD53&lt;&gt;"",'Unit Mix &amp; Comparables'!$AD53,"")</f>
        <v>25</v>
      </c>
      <c r="D90" s="299" t="n">
        <f aca="false">IF('Unit Mix &amp; Comparables'!$AE$53&lt;&gt;"",'Unit Mix &amp; Comparables'!$AE$53,"")</f>
        <v>2</v>
      </c>
      <c r="E90" s="299" t="n">
        <f aca="false">IF('Unit Mix &amp; Comparables'!$AF$53&lt;&gt;"",'Unit Mix &amp; Comparables'!$AF$53,"")</f>
        <v>2</v>
      </c>
      <c r="F90" s="405" t="n">
        <f aca="false">IF('Unit Mix &amp; Comparables'!$AG$53&lt;&gt;"",'Unit Mix &amp; Comparables'!$AG$53,"")</f>
        <v>1200</v>
      </c>
      <c r="G90" s="301" t="n">
        <f aca="false">IF('Unit Mix &amp; Comparables'!$AH$53&lt;&gt;"",'Unit Mix &amp; Comparables'!$AH$53,"")</f>
        <v>1211</v>
      </c>
      <c r="H90" s="435" t="n">
        <f aca="false">IF('Unit Mix &amp; Comparables'!$AI$53&lt;&gt;"",'Unit Mix &amp; Comparables'!$AI$53,"")</f>
        <v>1.00916666666667</v>
      </c>
      <c r="I90" s="301" t="n">
        <f aca="false">'Unit Mix &amp; Comparables'!$AT$40</f>
        <v>0</v>
      </c>
      <c r="J90" s="301" t="n">
        <f aca="false">IFERROR(G90+I90,"")</f>
        <v>1211</v>
      </c>
      <c r="K90" s="435" t="n">
        <f aca="false">IFERROR(J90/F90,"")</f>
        <v>1.00916666666667</v>
      </c>
      <c r="L90" s="341" t="n">
        <f aca="false">$AD$86</f>
        <v>0</v>
      </c>
      <c r="M90" s="316" t="str">
        <f aca="false">'Unit Mix &amp; Comparables'!$AI$48</f>
        <v>B</v>
      </c>
      <c r="N90" s="316" t="n">
        <f aca="false">'Unit Mix &amp; Comparables'!$AD$49</f>
        <v>2008</v>
      </c>
      <c r="O90" s="303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9"/>
    </row>
    <row r="91" customFormat="false" ht="13.5" hidden="false" customHeight="true" outlineLevel="0" collapsed="false">
      <c r="B91" s="434" t="str">
        <f aca="false">$AD$6</f>
        <v>Windy Lakes</v>
      </c>
      <c r="C91" s="405" t="str">
        <f aca="false">IF('Unit Mix &amp; Comparables'!$AD14&lt;&gt;"",'Unit Mix &amp; Comparables'!$AD14,"")</f>
        <v/>
      </c>
      <c r="D91" s="299" t="str">
        <f aca="false">IF('Unit Mix &amp; Comparables'!$AE14&lt;&gt;"",'Unit Mix &amp; Comparables'!$AE14,"")</f>
        <v/>
      </c>
      <c r="E91" s="299" t="str">
        <f aca="false">IF('Unit Mix &amp; Comparables'!$AF14&lt;&gt;"",'Unit Mix &amp; Comparables'!$AF14,"")</f>
        <v/>
      </c>
      <c r="F91" s="405" t="str">
        <f aca="false">IF('Unit Mix &amp; Comparables'!$AG14&lt;&gt;"",'Unit Mix &amp; Comparables'!$AG14,"")</f>
        <v/>
      </c>
      <c r="G91" s="301" t="str">
        <f aca="false">IF('Unit Mix &amp; Comparables'!$AH14&lt;&gt;"",'Unit Mix &amp; Comparables'!$AH14,"")</f>
        <v/>
      </c>
      <c r="H91" s="435" t="n">
        <f aca="false">IF('Unit Mix &amp; Comparables'!$AI14&lt;&gt;"",'Unit Mix &amp; Comparables'!$AI14,"")</f>
        <v>0</v>
      </c>
      <c r="I91" s="301" t="n">
        <f aca="false">'Unit Mix &amp; Comparables'!$AH$40</f>
        <v>0</v>
      </c>
      <c r="J91" s="301" t="str">
        <f aca="false">IFERROR(G91+I91,"")</f>
        <v/>
      </c>
      <c r="K91" s="435" t="str">
        <f aca="false">IFERROR(J91/F91,"")</f>
        <v/>
      </c>
      <c r="L91" s="341" t="n">
        <f aca="false">$AD$43</f>
        <v>0</v>
      </c>
      <c r="M91" s="316" t="str">
        <f aca="false">'Unit Mix &amp; Comparables'!$AI$6</f>
        <v>B</v>
      </c>
      <c r="N91" s="316" t="n">
        <f aca="false">$AD$7</f>
        <v>1979</v>
      </c>
      <c r="O91" s="303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9"/>
    </row>
    <row r="92" customFormat="false" ht="13.5" hidden="false" customHeight="true" outlineLevel="0" collapsed="false">
      <c r="B92" s="434" t="str">
        <f aca="false">$AV$6</f>
        <v>Camellia Trace</v>
      </c>
      <c r="C92" s="405" t="n">
        <f aca="false">IF('Unit Mix &amp; Comparables'!$AV14&lt;&gt;"",'Unit Mix &amp; Comparables'!$AV14,"")</f>
        <v>25</v>
      </c>
      <c r="D92" s="299" t="n">
        <f aca="false">IF('Unit Mix &amp; Comparables'!$AW$14&lt;&gt;"",'Unit Mix &amp; Comparables'!$AW$14,"")</f>
        <v>3</v>
      </c>
      <c r="E92" s="299" t="n">
        <f aca="false">IF('Unit Mix &amp; Comparables'!$AX$14&lt;&gt;"",'Unit Mix &amp; Comparables'!$AX$14,"")</f>
        <v>2</v>
      </c>
      <c r="F92" s="405" t="n">
        <f aca="false">IF('Unit Mix &amp; Comparables'!$AY$14&lt;&gt;"",'Unit Mix &amp; Comparables'!$AY$14,"")</f>
        <v>1414</v>
      </c>
      <c r="G92" s="301" t="n">
        <f aca="false">IF('Unit Mix &amp; Comparables'!$AZ$14&lt;&gt;"",'Unit Mix &amp; Comparables'!$AZ$14,"")</f>
        <v>1206</v>
      </c>
      <c r="H92" s="435" t="n">
        <f aca="false">IF('Unit Mix &amp; Comparables'!$BA$14&lt;&gt;"",'Unit Mix &amp; Comparables'!$BA$14,"")</f>
        <v>0.852899575671853</v>
      </c>
      <c r="I92" s="301" t="n">
        <f aca="false">'Unit Mix &amp; Comparables'!$AZ$40</f>
        <v>0</v>
      </c>
      <c r="J92" s="301" t="n">
        <f aca="false">IFERROR(G92+I92,"")</f>
        <v>1206</v>
      </c>
      <c r="K92" s="435" t="n">
        <f aca="false">IFERROR(J92/F92,"")</f>
        <v>0.852899575671853</v>
      </c>
      <c r="L92" s="341" t="n">
        <f aca="false">$AV$43</f>
        <v>0</v>
      </c>
      <c r="M92" s="316" t="str">
        <f aca="false">'Unit Mix &amp; Comparables'!$BA$6</f>
        <v>B</v>
      </c>
      <c r="N92" s="316" t="n">
        <f aca="false">'Unit Mix &amp; Comparables'!$AV$7</f>
        <v>2004</v>
      </c>
      <c r="O92" s="303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9"/>
    </row>
    <row r="93" customFormat="false" ht="13.5" hidden="false" customHeight="true" outlineLevel="0" collapsed="false">
      <c r="B93" s="434" t="str">
        <f aca="false">$R$6</f>
        <v>Johnathan's Ridge</v>
      </c>
      <c r="C93" s="405" t="str">
        <f aca="false">IF('Unit Mix &amp; Comparables'!$R13&lt;&gt;"",'Unit Mix &amp; Comparables'!$R13,"")</f>
        <v/>
      </c>
      <c r="D93" s="299" t="str">
        <f aca="false">IF('Unit Mix &amp; Comparables'!$S13&lt;&gt;"",'Unit Mix &amp; Comparables'!$S13,"")</f>
        <v/>
      </c>
      <c r="E93" s="299" t="str">
        <f aca="false">IF('Unit Mix &amp; Comparables'!$T13&lt;&gt;"",'Unit Mix &amp; Comparables'!$T13,"")</f>
        <v/>
      </c>
      <c r="F93" s="405" t="str">
        <f aca="false">IF('Unit Mix &amp; Comparables'!$U13&lt;&gt;"",'Unit Mix &amp; Comparables'!$U13,"")</f>
        <v/>
      </c>
      <c r="G93" s="301" t="str">
        <f aca="false">IF('Unit Mix &amp; Comparables'!$V13&lt;&gt;"",'Unit Mix &amp; Comparables'!$V13,"")</f>
        <v/>
      </c>
      <c r="H93" s="435" t="n">
        <f aca="false">IF('Unit Mix &amp; Comparables'!$W13&lt;&gt;"",'Unit Mix &amp; Comparables'!$W13,"")</f>
        <v>0</v>
      </c>
      <c r="I93" s="301" t="n">
        <f aca="false">'Unit Mix &amp; Comparables'!$V$40</f>
        <v>0</v>
      </c>
      <c r="J93" s="301" t="str">
        <f aca="false">IFERROR(G93+I93,"")</f>
        <v/>
      </c>
      <c r="K93" s="435" t="str">
        <f aca="false">IFERROR(J93/F93,"")</f>
        <v/>
      </c>
      <c r="L93" s="341" t="n">
        <f aca="false">$R$43</f>
        <v>0</v>
      </c>
      <c r="M93" s="316" t="str">
        <f aca="false">'Unit Mix &amp; Comparables'!$W$6</f>
        <v>B</v>
      </c>
      <c r="N93" s="316" t="n">
        <f aca="false">$R$7</f>
        <v>1982</v>
      </c>
      <c r="O93" s="303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9"/>
    </row>
    <row r="94" customFormat="false" ht="13.5" hidden="false" customHeight="true" outlineLevel="0" collapsed="false">
      <c r="B94" s="434" t="str">
        <f aca="false">$AP$6</f>
        <v>Country View</v>
      </c>
      <c r="C94" s="405" t="str">
        <f aca="false">IF('Unit Mix &amp; Comparables'!$AP23&lt;&gt;"",'Unit Mix &amp; Comparables'!$AP23,"")</f>
        <v/>
      </c>
      <c r="D94" s="299" t="str">
        <f aca="false">IF('Unit Mix &amp; Comparables'!$AQ$23&lt;&gt;"",'Unit Mix &amp; Comparables'!$AQ$23,"")</f>
        <v/>
      </c>
      <c r="E94" s="299" t="str">
        <f aca="false">IF('Unit Mix &amp; Comparables'!$AR$23&lt;&gt;"",'Unit Mix &amp; Comparables'!$AR$23,"")</f>
        <v/>
      </c>
      <c r="F94" s="405" t="str">
        <f aca="false">IF('Unit Mix &amp; Comparables'!$AS$23&lt;&gt;"",'Unit Mix &amp; Comparables'!$AS$23,"")</f>
        <v/>
      </c>
      <c r="G94" s="301" t="str">
        <f aca="false">IF('Unit Mix &amp; Comparables'!$AT$23&lt;&gt;"",'Unit Mix &amp; Comparables'!$AT$23,"")</f>
        <v/>
      </c>
      <c r="H94" s="435" t="n">
        <f aca="false">IF('Unit Mix &amp; Comparables'!$AU$23&lt;&gt;"",'Unit Mix &amp; Comparables'!$AU$23,"")</f>
        <v>0</v>
      </c>
      <c r="I94" s="301" t="n">
        <f aca="false">'Unit Mix &amp; Comparables'!$AT$40</f>
        <v>0</v>
      </c>
      <c r="J94" s="301" t="str">
        <f aca="false">IFERROR(G94+I94,"")</f>
        <v/>
      </c>
      <c r="K94" s="435" t="str">
        <f aca="false">IFERROR(J94/F94,"")</f>
        <v/>
      </c>
      <c r="L94" s="341" t="n">
        <f aca="false">$AP$43</f>
        <v>0</v>
      </c>
      <c r="M94" s="316" t="str">
        <f aca="false">'Unit Mix &amp; Comparables'!$AU$6</f>
        <v>B</v>
      </c>
      <c r="N94" s="316" t="n">
        <f aca="false">'Unit Mix &amp; Comparables'!$AP$7</f>
        <v>1993</v>
      </c>
      <c r="O94" s="303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9"/>
    </row>
    <row r="95" customFormat="false" ht="13.5" hidden="false" customHeight="true" outlineLevel="0" collapsed="false">
      <c r="B95" s="434" t="str">
        <f aca="false">$X$6</f>
        <v>Riverside Manor</v>
      </c>
      <c r="C95" s="405" t="n">
        <f aca="false">IF('Unit Mix &amp; Comparables'!$X11&lt;&gt;"",'Unit Mix &amp; Comparables'!$X11,"")</f>
        <v>25</v>
      </c>
      <c r="D95" s="299" t="n">
        <f aca="false">IF('Unit Mix &amp; Comparables'!$Y11&lt;&gt;"",'Unit Mix &amp; Comparables'!$Y11,"")</f>
        <v>1</v>
      </c>
      <c r="E95" s="299" t="n">
        <f aca="false">IF('Unit Mix &amp; Comparables'!$Z11&lt;&gt;"",'Unit Mix &amp; Comparables'!$Z11,"")</f>
        <v>1</v>
      </c>
      <c r="F95" s="405" t="n">
        <f aca="false">IF('Unit Mix &amp; Comparables'!$AA11&lt;&gt;"",'Unit Mix &amp; Comparables'!$AA11,"")</f>
        <v>640</v>
      </c>
      <c r="G95" s="301" t="n">
        <f aca="false">IF('Unit Mix &amp; Comparables'!$AB11&lt;&gt;"",'Unit Mix &amp; Comparables'!$AB11,"")</f>
        <v>390</v>
      </c>
      <c r="H95" s="435" t="n">
        <f aca="false">IF('Unit Mix &amp; Comparables'!$AC11&lt;&gt;"",'Unit Mix &amp; Comparables'!$AC11,"")</f>
        <v>0.609375</v>
      </c>
      <c r="I95" s="301" t="n">
        <f aca="false">'Unit Mix &amp; Comparables'!$AB$40</f>
        <v>0</v>
      </c>
      <c r="J95" s="301" t="n">
        <f aca="false">IFERROR(G95+I95,"")</f>
        <v>390</v>
      </c>
      <c r="K95" s="435" t="n">
        <f aca="false">IFERROR(J95/F95,"")</f>
        <v>0.609375</v>
      </c>
      <c r="L95" s="341" t="n">
        <f aca="false">X68</f>
        <v>0</v>
      </c>
      <c r="M95" s="316" t="str">
        <f aca="false">'Unit Mix &amp; Comparables'!$W$6</f>
        <v>B</v>
      </c>
      <c r="N95" s="316" t="n">
        <f aca="false">$X$7</f>
        <v>1985</v>
      </c>
      <c r="O95" s="303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9"/>
    </row>
    <row r="96" customFormat="false" ht="13.5" hidden="false" customHeight="true" outlineLevel="0" collapsed="false">
      <c r="B96" s="437" t="str">
        <f aca="false">CONCATENATE($C$6," Pro Forma")</f>
        <v>Riverhill TH Pro Forma</v>
      </c>
      <c r="C96" s="438" t="str">
        <f aca="false">IF('Unit Mix &amp; Comparables'!$C$38&lt;&gt;"",'Unit Mix &amp; Comparables'!$C$38,"")</f>
        <v/>
      </c>
      <c r="D96" s="439" t="str">
        <f aca="false">IF('Unit Mix &amp; Comparables'!$D$38&lt;&gt;"",'Unit Mix &amp; Comparables'!$D$38,"")</f>
        <v/>
      </c>
      <c r="E96" s="439" t="str">
        <f aca="false">IF('Unit Mix &amp; Comparables'!$E$38&lt;&gt;"",'Unit Mix &amp; Comparables'!$E$38,"")</f>
        <v/>
      </c>
      <c r="F96" s="438" t="str">
        <f aca="false">IF('Unit Mix &amp; Comparables'!$F$38&lt;&gt;"",'Unit Mix &amp; Comparables'!$F$38,"")</f>
        <v/>
      </c>
      <c r="G96" s="440" t="str">
        <f aca="false">IF('Unit Mix &amp; Comparables'!$G$38&lt;&gt;"",'Unit Mix &amp; Comparables'!$G$38,"")</f>
        <v/>
      </c>
      <c r="H96" s="441" t="n">
        <f aca="false">IF('Unit Mix &amp; Comparables'!$H$38&lt;&gt;"",'Unit Mix &amp; Comparables'!$H$38,"")</f>
        <v>0</v>
      </c>
      <c r="I96" s="440" t="n">
        <f aca="false">'Unit Mix &amp; Comparables'!$G$40</f>
        <v>0</v>
      </c>
      <c r="J96" s="440" t="str">
        <f aca="false">IFERROR(G96+I96,"")</f>
        <v/>
      </c>
      <c r="K96" s="441" t="str">
        <f aca="false">IFERROR(J96/F96,"")</f>
        <v/>
      </c>
      <c r="L96" s="442" t="n">
        <f aca="false">C43</f>
        <v>0</v>
      </c>
      <c r="M96" s="443" t="str">
        <f aca="false">'Unit Mix &amp; Comparables'!$H$6</f>
        <v>B</v>
      </c>
      <c r="N96" s="443" t="n">
        <f aca="false">'Unit Mix &amp; Comparables'!$C$7</f>
        <v>1982</v>
      </c>
      <c r="O96" s="303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9"/>
    </row>
    <row r="97" customFormat="false" ht="13.5" hidden="false" customHeight="true" outlineLevel="0" collapsed="false">
      <c r="B97" s="437" t="str">
        <f aca="false">CONCATENATE($C$6," Pro Forma")</f>
        <v>Riverhill TH Pro Forma</v>
      </c>
      <c r="C97" s="438" t="str">
        <f aca="false">IF('Unit Mix &amp; Comparables'!$C$37&lt;&gt;"",'Unit Mix &amp; Comparables'!$C$37,"")</f>
        <v/>
      </c>
      <c r="D97" s="439" t="str">
        <f aca="false">IF('Unit Mix &amp; Comparables'!$D$37&lt;&gt;"",'Unit Mix &amp; Comparables'!$D$37,"")</f>
        <v/>
      </c>
      <c r="E97" s="439" t="str">
        <f aca="false">IF('Unit Mix &amp; Comparables'!$E$37&lt;&gt;"",'Unit Mix &amp; Comparables'!$E$37,"")</f>
        <v/>
      </c>
      <c r="F97" s="438" t="str">
        <f aca="false">IF('Unit Mix &amp; Comparables'!$F$37&lt;&gt;"",'Unit Mix &amp; Comparables'!$F$37,"")</f>
        <v/>
      </c>
      <c r="G97" s="440" t="str">
        <f aca="false">IF('Unit Mix &amp; Comparables'!$G$37&lt;&gt;"",'Unit Mix &amp; Comparables'!$G$37,"")</f>
        <v/>
      </c>
      <c r="H97" s="441" t="n">
        <f aca="false">IF('Unit Mix &amp; Comparables'!$H$37&lt;&gt;"",'Unit Mix &amp; Comparables'!$H$37,"")</f>
        <v>0</v>
      </c>
      <c r="I97" s="440" t="n">
        <f aca="false">'Unit Mix &amp; Comparables'!$G$40</f>
        <v>0</v>
      </c>
      <c r="J97" s="440" t="str">
        <f aca="false">IFERROR(G97+I97,"")</f>
        <v/>
      </c>
      <c r="K97" s="441" t="str">
        <f aca="false">IFERROR(J97/F97,"")</f>
        <v/>
      </c>
      <c r="L97" s="442" t="n">
        <f aca="false">C43</f>
        <v>0</v>
      </c>
      <c r="M97" s="443" t="str">
        <f aca="false">'Unit Mix &amp; Comparables'!$H$6</f>
        <v>B</v>
      </c>
      <c r="N97" s="443" t="n">
        <f aca="false">'Unit Mix &amp; Comparables'!$C$7</f>
        <v>1982</v>
      </c>
      <c r="O97" s="303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9"/>
    </row>
    <row r="98" customFormat="false" ht="13.5" hidden="false" customHeight="true" outlineLevel="0" collapsed="false">
      <c r="B98" s="444" t="str">
        <f aca="false">CONCATENATE($I$6," Current")</f>
        <v>Riverhill TH Current</v>
      </c>
      <c r="C98" s="445" t="str">
        <f aca="false">IF('Unit Mix &amp; Comparables'!$I$38&lt;&gt;"",'Unit Mix &amp; Comparables'!$I$38,"")</f>
        <v/>
      </c>
      <c r="D98" s="446" t="str">
        <f aca="false">IF('Unit Mix &amp; Comparables'!$J$38&lt;&gt;"",'Unit Mix &amp; Comparables'!$J$38,"")</f>
        <v/>
      </c>
      <c r="E98" s="446" t="str">
        <f aca="false">IF('Unit Mix &amp; Comparables'!$K$38&lt;&gt;"",'Unit Mix &amp; Comparables'!$K$38,"")</f>
        <v/>
      </c>
      <c r="F98" s="445" t="str">
        <f aca="false">IF('Unit Mix &amp; Comparables'!$L$38&lt;&gt;"",'Unit Mix &amp; Comparables'!$L$38,"")</f>
        <v/>
      </c>
      <c r="G98" s="447" t="str">
        <f aca="false">IF('Unit Mix &amp; Comparables'!$M$38&lt;&gt;"",'Unit Mix &amp; Comparables'!$M$38,"")</f>
        <v/>
      </c>
      <c r="H98" s="448" t="n">
        <f aca="false">IF('Unit Mix &amp; Comparables'!$N$38&lt;&gt;"",'Unit Mix &amp; Comparables'!$N$38,"")</f>
        <v>0</v>
      </c>
      <c r="I98" s="447" t="n">
        <f aca="false">'Unit Mix &amp; Comparables'!$M$40</f>
        <v>0</v>
      </c>
      <c r="J98" s="447" t="str">
        <f aca="false">IFERROR(G98+I98,"")</f>
        <v/>
      </c>
      <c r="K98" s="448" t="str">
        <f aca="false">IFERROR(J98/F98,"")</f>
        <v/>
      </c>
      <c r="L98" s="449" t="n">
        <f aca="false">$I$43</f>
        <v>0</v>
      </c>
      <c r="M98" s="450" t="str">
        <f aca="false">'Unit Mix &amp; Comparables'!$H$6</f>
        <v>B</v>
      </c>
      <c r="N98" s="450" t="n">
        <f aca="false">'Unit Mix &amp; Comparables'!$C$7</f>
        <v>1982</v>
      </c>
      <c r="O98" s="303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9"/>
    </row>
    <row r="99" customFormat="false" ht="13.5" hidden="false" customHeight="true" outlineLevel="0" collapsed="false">
      <c r="B99" s="434" t="str">
        <f aca="false">$AP$6</f>
        <v>Country View</v>
      </c>
      <c r="C99" s="405" t="str">
        <f aca="false">IF('Unit Mix &amp; Comparables'!$AP32&lt;&gt;"",'Unit Mix &amp; Comparables'!$AP32,"")</f>
        <v/>
      </c>
      <c r="D99" s="299" t="str">
        <f aca="false">IF('Unit Mix &amp; Comparables'!$AQ$32&lt;&gt;"",'Unit Mix &amp; Comparables'!$AQ$32,"")</f>
        <v/>
      </c>
      <c r="E99" s="299" t="str">
        <f aca="false">IF('Unit Mix &amp; Comparables'!$AR$32&lt;&gt;"",'Unit Mix &amp; Comparables'!$AR$32,"")</f>
        <v/>
      </c>
      <c r="F99" s="405" t="str">
        <f aca="false">IF('Unit Mix &amp; Comparables'!$AS$32&lt;&gt;"",'Unit Mix &amp; Comparables'!$AS$32,"")</f>
        <v/>
      </c>
      <c r="G99" s="301" t="str">
        <f aca="false">IF('Unit Mix &amp; Comparables'!$AT$32&lt;&gt;"",'Unit Mix &amp; Comparables'!$AT$32,"")</f>
        <v/>
      </c>
      <c r="H99" s="435" t="n">
        <f aca="false">IF('Unit Mix &amp; Comparables'!$AU$32&lt;&gt;"",'Unit Mix &amp; Comparables'!$AU$32,"")</f>
        <v>0</v>
      </c>
      <c r="I99" s="301" t="n">
        <f aca="false">'Unit Mix &amp; Comparables'!$AT$40</f>
        <v>0</v>
      </c>
      <c r="J99" s="301" t="str">
        <f aca="false">IFERROR(G99+I99,"")</f>
        <v/>
      </c>
      <c r="K99" s="435" t="str">
        <f aca="false">IFERROR(J99/F99,"")</f>
        <v/>
      </c>
      <c r="L99" s="341" t="n">
        <f aca="false">$AP$43</f>
        <v>0</v>
      </c>
      <c r="M99" s="316" t="str">
        <f aca="false">'Unit Mix &amp; Comparables'!$AU$6</f>
        <v>B</v>
      </c>
      <c r="N99" s="316" t="n">
        <f aca="false">'Unit Mix &amp; Comparables'!$AP$7</f>
        <v>1993</v>
      </c>
      <c r="O99" s="303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9"/>
    </row>
    <row r="100" customFormat="false" ht="13.5" hidden="false" customHeight="true" outlineLevel="0" collapsed="false">
      <c r="B100" s="434" t="str">
        <f aca="false">$BB$6</f>
        <v>Bridgeway</v>
      </c>
      <c r="C100" s="405" t="str">
        <f aca="false">IF('Unit Mix &amp; Comparables'!$BB11&lt;&gt;"",'Unit Mix &amp; Comparables'!$BB11,"")</f>
        <v/>
      </c>
      <c r="D100" s="299" t="str">
        <f aca="false">IF('Unit Mix &amp; Comparables'!$BC$11&lt;&gt;"",'Unit Mix &amp; Comparables'!$BC$11,"")</f>
        <v/>
      </c>
      <c r="E100" s="299" t="str">
        <f aca="false">IF('Unit Mix &amp; Comparables'!$BD$11&lt;&gt;"",'Unit Mix &amp; Comparables'!$BD$11,"")</f>
        <v/>
      </c>
      <c r="F100" s="405" t="str">
        <f aca="false">IF('Unit Mix &amp; Comparables'!$BE$11&lt;&gt;"",'Unit Mix &amp; Comparables'!$BE$11,"")</f>
        <v/>
      </c>
      <c r="G100" s="301" t="str">
        <f aca="false">IF('Unit Mix &amp; Comparables'!$BF$11&lt;&gt;"",'Unit Mix &amp; Comparables'!$BF$11,"")</f>
        <v/>
      </c>
      <c r="H100" s="435" t="n">
        <f aca="false">IF('Unit Mix &amp; Comparables'!$BG$11&lt;&gt;"",'Unit Mix &amp; Comparables'!$BG$11,"")</f>
        <v>0</v>
      </c>
      <c r="I100" s="301" t="n">
        <f aca="false">'Unit Mix &amp; Comparables'!$BF$40</f>
        <v>0</v>
      </c>
      <c r="J100" s="301" t="str">
        <f aca="false">IFERROR(G100+I100,"")</f>
        <v/>
      </c>
      <c r="K100" s="435" t="str">
        <f aca="false">IFERROR(J100/F100,"")</f>
        <v/>
      </c>
      <c r="L100" s="341" t="n">
        <f aca="false">$BB$43</f>
        <v>0</v>
      </c>
      <c r="M100" s="316" t="n">
        <f aca="false">'Unit Mix &amp; Comparables'!$BG$6</f>
        <v>0</v>
      </c>
      <c r="N100" s="316" t="n">
        <f aca="false">'Unit Mix &amp; Comparables'!$BB$7</f>
        <v>2012</v>
      </c>
      <c r="O100" s="303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9"/>
    </row>
    <row r="101" customFormat="false" ht="13.5" hidden="true" customHeight="true" outlineLevel="0" collapsed="false">
      <c r="B101" s="436" t="n">
        <f aca="false">AV28</f>
        <v>0</v>
      </c>
      <c r="C101" s="405" t="str">
        <f aca="false">IF('Unit Mix &amp; Comparables'!$AV52&lt;&gt;"",'Unit Mix &amp; Comparables'!$AV52,"")</f>
        <v/>
      </c>
      <c r="D101" s="299" t="str">
        <f aca="false">IF('Unit Mix &amp; Comparables'!$AW$52&lt;&gt;"",'Unit Mix &amp; Comparables'!$AW$52,"")</f>
        <v/>
      </c>
      <c r="E101" s="299" t="str">
        <f aca="false">IF('Unit Mix &amp; Comparables'!$AX$52&lt;&gt;"",'Unit Mix &amp; Comparables'!$AX$52,"")</f>
        <v/>
      </c>
      <c r="F101" s="405" t="str">
        <f aca="false">IF('Unit Mix &amp; Comparables'!$AY$52&lt;&gt;"",'Unit Mix &amp; Comparables'!$AY$52,"")</f>
        <v/>
      </c>
      <c r="G101" s="301" t="str">
        <f aca="false">IF('Unit Mix &amp; Comparables'!$AZ$52&lt;&gt;"",'Unit Mix &amp; Comparables'!$AZ$52,"")</f>
        <v/>
      </c>
      <c r="H101" s="435" t="n">
        <f aca="false">IF('Unit Mix &amp; Comparables'!$BA$52&lt;&gt;"",'Unit Mix &amp; Comparables'!$BA$52,"")</f>
        <v>0</v>
      </c>
      <c r="I101" s="301" t="n">
        <f aca="false">'Unit Mix &amp; Comparables'!$AT$40</f>
        <v>0</v>
      </c>
      <c r="J101" s="301" t="str">
        <f aca="false">IFERROR(G101+I101,"")</f>
        <v/>
      </c>
      <c r="K101" s="435" t="str">
        <f aca="false">IFERROR(J101/F101,"")</f>
        <v/>
      </c>
      <c r="L101" s="341" t="n">
        <f aca="false">$AV$86</f>
        <v>0</v>
      </c>
      <c r="M101" s="316" t="str">
        <f aca="false">'Unit Mix &amp; Comparables'!$BA$48</f>
        <v>A</v>
      </c>
      <c r="N101" s="316" t="n">
        <f aca="false">'Unit Mix &amp; Comparables'!$AV$49</f>
        <v>0</v>
      </c>
      <c r="O101" s="303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9"/>
    </row>
    <row r="102" customFormat="false" ht="13.5" hidden="false" customHeight="true" outlineLevel="0" collapsed="false">
      <c r="B102" s="434" t="str">
        <f aca="false">$AV$6</f>
        <v>Camellia Trace</v>
      </c>
      <c r="C102" s="405" t="n">
        <f aca="false">IF('Unit Mix &amp; Comparables'!$AV13&lt;&gt;"",'Unit Mix &amp; Comparables'!$AV13,"")</f>
        <v>25</v>
      </c>
      <c r="D102" s="299" t="n">
        <f aca="false">IF('Unit Mix &amp; Comparables'!$AW$13&lt;&gt;"",'Unit Mix &amp; Comparables'!$AW$13,"")</f>
        <v>2</v>
      </c>
      <c r="E102" s="299" t="n">
        <f aca="false">IF('Unit Mix &amp; Comparables'!$AX$13&lt;&gt;"",'Unit Mix &amp; Comparables'!$AX$13,"")</f>
        <v>2</v>
      </c>
      <c r="F102" s="405" t="n">
        <f aca="false">IF('Unit Mix &amp; Comparables'!$AY$13&lt;&gt;"",'Unit Mix &amp; Comparables'!$AY$13,"")</f>
        <v>1208</v>
      </c>
      <c r="G102" s="301" t="n">
        <f aca="false">IF('Unit Mix &amp; Comparables'!$AZ$13&lt;&gt;"",'Unit Mix &amp; Comparables'!$AZ$13,"")</f>
        <v>996</v>
      </c>
      <c r="H102" s="435" t="n">
        <f aca="false">IF('Unit Mix &amp; Comparables'!$BA$13&lt;&gt;"",'Unit Mix &amp; Comparables'!$BA$13,"")</f>
        <v>0.824503311258278</v>
      </c>
      <c r="I102" s="301" t="n">
        <f aca="false">'Unit Mix &amp; Comparables'!$AZ$40</f>
        <v>0</v>
      </c>
      <c r="J102" s="301" t="n">
        <f aca="false">IFERROR(G102+I102,"")</f>
        <v>996</v>
      </c>
      <c r="K102" s="435" t="n">
        <f aca="false">IFERROR(J102/F102,"")</f>
        <v>0.824503311258278</v>
      </c>
      <c r="L102" s="341" t="n">
        <f aca="false">$AV$43</f>
        <v>0</v>
      </c>
      <c r="M102" s="316" t="str">
        <f aca="false">'Unit Mix &amp; Comparables'!$BA$6</f>
        <v>B</v>
      </c>
      <c r="N102" s="316" t="n">
        <f aca="false">'Unit Mix &amp; Comparables'!$AV$7</f>
        <v>2004</v>
      </c>
      <c r="O102" s="303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9"/>
    </row>
    <row r="103" customFormat="false" ht="13.5" hidden="false" customHeight="true" outlineLevel="0" collapsed="false">
      <c r="B103" s="434" t="str">
        <f aca="false">$AV$6</f>
        <v>Camellia Trace</v>
      </c>
      <c r="C103" s="405" t="n">
        <f aca="false">IF('Unit Mix &amp; Comparables'!$AV11&lt;&gt;"",'Unit Mix &amp; Comparables'!$AV11,"")</f>
        <v>25</v>
      </c>
      <c r="D103" s="299" t="n">
        <f aca="false">IF('Unit Mix &amp; Comparables'!$AW$12&lt;&gt;"",'Unit Mix &amp; Comparables'!$AW$12,"")</f>
        <v>2</v>
      </c>
      <c r="E103" s="299" t="n">
        <f aca="false">IF('Unit Mix &amp; Comparables'!$AX$12&lt;&gt;"",'Unit Mix &amp; Comparables'!$AX$12,"")</f>
        <v>2</v>
      </c>
      <c r="F103" s="405" t="n">
        <f aca="false">IF('Unit Mix &amp; Comparables'!$AY$12&lt;&gt;"",'Unit Mix &amp; Comparables'!$AY$12,"")</f>
        <v>1197</v>
      </c>
      <c r="G103" s="301" t="n">
        <f aca="false">IF('Unit Mix &amp; Comparables'!$AZ$12&lt;&gt;"",'Unit Mix &amp; Comparables'!$AZ$12,"")</f>
        <v>946</v>
      </c>
      <c r="H103" s="435" t="n">
        <f aca="false">IF('Unit Mix &amp; Comparables'!$BA$12&lt;&gt;"",'Unit Mix &amp; Comparables'!$BA$12,"")</f>
        <v>0.79030910609858</v>
      </c>
      <c r="I103" s="301" t="n">
        <f aca="false">'Unit Mix &amp; Comparables'!$AZ$40</f>
        <v>0</v>
      </c>
      <c r="J103" s="301" t="n">
        <f aca="false">IFERROR(G103+I103,"")</f>
        <v>946</v>
      </c>
      <c r="K103" s="435" t="n">
        <f aca="false">IFERROR(J103/F103,"")</f>
        <v>0.79030910609858</v>
      </c>
      <c r="L103" s="341" t="n">
        <f aca="false">$AV$43</f>
        <v>0</v>
      </c>
      <c r="M103" s="316" t="str">
        <f aca="false">'Unit Mix &amp; Comparables'!$BA$6</f>
        <v>B</v>
      </c>
      <c r="N103" s="316" t="n">
        <f aca="false">'Unit Mix &amp; Comparables'!$AV$7</f>
        <v>2004</v>
      </c>
      <c r="O103" s="303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9"/>
    </row>
    <row r="104" customFormat="false" ht="13.5" hidden="true" customHeight="true" outlineLevel="0" collapsed="false">
      <c r="B104" s="434" t="str">
        <f aca="false">$X$6</f>
        <v>Riverside Manor</v>
      </c>
      <c r="C104" s="405" t="n">
        <f aca="false">IF('Unit Mix &amp; Comparables'!$X12&lt;&gt;"",'Unit Mix &amp; Comparables'!$X12,"")</f>
        <v>25</v>
      </c>
      <c r="D104" s="299" t="n">
        <f aca="false">IF('Unit Mix &amp; Comparables'!$Y12&lt;&gt;"",'Unit Mix &amp; Comparables'!$Y12,"")</f>
        <v>2</v>
      </c>
      <c r="E104" s="299" t="n">
        <f aca="false">IF('Unit Mix &amp; Comparables'!$Z12&lt;&gt;"",'Unit Mix &amp; Comparables'!$Z12,"")</f>
        <v>1</v>
      </c>
      <c r="F104" s="405" t="n">
        <f aca="false">IF('Unit Mix &amp; Comparables'!$AA12&lt;&gt;"",'Unit Mix &amp; Comparables'!$AA12,"")</f>
        <v>680</v>
      </c>
      <c r="G104" s="301" t="n">
        <f aca="false">IF('Unit Mix &amp; Comparables'!$AB12&lt;&gt;"",'Unit Mix &amp; Comparables'!$AB12,"")</f>
        <v>400</v>
      </c>
      <c r="H104" s="435" t="n">
        <f aca="false">IF('Unit Mix &amp; Comparables'!$AC12&lt;&gt;"",'Unit Mix &amp; Comparables'!$AC12,"")</f>
        <v>0.588235294117647</v>
      </c>
      <c r="I104" s="301" t="n">
        <f aca="false">'Unit Mix &amp; Comparables'!$AB$40</f>
        <v>0</v>
      </c>
      <c r="J104" s="301" t="n">
        <f aca="false">IFERROR(G104+I104,"")</f>
        <v>400</v>
      </c>
      <c r="K104" s="435" t="n">
        <f aca="false">IFERROR(J104/F104,"")</f>
        <v>0.588235294117647</v>
      </c>
      <c r="L104" s="341" t="n">
        <f aca="false">$AV$43</f>
        <v>0</v>
      </c>
      <c r="M104" s="316" t="str">
        <f aca="false">'Unit Mix &amp; Comparables'!$W$6</f>
        <v>B</v>
      </c>
      <c r="N104" s="316" t="n">
        <f aca="false">$X$7</f>
        <v>1985</v>
      </c>
      <c r="O104" s="303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9"/>
    </row>
    <row r="105" customFormat="false" ht="13.5" hidden="false" customHeight="true" outlineLevel="0" collapsed="false">
      <c r="B105" s="444" t="str">
        <f aca="false">CONCATENATE($I$6," Current")</f>
        <v>Riverhill TH Current</v>
      </c>
      <c r="C105" s="445" t="str">
        <f aca="false">IF('Unit Mix &amp; Comparables'!$I$37&lt;&gt;"",'Unit Mix &amp; Comparables'!$I$37,"")</f>
        <v/>
      </c>
      <c r="D105" s="446" t="str">
        <f aca="false">IF('Unit Mix &amp; Comparables'!$J$37&lt;&gt;"",'Unit Mix &amp; Comparables'!$J$37,"")</f>
        <v/>
      </c>
      <c r="E105" s="446" t="str">
        <f aca="false">IF('Unit Mix &amp; Comparables'!$K$37&lt;&gt;"",'Unit Mix &amp; Comparables'!$K$37,"")</f>
        <v/>
      </c>
      <c r="F105" s="445" t="str">
        <f aca="false">IF('Unit Mix &amp; Comparables'!$L$37&lt;&gt;"",'Unit Mix &amp; Comparables'!$L$37,"")</f>
        <v/>
      </c>
      <c r="G105" s="447" t="str">
        <f aca="false">IF('Unit Mix &amp; Comparables'!$M$37&lt;&gt;"",'Unit Mix &amp; Comparables'!$M$37,"")</f>
        <v/>
      </c>
      <c r="H105" s="448" t="n">
        <f aca="false">IF('Unit Mix &amp; Comparables'!$N$37&lt;&gt;"",'Unit Mix &amp; Comparables'!$N$37,"")</f>
        <v>0</v>
      </c>
      <c r="I105" s="447" t="n">
        <f aca="false">'Unit Mix &amp; Comparables'!$M$40</f>
        <v>0</v>
      </c>
      <c r="J105" s="447" t="str">
        <f aca="false">IFERROR(G105+I105,"")</f>
        <v/>
      </c>
      <c r="K105" s="448" t="str">
        <f aca="false">IFERROR(J105/F105,"")</f>
        <v/>
      </c>
      <c r="L105" s="449" t="n">
        <f aca="false">$I$43</f>
        <v>0</v>
      </c>
      <c r="M105" s="450" t="str">
        <f aca="false">'Unit Mix &amp; Comparables'!$H$6</f>
        <v>B</v>
      </c>
      <c r="N105" s="450" t="n">
        <f aca="false">'Unit Mix &amp; Comparables'!$C$7</f>
        <v>1982</v>
      </c>
      <c r="O105" s="303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9"/>
    </row>
    <row r="106" customFormat="false" ht="13.5" hidden="false" customHeight="true" outlineLevel="0" collapsed="false">
      <c r="B106" s="434" t="str">
        <f aca="false">$AD$6</f>
        <v>Windy Lakes</v>
      </c>
      <c r="C106" s="405" t="str">
        <f aca="false">IF('Unit Mix &amp; Comparables'!$AD13&lt;&gt;"",'Unit Mix &amp; Comparables'!$AD13,"")</f>
        <v/>
      </c>
      <c r="D106" s="299" t="str">
        <f aca="false">IF('Unit Mix &amp; Comparables'!$AE13&lt;&gt;"",'Unit Mix &amp; Comparables'!$AE13,"")</f>
        <v/>
      </c>
      <c r="E106" s="299" t="str">
        <f aca="false">IF('Unit Mix &amp; Comparables'!$AF13&lt;&gt;"",'Unit Mix &amp; Comparables'!$AF13,"")</f>
        <v/>
      </c>
      <c r="F106" s="405" t="str">
        <f aca="false">IF('Unit Mix &amp; Comparables'!$AG13&lt;&gt;"",'Unit Mix &amp; Comparables'!$AG13,"")</f>
        <v/>
      </c>
      <c r="G106" s="301" t="str">
        <f aca="false">IF('Unit Mix &amp; Comparables'!$AH13&lt;&gt;"",'Unit Mix &amp; Comparables'!$AH13,"")</f>
        <v/>
      </c>
      <c r="H106" s="435" t="n">
        <f aca="false">IF('Unit Mix &amp; Comparables'!$AI13&lt;&gt;"",'Unit Mix &amp; Comparables'!$AI13,"")</f>
        <v>0</v>
      </c>
      <c r="I106" s="301" t="n">
        <f aca="false">'Unit Mix &amp; Comparables'!$AH$40</f>
        <v>0</v>
      </c>
      <c r="J106" s="301" t="str">
        <f aca="false">IFERROR(G106+I106,"")</f>
        <v/>
      </c>
      <c r="K106" s="435" t="str">
        <f aca="false">IFERROR(J106/F106,"")</f>
        <v/>
      </c>
      <c r="L106" s="341" t="n">
        <f aca="false">$AD$43</f>
        <v>0</v>
      </c>
      <c r="M106" s="316" t="str">
        <f aca="false">'Unit Mix &amp; Comparables'!$AI$6</f>
        <v>B</v>
      </c>
      <c r="N106" s="316" t="n">
        <f aca="false">$AD$7</f>
        <v>1979</v>
      </c>
      <c r="O106" s="303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9"/>
    </row>
    <row r="107" customFormat="false" ht="13.5" hidden="false" customHeight="true" outlineLevel="0" collapsed="false">
      <c r="B107" s="434" t="str">
        <f aca="false">$AP$6</f>
        <v>Country View</v>
      </c>
      <c r="C107" s="405" t="str">
        <f aca="false">IF('Unit Mix &amp; Comparables'!$AP29&lt;&gt;"",'Unit Mix &amp; Comparables'!$AP29,"")</f>
        <v/>
      </c>
      <c r="D107" s="299" t="str">
        <f aca="false">IF('Unit Mix &amp; Comparables'!$AQ$29&lt;&gt;"",'Unit Mix &amp; Comparables'!$AQ$29,"")</f>
        <v/>
      </c>
      <c r="E107" s="299" t="str">
        <f aca="false">IF('Unit Mix &amp; Comparables'!$AR$29&lt;&gt;"",'Unit Mix &amp; Comparables'!$AR$29,"")</f>
        <v/>
      </c>
      <c r="F107" s="405" t="str">
        <f aca="false">IF('Unit Mix &amp; Comparables'!$AS$29&lt;&gt;"",'Unit Mix &amp; Comparables'!$AS$29,"")</f>
        <v/>
      </c>
      <c r="G107" s="301" t="str">
        <f aca="false">IF('Unit Mix &amp; Comparables'!$AT$29&lt;&gt;"",'Unit Mix &amp; Comparables'!$AT$29,"")</f>
        <v/>
      </c>
      <c r="H107" s="435" t="n">
        <f aca="false">IF('Unit Mix &amp; Comparables'!$AU$29&lt;&gt;"",'Unit Mix &amp; Comparables'!$AU$29,"")</f>
        <v>0</v>
      </c>
      <c r="I107" s="301" t="n">
        <f aca="false">'Unit Mix &amp; Comparables'!$AT$40</f>
        <v>0</v>
      </c>
      <c r="J107" s="301" t="str">
        <f aca="false">IFERROR(G107+I107,"")</f>
        <v/>
      </c>
      <c r="K107" s="435" t="str">
        <f aca="false">IFERROR(J107/F107,"")</f>
        <v/>
      </c>
      <c r="L107" s="341" t="n">
        <f aca="false">$AP$43</f>
        <v>0</v>
      </c>
      <c r="M107" s="316" t="str">
        <f aca="false">'Unit Mix &amp; Comparables'!$AU$6</f>
        <v>B</v>
      </c>
      <c r="N107" s="316" t="n">
        <f aca="false">'Unit Mix &amp; Comparables'!$AP$7</f>
        <v>1993</v>
      </c>
      <c r="O107" s="303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9"/>
    </row>
    <row r="108" customFormat="false" ht="13.5" hidden="false" customHeight="true" outlineLevel="0" collapsed="false">
      <c r="B108" s="434" t="str">
        <f aca="false">$AP$6</f>
        <v>Country View</v>
      </c>
      <c r="C108" s="405" t="str">
        <f aca="false">IF('Unit Mix &amp; Comparables'!$AP26&lt;&gt;"",'Unit Mix &amp; Comparables'!$AP26,"")</f>
        <v/>
      </c>
      <c r="D108" s="299" t="str">
        <f aca="false">IF('Unit Mix &amp; Comparables'!$AQ$26&lt;&gt;"",'Unit Mix &amp; Comparables'!$AQ$26,"")</f>
        <v/>
      </c>
      <c r="E108" s="299" t="str">
        <f aca="false">IF('Unit Mix &amp; Comparables'!$AR$26&lt;&gt;"",'Unit Mix &amp; Comparables'!$AR$26,"")</f>
        <v/>
      </c>
      <c r="F108" s="405" t="str">
        <f aca="false">IF('Unit Mix &amp; Comparables'!$AS$26&lt;&gt;"",'Unit Mix &amp; Comparables'!$AS$26,"")</f>
        <v/>
      </c>
      <c r="G108" s="301" t="str">
        <f aca="false">IF('Unit Mix &amp; Comparables'!$AT$26&lt;&gt;"",'Unit Mix &amp; Comparables'!$AT$26,"")</f>
        <v/>
      </c>
      <c r="H108" s="435" t="n">
        <f aca="false">IF('Unit Mix &amp; Comparables'!$AU$26&lt;&gt;"",'Unit Mix &amp; Comparables'!$AU$26,"")</f>
        <v>0</v>
      </c>
      <c r="I108" s="301" t="n">
        <f aca="false">'Unit Mix &amp; Comparables'!$AT$40</f>
        <v>0</v>
      </c>
      <c r="J108" s="301" t="str">
        <f aca="false">IFERROR(G108+I108,"")</f>
        <v/>
      </c>
      <c r="K108" s="435" t="str">
        <f aca="false">IFERROR(J108/F108,"")</f>
        <v/>
      </c>
      <c r="L108" s="341" t="n">
        <f aca="false">$AP$43</f>
        <v>0</v>
      </c>
      <c r="M108" s="316" t="str">
        <f aca="false">'Unit Mix &amp; Comparables'!$AU$6</f>
        <v>B</v>
      </c>
      <c r="N108" s="316" t="n">
        <f aca="false">'Unit Mix &amp; Comparables'!$AP$7</f>
        <v>1993</v>
      </c>
      <c r="O108" s="303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9"/>
    </row>
    <row r="109" customFormat="false" ht="13.5" hidden="true" customHeight="true" outlineLevel="0" collapsed="false">
      <c r="B109" s="434" t="str">
        <f aca="false">$AV$6</f>
        <v>Camellia Trace</v>
      </c>
      <c r="C109" s="405" t="str">
        <f aca="false">IF('Unit Mix &amp; Comparables'!$AV17&lt;&gt;"",'Unit Mix &amp; Comparables'!$AV17,"")</f>
        <v/>
      </c>
      <c r="D109" s="299" t="str">
        <f aca="false">IF('Unit Mix &amp; Comparables'!$AW$17&lt;&gt;"",'Unit Mix &amp; Comparables'!$AW$17,"")</f>
        <v/>
      </c>
      <c r="E109" s="299" t="str">
        <f aca="false">IF('Unit Mix &amp; Comparables'!$AX$17&lt;&gt;"",'Unit Mix &amp; Comparables'!$AX$17,"")</f>
        <v/>
      </c>
      <c r="F109" s="405" t="str">
        <f aca="false">IF('Unit Mix &amp; Comparables'!$AY$17&lt;&gt;"",'Unit Mix &amp; Comparables'!$AY$17,"")</f>
        <v/>
      </c>
      <c r="G109" s="301" t="str">
        <f aca="false">IF('Unit Mix &amp; Comparables'!$AZ$17&lt;&gt;"",'Unit Mix &amp; Comparables'!$AZ$17,"")</f>
        <v/>
      </c>
      <c r="H109" s="435" t="n">
        <f aca="false">IF('Unit Mix &amp; Comparables'!$BA$17&lt;&gt;"",'Unit Mix &amp; Comparables'!$BA$17,"")</f>
        <v>0</v>
      </c>
      <c r="I109" s="301" t="n">
        <f aca="false">'Unit Mix &amp; Comparables'!$AZ$40</f>
        <v>0</v>
      </c>
      <c r="J109" s="301" t="str">
        <f aca="false">IFERROR(G109+I109,"")</f>
        <v/>
      </c>
      <c r="K109" s="435" t="str">
        <f aca="false">IFERROR(J109/F109,"")</f>
        <v/>
      </c>
      <c r="L109" s="341" t="n">
        <f aca="false">$AV$43</f>
        <v>0</v>
      </c>
      <c r="M109" s="316" t="str">
        <f aca="false">'Unit Mix &amp; Comparables'!$BA$6</f>
        <v>B</v>
      </c>
      <c r="N109" s="316" t="n">
        <f aca="false">'Unit Mix &amp; Comparables'!$AV$7</f>
        <v>2004</v>
      </c>
      <c r="O109" s="303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9"/>
    </row>
    <row r="110" customFormat="false" ht="13.5" hidden="false" customHeight="true" outlineLevel="0" collapsed="false">
      <c r="B110" s="434" t="str">
        <f aca="false">$AV$6</f>
        <v>Camellia Trace</v>
      </c>
      <c r="C110" s="405" t="n">
        <f aca="false">IF('Unit Mix &amp; Comparables'!$AV12&lt;&gt;"",'Unit Mix &amp; Comparables'!$AV12,"")</f>
        <v>25</v>
      </c>
      <c r="D110" s="299" t="n">
        <f aca="false">IF('Unit Mix &amp; Comparables'!$AW$11&lt;&gt;"",'Unit Mix &amp; Comparables'!$AW$11,"")</f>
        <v>1</v>
      </c>
      <c r="E110" s="299" t="n">
        <f aca="false">IF('Unit Mix &amp; Comparables'!$AX$11&lt;&gt;"",'Unit Mix &amp; Comparables'!$AX$11,"")</f>
        <v>1</v>
      </c>
      <c r="F110" s="405" t="n">
        <f aca="false">IF('Unit Mix &amp; Comparables'!$AY$11&lt;&gt;"",'Unit Mix &amp; Comparables'!$AY$11,"")</f>
        <v>907</v>
      </c>
      <c r="G110" s="301" t="n">
        <f aca="false">IF('Unit Mix &amp; Comparables'!$AZ$11&lt;&gt;"",'Unit Mix &amp; Comparables'!$AZ$11,"")</f>
        <v>886</v>
      </c>
      <c r="H110" s="435" t="n">
        <f aca="false">IF('Unit Mix &amp; Comparables'!$BA$11&lt;&gt;"",'Unit Mix &amp; Comparables'!$BA$11,"")</f>
        <v>0.976846747519294</v>
      </c>
      <c r="I110" s="301" t="n">
        <f aca="false">'Unit Mix &amp; Comparables'!$AZ$40</f>
        <v>0</v>
      </c>
      <c r="J110" s="301" t="n">
        <f aca="false">IFERROR(G110+I110,"")</f>
        <v>886</v>
      </c>
      <c r="K110" s="435" t="n">
        <f aca="false">IFERROR(J110/F110,"")</f>
        <v>0.976846747519294</v>
      </c>
      <c r="L110" s="341" t="n">
        <f aca="false">$AV$43</f>
        <v>0</v>
      </c>
      <c r="M110" s="316" t="str">
        <f aca="false">'Unit Mix &amp; Comparables'!$BA$6</f>
        <v>B</v>
      </c>
      <c r="N110" s="316" t="n">
        <f aca="false">'Unit Mix &amp; Comparables'!$AV$7</f>
        <v>2004</v>
      </c>
      <c r="O110" s="303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9"/>
    </row>
    <row r="111" customFormat="false" ht="13.5" hidden="true" customHeight="true" outlineLevel="0" collapsed="false">
      <c r="B111" s="434" t="str">
        <f aca="false">$AV$6</f>
        <v>Camellia Trace</v>
      </c>
      <c r="C111" s="405" t="str">
        <f aca="false">IF('Unit Mix &amp; Comparables'!$AV16&lt;&gt;"",'Unit Mix &amp; Comparables'!$AV16,"")</f>
        <v/>
      </c>
      <c r="D111" s="299" t="str">
        <f aca="false">IF('Unit Mix &amp; Comparables'!$AW$16&lt;&gt;"",'Unit Mix &amp; Comparables'!$AW$16,"")</f>
        <v/>
      </c>
      <c r="E111" s="299" t="str">
        <f aca="false">IF('Unit Mix &amp; Comparables'!$AX$16&lt;&gt;"",'Unit Mix &amp; Comparables'!$AX$16,"")</f>
        <v/>
      </c>
      <c r="F111" s="405" t="str">
        <f aca="false">IF('Unit Mix &amp; Comparables'!$AY$16&lt;&gt;"",'Unit Mix &amp; Comparables'!$AY$16,"")</f>
        <v/>
      </c>
      <c r="G111" s="301" t="str">
        <f aca="false">IF('Unit Mix &amp; Comparables'!$AZ$16&lt;&gt;"",'Unit Mix &amp; Comparables'!$AZ$16,"")</f>
        <v/>
      </c>
      <c r="H111" s="435" t="n">
        <f aca="false">IF('Unit Mix &amp; Comparables'!$BA$16&lt;&gt;"",'Unit Mix &amp; Comparables'!$BA$16,"")</f>
        <v>0</v>
      </c>
      <c r="I111" s="301" t="n">
        <f aca="false">'Unit Mix &amp; Comparables'!$AZ$40</f>
        <v>0</v>
      </c>
      <c r="J111" s="301" t="str">
        <f aca="false">IFERROR(G111+I111,"")</f>
        <v/>
      </c>
      <c r="K111" s="435" t="str">
        <f aca="false">IFERROR(J111/F111,"")</f>
        <v/>
      </c>
      <c r="L111" s="341" t="n">
        <f aca="false">$AV$43</f>
        <v>0</v>
      </c>
      <c r="M111" s="316" t="str">
        <f aca="false">'Unit Mix &amp; Comparables'!$BA$6</f>
        <v>B</v>
      </c>
      <c r="N111" s="316" t="n">
        <f aca="false">'Unit Mix &amp; Comparables'!$AV$7</f>
        <v>2004</v>
      </c>
      <c r="O111" s="303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9"/>
    </row>
    <row r="112" customFormat="false" ht="13.5" hidden="true" customHeight="true" outlineLevel="0" collapsed="false">
      <c r="B112" s="436" t="n">
        <f aca="false">AD81</f>
        <v>0</v>
      </c>
      <c r="C112" s="405" t="n">
        <f aca="false">IF('Unit Mix &amp; Comparables'!$AD52&lt;&gt;"",'Unit Mix &amp; Comparables'!$AD52,"")</f>
        <v>25</v>
      </c>
      <c r="D112" s="299" t="n">
        <f aca="false">IF('Unit Mix &amp; Comparables'!$AE$52&lt;&gt;"",'Unit Mix &amp; Comparables'!$AE$52,"")</f>
        <v>2</v>
      </c>
      <c r="E112" s="299" t="n">
        <f aca="false">IF('Unit Mix &amp; Comparables'!$AF$52&lt;&gt;"",'Unit Mix &amp; Comparables'!$AF$52,"")</f>
        <v>2</v>
      </c>
      <c r="F112" s="405" t="n">
        <f aca="false">IF('Unit Mix &amp; Comparables'!$AG$52&lt;&gt;"",'Unit Mix &amp; Comparables'!$AG$52,"")</f>
        <v>1122</v>
      </c>
      <c r="G112" s="301" t="n">
        <f aca="false">IF('Unit Mix &amp; Comparables'!$AH$52&lt;&gt;"",'Unit Mix &amp; Comparables'!$AH$52,"")</f>
        <v>1123</v>
      </c>
      <c r="H112" s="435" t="n">
        <f aca="false">IF('Unit Mix &amp; Comparables'!$AI$52&lt;&gt;"",'Unit Mix &amp; Comparables'!$AI$52,"")</f>
        <v>1.00089126559715</v>
      </c>
      <c r="I112" s="301" t="n">
        <f aca="false">'Unit Mix &amp; Comparables'!$AT$40</f>
        <v>0</v>
      </c>
      <c r="J112" s="301" t="n">
        <f aca="false">IFERROR(G112+I112,"")</f>
        <v>1123</v>
      </c>
      <c r="K112" s="435" t="n">
        <f aca="false">IFERROR(J112/F112,"")</f>
        <v>1.00089126559715</v>
      </c>
      <c r="L112" s="341" t="n">
        <f aca="false">$AD$86</f>
        <v>0</v>
      </c>
      <c r="M112" s="316" t="str">
        <f aca="false">'Unit Mix &amp; Comparables'!$AI$48</f>
        <v>B</v>
      </c>
      <c r="N112" s="316" t="n">
        <f aca="false">'Unit Mix &amp; Comparables'!$AD$49</f>
        <v>2008</v>
      </c>
      <c r="O112" s="303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9"/>
    </row>
    <row r="113" customFormat="false" ht="13.5" hidden="false" customHeight="true" outlineLevel="0" collapsed="false">
      <c r="B113" s="437" t="str">
        <f aca="false">CONCATENATE($C$6," Pro Forma")</f>
        <v>Riverhill TH Pro Forma</v>
      </c>
      <c r="C113" s="438" t="str">
        <f aca="false">IF('Unit Mix &amp; Comparables'!$C$36&lt;&gt;"",'Unit Mix &amp; Comparables'!$C$36,"")</f>
        <v/>
      </c>
      <c r="D113" s="439" t="str">
        <f aca="false">IF('Unit Mix &amp; Comparables'!$D$36&lt;&gt;"",'Unit Mix &amp; Comparables'!$D$36,"")</f>
        <v/>
      </c>
      <c r="E113" s="439" t="str">
        <f aca="false">IF('Unit Mix &amp; Comparables'!$E$36&lt;&gt;"",'Unit Mix &amp; Comparables'!$E$36,"")</f>
        <v/>
      </c>
      <c r="F113" s="438" t="str">
        <f aca="false">IF('Unit Mix &amp; Comparables'!$F$36&lt;&gt;"",'Unit Mix &amp; Comparables'!$F$36,"")</f>
        <v/>
      </c>
      <c r="G113" s="440" t="str">
        <f aca="false">IF('Unit Mix &amp; Comparables'!$G$36&lt;&gt;"",'Unit Mix &amp; Comparables'!$G$36,"")</f>
        <v/>
      </c>
      <c r="H113" s="441" t="n">
        <f aca="false">IF('Unit Mix &amp; Comparables'!$H$36&lt;&gt;"",'Unit Mix &amp; Comparables'!$H$36,"")</f>
        <v>0</v>
      </c>
      <c r="I113" s="440"/>
      <c r="J113" s="440" t="str">
        <f aca="false">IFERROR(G113+I113,"")</f>
        <v/>
      </c>
      <c r="K113" s="441" t="str">
        <f aca="false">IFERROR(J113/F113,"")</f>
        <v/>
      </c>
      <c r="L113" s="442" t="n">
        <f aca="false">C43</f>
        <v>0</v>
      </c>
      <c r="M113" s="443" t="str">
        <f aca="false">'Unit Mix &amp; Comparables'!$H$6</f>
        <v>B</v>
      </c>
      <c r="N113" s="443" t="n">
        <f aca="false">'Unit Mix &amp; Comparables'!$C$7</f>
        <v>1982</v>
      </c>
      <c r="O113" s="303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9"/>
    </row>
    <row r="114" customFormat="false" ht="13.5" hidden="false" customHeight="true" outlineLevel="0" collapsed="false">
      <c r="B114" s="444" t="str">
        <f aca="false">CONCATENATE($I$6," Current")</f>
        <v>Riverhill TH Current</v>
      </c>
      <c r="C114" s="445" t="str">
        <f aca="false">IF('Unit Mix &amp; Comparables'!$I$36&lt;&gt;"",'Unit Mix &amp; Comparables'!$I$36,"")</f>
        <v/>
      </c>
      <c r="D114" s="446" t="str">
        <f aca="false">IF('Unit Mix &amp; Comparables'!$J$36&lt;&gt;"",'Unit Mix &amp; Comparables'!$J$36,"")</f>
        <v/>
      </c>
      <c r="E114" s="446" t="str">
        <f aca="false">IF('Unit Mix &amp; Comparables'!$K$36&lt;&gt;"",'Unit Mix &amp; Comparables'!$K$36,"")</f>
        <v/>
      </c>
      <c r="F114" s="445" t="str">
        <f aca="false">IF('Unit Mix &amp; Comparables'!$L$36&lt;&gt;"",'Unit Mix &amp; Comparables'!$L$36,"")</f>
        <v/>
      </c>
      <c r="G114" s="447" t="str">
        <f aca="false">IF('Unit Mix &amp; Comparables'!$M$36&lt;&gt;"",'Unit Mix &amp; Comparables'!$M$36,"")</f>
        <v/>
      </c>
      <c r="H114" s="448" t="n">
        <f aca="false">IF('Unit Mix &amp; Comparables'!$N$36&lt;&gt;"",'Unit Mix &amp; Comparables'!$N$36,"")</f>
        <v>0</v>
      </c>
      <c r="I114" s="447" t="n">
        <f aca="false">'Unit Mix &amp; Comparables'!$M$40</f>
        <v>0</v>
      </c>
      <c r="J114" s="447" t="str">
        <f aca="false">IFERROR(G114+I114,"")</f>
        <v/>
      </c>
      <c r="K114" s="448" t="str">
        <f aca="false">IFERROR(J114/F114,"")</f>
        <v/>
      </c>
      <c r="L114" s="449" t="n">
        <f aca="false">$I$43</f>
        <v>0</v>
      </c>
      <c r="M114" s="450" t="str">
        <f aca="false">'Unit Mix &amp; Comparables'!$H$6</f>
        <v>B</v>
      </c>
      <c r="N114" s="450" t="n">
        <f aca="false">'Unit Mix &amp; Comparables'!$C$7</f>
        <v>1982</v>
      </c>
      <c r="O114" s="303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9"/>
    </row>
    <row r="115" customFormat="false" ht="13.5" hidden="false" customHeight="true" outlineLevel="0" collapsed="false">
      <c r="B115" s="434" t="str">
        <f aca="false">$BB$6</f>
        <v>Bridgeway</v>
      </c>
      <c r="C115" s="405" t="str">
        <f aca="false">IF('Unit Mix &amp; Comparables'!$BB10&lt;&gt;"",'Unit Mix &amp; Comparables'!$BB10,"")</f>
        <v/>
      </c>
      <c r="D115" s="299" t="str">
        <f aca="false">IF('Unit Mix &amp; Comparables'!$BC$10&lt;&gt;"",'Unit Mix &amp; Comparables'!$BC$10,"")</f>
        <v/>
      </c>
      <c r="E115" s="299" t="str">
        <f aca="false">IF('Unit Mix &amp; Comparables'!$BD$10&lt;&gt;"",'Unit Mix &amp; Comparables'!$BD$10,"")</f>
        <v/>
      </c>
      <c r="F115" s="405" t="str">
        <f aca="false">IF('Unit Mix &amp; Comparables'!$BE$10&lt;&gt;"",'Unit Mix &amp; Comparables'!$BE$10,"")</f>
        <v/>
      </c>
      <c r="G115" s="301" t="str">
        <f aca="false">IF('Unit Mix &amp; Comparables'!$BF$10&lt;&gt;"",'Unit Mix &amp; Comparables'!$BF$10,"")</f>
        <v/>
      </c>
      <c r="H115" s="435" t="n">
        <f aca="false">IF('Unit Mix &amp; Comparables'!$BG$10&lt;&gt;"",'Unit Mix &amp; Comparables'!$BG$10,"")</f>
        <v>0</v>
      </c>
      <c r="I115" s="301" t="n">
        <f aca="false">'Unit Mix &amp; Comparables'!$BF$40</f>
        <v>0</v>
      </c>
      <c r="J115" s="301" t="str">
        <f aca="false">IFERROR(G115+I115,"")</f>
        <v/>
      </c>
      <c r="K115" s="435" t="str">
        <f aca="false">IFERROR(J115/F115,"")</f>
        <v/>
      </c>
      <c r="L115" s="341" t="n">
        <f aca="false">$BB$43</f>
        <v>0</v>
      </c>
      <c r="M115" s="316" t="n">
        <f aca="false">'Unit Mix &amp; Comparables'!$BG$6</f>
        <v>0</v>
      </c>
      <c r="N115" s="316" t="n">
        <f aca="false">'Unit Mix &amp; Comparables'!$BB$7</f>
        <v>2012</v>
      </c>
      <c r="O115" s="303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9"/>
    </row>
    <row r="116" customFormat="false" ht="13.5" hidden="false" customHeight="true" outlineLevel="0" collapsed="false">
      <c r="B116" s="434" t="str">
        <f aca="false">$AD$6</f>
        <v>Windy Lakes</v>
      </c>
      <c r="C116" s="405" t="str">
        <f aca="false">IF('Unit Mix &amp; Comparables'!$AD12&lt;&gt;"",'Unit Mix &amp; Comparables'!$AD12,"")</f>
        <v/>
      </c>
      <c r="D116" s="299" t="str">
        <f aca="false">IF('Unit Mix &amp; Comparables'!$AE12&lt;&gt;"",'Unit Mix &amp; Comparables'!$AE12,"")</f>
        <v/>
      </c>
      <c r="E116" s="299" t="str">
        <f aca="false">IF('Unit Mix &amp; Comparables'!$AF12&lt;&gt;"",'Unit Mix &amp; Comparables'!$AF12,"")</f>
        <v/>
      </c>
      <c r="F116" s="405" t="str">
        <f aca="false">IF('Unit Mix &amp; Comparables'!$AG12&lt;&gt;"",'Unit Mix &amp; Comparables'!$AG12,"")</f>
        <v/>
      </c>
      <c r="G116" s="301" t="str">
        <f aca="false">IF('Unit Mix &amp; Comparables'!$AH12&lt;&gt;"",'Unit Mix &amp; Comparables'!$AH12,"")</f>
        <v/>
      </c>
      <c r="H116" s="435" t="n">
        <f aca="false">IF('Unit Mix &amp; Comparables'!$AI12&lt;&gt;"",'Unit Mix &amp; Comparables'!$AI12,"")</f>
        <v>0</v>
      </c>
      <c r="I116" s="301" t="n">
        <f aca="false">'Unit Mix &amp; Comparables'!$AH$40</f>
        <v>0</v>
      </c>
      <c r="J116" s="301" t="str">
        <f aca="false">IFERROR(G116+I116,"")</f>
        <v/>
      </c>
      <c r="K116" s="435" t="str">
        <f aca="false">IFERROR(J116/F116,"")</f>
        <v/>
      </c>
      <c r="L116" s="341" t="n">
        <f aca="false">$AD$43</f>
        <v>0</v>
      </c>
      <c r="M116" s="316" t="str">
        <f aca="false">'Unit Mix &amp; Comparables'!$AI$6</f>
        <v>B</v>
      </c>
      <c r="N116" s="316" t="n">
        <f aca="false">$AD$7</f>
        <v>1979</v>
      </c>
      <c r="O116" s="303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9"/>
    </row>
    <row r="117" customFormat="false" ht="13.5" hidden="false" customHeight="true" outlineLevel="0" collapsed="false">
      <c r="B117" s="437" t="str">
        <f aca="false">CONCATENATE($C$6," Pro Forma")</f>
        <v>Riverhill TH Pro Forma</v>
      </c>
      <c r="C117" s="438" t="str">
        <f aca="false">IF('Unit Mix &amp; Comparables'!$C$35&lt;&gt;"",'Unit Mix &amp; Comparables'!$C$35,"")</f>
        <v/>
      </c>
      <c r="D117" s="439" t="str">
        <f aca="false">IF('Unit Mix &amp; Comparables'!$D$35&lt;&gt;"",'Unit Mix &amp; Comparables'!$D$35,"")</f>
        <v/>
      </c>
      <c r="E117" s="439" t="str">
        <f aca="false">IF('Unit Mix &amp; Comparables'!$E$35&lt;&gt;"",'Unit Mix &amp; Comparables'!$E$35,"")</f>
        <v/>
      </c>
      <c r="F117" s="438" t="str">
        <f aca="false">IF('Unit Mix &amp; Comparables'!$F$35&lt;&gt;"",'Unit Mix &amp; Comparables'!$F$35,"")</f>
        <v/>
      </c>
      <c r="G117" s="440" t="str">
        <f aca="false">IF('Unit Mix &amp; Comparables'!$G$35&lt;&gt;"",'Unit Mix &amp; Comparables'!$G$35,"")</f>
        <v/>
      </c>
      <c r="H117" s="441" t="n">
        <f aca="false">IF('Unit Mix &amp; Comparables'!$H$35&lt;&gt;"",'Unit Mix &amp; Comparables'!$H$35,"")</f>
        <v>0</v>
      </c>
      <c r="I117" s="440" t="n">
        <v>0</v>
      </c>
      <c r="J117" s="440" t="str">
        <f aca="false">IFERROR(G117+I117,"")</f>
        <v/>
      </c>
      <c r="K117" s="441" t="str">
        <f aca="false">IFERROR(J117/F117,"")</f>
        <v/>
      </c>
      <c r="L117" s="442" t="n">
        <f aca="false">C43</f>
        <v>0</v>
      </c>
      <c r="M117" s="443" t="str">
        <f aca="false">'Unit Mix &amp; Comparables'!$H$6</f>
        <v>B</v>
      </c>
      <c r="N117" s="443" t="n">
        <f aca="false">'Unit Mix &amp; Comparables'!$C$7</f>
        <v>1982</v>
      </c>
      <c r="O117" s="303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9"/>
    </row>
    <row r="118" customFormat="false" ht="13.5" hidden="false" customHeight="true" outlineLevel="0" collapsed="false">
      <c r="B118" s="444" t="str">
        <f aca="false">CONCATENATE($I$6," Current")</f>
        <v>Riverhill TH Current</v>
      </c>
      <c r="C118" s="445" t="str">
        <f aca="false">IF('Unit Mix &amp; Comparables'!$I$35&lt;&gt;"",'Unit Mix &amp; Comparables'!$I$35,"")</f>
        <v/>
      </c>
      <c r="D118" s="446" t="str">
        <f aca="false">IF('Unit Mix &amp; Comparables'!$J$35&lt;&gt;"",'Unit Mix &amp; Comparables'!$J$35,"")</f>
        <v/>
      </c>
      <c r="E118" s="446" t="str">
        <f aca="false">IF('Unit Mix &amp; Comparables'!$K$35&lt;&gt;"",'Unit Mix &amp; Comparables'!$K$35,"")</f>
        <v/>
      </c>
      <c r="F118" s="445" t="str">
        <f aca="false">IF('Unit Mix &amp; Comparables'!$L$35&lt;&gt;"",'Unit Mix &amp; Comparables'!$L$35,"")</f>
        <v/>
      </c>
      <c r="G118" s="447" t="str">
        <f aca="false">IF('Unit Mix &amp; Comparables'!$M$35&lt;&gt;"",'Unit Mix &amp; Comparables'!$M$35,"")</f>
        <v/>
      </c>
      <c r="H118" s="448" t="n">
        <f aca="false">IF('Unit Mix &amp; Comparables'!$N$35&lt;&gt;"",'Unit Mix &amp; Comparables'!$N$35,"")</f>
        <v>0</v>
      </c>
      <c r="I118" s="447" t="n">
        <f aca="false">'Unit Mix &amp; Comparables'!$M$40</f>
        <v>0</v>
      </c>
      <c r="J118" s="447" t="str">
        <f aca="false">IFERROR(G118+I118,"")</f>
        <v/>
      </c>
      <c r="K118" s="448" t="str">
        <f aca="false">IFERROR(J118/F118,"")</f>
        <v/>
      </c>
      <c r="L118" s="449" t="n">
        <f aca="false">$I$43</f>
        <v>0</v>
      </c>
      <c r="M118" s="450" t="str">
        <f aca="false">'Unit Mix &amp; Comparables'!$H$6</f>
        <v>B</v>
      </c>
      <c r="N118" s="450" t="n">
        <f aca="false">'Unit Mix &amp; Comparables'!$C$7</f>
        <v>1982</v>
      </c>
      <c r="O118" s="303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9"/>
    </row>
    <row r="119" customFormat="false" ht="13.5" hidden="true" customHeight="true" outlineLevel="0" collapsed="false">
      <c r="B119" s="436" t="n">
        <f aca="false">AJ79</f>
        <v>0</v>
      </c>
      <c r="C119" s="405" t="str">
        <f aca="false">IF('Unit Mix &amp; Comparables'!$AJ55&lt;&gt;"",'Unit Mix &amp; Comparables'!$AJ55,"")</f>
        <v/>
      </c>
      <c r="D119" s="299" t="str">
        <f aca="false">IF('Unit Mix &amp; Comparables'!$AK$55&lt;&gt;"",'Unit Mix &amp; Comparables'!$AK$55,"")</f>
        <v/>
      </c>
      <c r="E119" s="299" t="str">
        <f aca="false">IF('Unit Mix &amp; Comparables'!$AL$55&lt;&gt;"",'Unit Mix &amp; Comparables'!$AL$55,"")</f>
        <v/>
      </c>
      <c r="F119" s="405" t="str">
        <f aca="false">IF('Unit Mix &amp; Comparables'!$AM$55&lt;&gt;"",'Unit Mix &amp; Comparables'!$AM$55,"")</f>
        <v/>
      </c>
      <c r="G119" s="301" t="str">
        <f aca="false">IF('Unit Mix &amp; Comparables'!$AN$55&lt;&gt;"",'Unit Mix &amp; Comparables'!$AN$55,"")</f>
        <v/>
      </c>
      <c r="H119" s="435" t="n">
        <f aca="false">IF('Unit Mix &amp; Comparables'!$AO$55&lt;&gt;"",'Unit Mix &amp; Comparables'!$AO$55,"")</f>
        <v>0</v>
      </c>
      <c r="I119" s="301" t="n">
        <f aca="false">'Unit Mix &amp; Comparables'!$AT$40</f>
        <v>0</v>
      </c>
      <c r="J119" s="301" t="str">
        <f aca="false">IFERROR(G119+I119,"")</f>
        <v/>
      </c>
      <c r="K119" s="435" t="str">
        <f aca="false">IFERROR(J119/F119,"")</f>
        <v/>
      </c>
      <c r="L119" s="341" t="n">
        <f aca="false">$AJ$86</f>
        <v>0</v>
      </c>
      <c r="M119" s="316" t="str">
        <f aca="false">'Unit Mix &amp; Comparables'!$AO$48</f>
        <v>B</v>
      </c>
      <c r="N119" s="316" t="n">
        <f aca="false">'Unit Mix &amp; Comparables'!$AJ$49</f>
        <v>0</v>
      </c>
      <c r="O119" s="303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9"/>
    </row>
    <row r="120" customFormat="false" ht="13.5" hidden="false" customHeight="true" outlineLevel="0" collapsed="false">
      <c r="B120" s="434" t="str">
        <f aca="false">$R$6</f>
        <v>Johnathan's Ridge</v>
      </c>
      <c r="C120" s="405" t="str">
        <f aca="false">IF('Unit Mix &amp; Comparables'!$R12&lt;&gt;"",'Unit Mix &amp; Comparables'!$R12,"")</f>
        <v/>
      </c>
      <c r="D120" s="299" t="str">
        <f aca="false">IF('Unit Mix &amp; Comparables'!$S12&lt;&gt;"",'Unit Mix &amp; Comparables'!$S12,"")</f>
        <v/>
      </c>
      <c r="E120" s="299" t="str">
        <f aca="false">IF('Unit Mix &amp; Comparables'!$T12&lt;&gt;"",'Unit Mix &amp; Comparables'!$T12,"")</f>
        <v/>
      </c>
      <c r="F120" s="405" t="str">
        <f aca="false">IF('Unit Mix &amp; Comparables'!$U12&lt;&gt;"",'Unit Mix &amp; Comparables'!$U12,"")</f>
        <v/>
      </c>
      <c r="G120" s="301" t="str">
        <f aca="false">IF('Unit Mix &amp; Comparables'!$V12&lt;&gt;"",'Unit Mix &amp; Comparables'!$V12,"")</f>
        <v/>
      </c>
      <c r="H120" s="435" t="n">
        <f aca="false">IF('Unit Mix &amp; Comparables'!$W12&lt;&gt;"",'Unit Mix &amp; Comparables'!$W12,"")</f>
        <v>0</v>
      </c>
      <c r="I120" s="301" t="n">
        <f aca="false">'Unit Mix &amp; Comparables'!$V$40</f>
        <v>0</v>
      </c>
      <c r="J120" s="301" t="str">
        <f aca="false">IFERROR(G120+I120,"")</f>
        <v/>
      </c>
      <c r="K120" s="435" t="str">
        <f aca="false">IFERROR(J120/F120,"")</f>
        <v/>
      </c>
      <c r="L120" s="341" t="n">
        <f aca="false">$R$43</f>
        <v>0</v>
      </c>
      <c r="M120" s="316" t="str">
        <f aca="false">'Unit Mix &amp; Comparables'!$W$6</f>
        <v>B</v>
      </c>
      <c r="N120" s="316" t="n">
        <f aca="false">$R$7</f>
        <v>1982</v>
      </c>
      <c r="O120" s="303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9"/>
    </row>
    <row r="121" customFormat="false" ht="13.5" hidden="false" customHeight="true" outlineLevel="0" collapsed="false">
      <c r="B121" s="434" t="str">
        <f aca="false">$AP$6</f>
        <v>Country View</v>
      </c>
      <c r="C121" s="405" t="str">
        <f aca="false">IF('Unit Mix &amp; Comparables'!$AP31&lt;&gt;"",'Unit Mix &amp; Comparables'!$AP31,"")</f>
        <v/>
      </c>
      <c r="D121" s="299" t="str">
        <f aca="false">IF('Unit Mix &amp; Comparables'!$AQ$31&lt;&gt;"",'Unit Mix &amp; Comparables'!$AQ$31,"")</f>
        <v/>
      </c>
      <c r="E121" s="299" t="str">
        <f aca="false">IF('Unit Mix &amp; Comparables'!$AR$31&lt;&gt;"",'Unit Mix &amp; Comparables'!$AR$31,"")</f>
        <v/>
      </c>
      <c r="F121" s="405" t="str">
        <f aca="false">IF('Unit Mix &amp; Comparables'!$AS$31&lt;&gt;"",'Unit Mix &amp; Comparables'!$AS$31,"")</f>
        <v/>
      </c>
      <c r="G121" s="301" t="str">
        <f aca="false">IF('Unit Mix &amp; Comparables'!$AT$31&lt;&gt;"",'Unit Mix &amp; Comparables'!$AT$31,"")</f>
        <v/>
      </c>
      <c r="H121" s="435" t="n">
        <f aca="false">IF('Unit Mix &amp; Comparables'!$AU$31&lt;&gt;"",'Unit Mix &amp; Comparables'!$AU$31,"")</f>
        <v>0</v>
      </c>
      <c r="I121" s="301" t="n">
        <f aca="false">'Unit Mix &amp; Comparables'!$AT$40</f>
        <v>0</v>
      </c>
      <c r="J121" s="301" t="str">
        <f aca="false">IFERROR(G121+I121,"")</f>
        <v/>
      </c>
      <c r="K121" s="435" t="str">
        <f aca="false">IFERROR(J121/F121,"")</f>
        <v/>
      </c>
      <c r="L121" s="341" t="n">
        <f aca="false">$AP$43</f>
        <v>0</v>
      </c>
      <c r="M121" s="316" t="str">
        <f aca="false">'Unit Mix &amp; Comparables'!$AU$6</f>
        <v>B</v>
      </c>
      <c r="N121" s="316" t="n">
        <f aca="false">'Unit Mix &amp; Comparables'!$AP$7</f>
        <v>1993</v>
      </c>
      <c r="O121" s="303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9"/>
    </row>
    <row r="122" customFormat="false" ht="13.5" hidden="true" customHeight="true" outlineLevel="0" collapsed="false">
      <c r="B122" s="436" t="n">
        <f aca="false">AJ83</f>
        <v>0</v>
      </c>
      <c r="C122" s="405" t="str">
        <f aca="false">IF('Unit Mix &amp; Comparables'!$AJ54&lt;&gt;"",'Unit Mix &amp; Comparables'!$AJ54,"")</f>
        <v/>
      </c>
      <c r="D122" s="299" t="str">
        <f aca="false">IF('Unit Mix &amp; Comparables'!$AK$54&lt;&gt;"",'Unit Mix &amp; Comparables'!$AK$54,"")</f>
        <v/>
      </c>
      <c r="E122" s="299" t="str">
        <f aca="false">IF('Unit Mix &amp; Comparables'!$AL$54&lt;&gt;"",'Unit Mix &amp; Comparables'!$AL$54,"")</f>
        <v/>
      </c>
      <c r="F122" s="405" t="str">
        <f aca="false">IF('Unit Mix &amp; Comparables'!$AM$54&lt;&gt;"",'Unit Mix &amp; Comparables'!$AM$54,"")</f>
        <v/>
      </c>
      <c r="G122" s="301" t="str">
        <f aca="false">IF('Unit Mix &amp; Comparables'!$AN$54&lt;&gt;"",'Unit Mix &amp; Comparables'!$AN$54,"")</f>
        <v/>
      </c>
      <c r="H122" s="435" t="n">
        <f aca="false">IF('Unit Mix &amp; Comparables'!$AO$54&lt;&gt;"",'Unit Mix &amp; Comparables'!$AO$54,"")</f>
        <v>0</v>
      </c>
      <c r="I122" s="301" t="n">
        <f aca="false">'Unit Mix &amp; Comparables'!$AT$40</f>
        <v>0</v>
      </c>
      <c r="J122" s="301" t="str">
        <f aca="false">IFERROR(G122+I122,"")</f>
        <v/>
      </c>
      <c r="K122" s="435" t="str">
        <f aca="false">IFERROR(J122/F122,"")</f>
        <v/>
      </c>
      <c r="L122" s="341" t="n">
        <f aca="false">$AJ$86</f>
        <v>0</v>
      </c>
      <c r="M122" s="316" t="str">
        <f aca="false">'Unit Mix &amp; Comparables'!$AO$48</f>
        <v>B</v>
      </c>
      <c r="N122" s="316" t="n">
        <f aca="false">'Unit Mix &amp; Comparables'!$AJ$49</f>
        <v>0</v>
      </c>
      <c r="O122" s="303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9"/>
    </row>
    <row r="123" customFormat="false" ht="13.5" hidden="false" customHeight="true" outlineLevel="0" collapsed="false">
      <c r="B123" s="434" t="n">
        <f aca="false">AP48</f>
        <v>0</v>
      </c>
      <c r="C123" s="405" t="str">
        <f aca="false">IF('Unit Mix &amp; Comparables'!$AP52&lt;&gt;"",'Unit Mix &amp; Comparables'!$AP52,"")</f>
        <v/>
      </c>
      <c r="D123" s="299" t="str">
        <f aca="false">IF('Unit Mix &amp; Comparables'!$AQ$52&lt;&gt;"",'Unit Mix &amp; Comparables'!$AQ$52,"")</f>
        <v/>
      </c>
      <c r="E123" s="299" t="str">
        <f aca="false">IF('Unit Mix &amp; Comparables'!$AR$52&lt;&gt;"",'Unit Mix &amp; Comparables'!$AR$52,"")</f>
        <v/>
      </c>
      <c r="F123" s="405" t="str">
        <f aca="false">IF('Unit Mix &amp; Comparables'!$AS$52&lt;&gt;"",'Unit Mix &amp; Comparables'!$AS$52,"")</f>
        <v/>
      </c>
      <c r="G123" s="301" t="str">
        <f aca="false">IF('Unit Mix &amp; Comparables'!$AT$52&lt;&gt;"",'Unit Mix &amp; Comparables'!$AT$52,"")</f>
        <v/>
      </c>
      <c r="H123" s="435" t="n">
        <f aca="false">IF('Unit Mix &amp; Comparables'!$AU$52&lt;&gt;"",'Unit Mix &amp; Comparables'!$AU$52,"")</f>
        <v>0</v>
      </c>
      <c r="I123" s="301" t="n">
        <f aca="false">'Unit Mix &amp; Comparables'!$AT$40</f>
        <v>0</v>
      </c>
      <c r="J123" s="301" t="str">
        <f aca="false">IFERROR(G123+I123,"")</f>
        <v/>
      </c>
      <c r="K123" s="435" t="str">
        <f aca="false">IFERROR(J123/F123,"")</f>
        <v/>
      </c>
      <c r="L123" s="341" t="n">
        <f aca="false">$AP$86</f>
        <v>0</v>
      </c>
      <c r="M123" s="316" t="str">
        <f aca="false">'Unit Mix &amp; Comparables'!$AU$48</f>
        <v>B</v>
      </c>
      <c r="N123" s="316" t="n">
        <f aca="false">'Unit Mix &amp; Comparables'!$AP$49</f>
        <v>0</v>
      </c>
      <c r="O123" s="303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9"/>
    </row>
    <row r="124" customFormat="false" ht="13.5" hidden="false" customHeight="true" outlineLevel="0" collapsed="false">
      <c r="B124" s="434" t="str">
        <f aca="false">$AV$6</f>
        <v>Camellia Trace</v>
      </c>
      <c r="C124" s="405" t="n">
        <f aca="false">IF('Unit Mix &amp; Comparables'!$AV10&lt;&gt;"",'Unit Mix &amp; Comparables'!$AV10,"")</f>
        <v>25</v>
      </c>
      <c r="D124" s="299" t="n">
        <f aca="false">IF('Unit Mix &amp; Comparables'!$AW$10&lt;&gt;"",'Unit Mix &amp; Comparables'!$AW$10,"")</f>
        <v>1</v>
      </c>
      <c r="E124" s="299" t="n">
        <f aca="false">IF('Unit Mix &amp; Comparables'!$AX$10&lt;&gt;"",'Unit Mix &amp; Comparables'!$AX$10,"")</f>
        <v>1</v>
      </c>
      <c r="F124" s="405" t="n">
        <f aca="false">IF('Unit Mix &amp; Comparables'!$AY$10&lt;&gt;"",'Unit Mix &amp; Comparables'!$AY$10,"")</f>
        <v>772</v>
      </c>
      <c r="G124" s="301" t="n">
        <f aca="false">IF('Unit Mix &amp; Comparables'!$AZ$10&lt;&gt;"",'Unit Mix &amp; Comparables'!$AZ$10,"")</f>
        <v>836</v>
      </c>
      <c r="H124" s="435" t="n">
        <f aca="false">IF('Unit Mix &amp; Comparables'!$BA$10&lt;&gt;"",'Unit Mix &amp; Comparables'!$BA$10,"")</f>
        <v>1.08290155440415</v>
      </c>
      <c r="I124" s="301" t="n">
        <f aca="false">'Unit Mix &amp; Comparables'!$AZ$40</f>
        <v>0</v>
      </c>
      <c r="J124" s="301" t="n">
        <f aca="false">IFERROR(G124+I124,"")</f>
        <v>836</v>
      </c>
      <c r="K124" s="435" t="n">
        <f aca="false">IFERROR(J124/F124,"")</f>
        <v>1.08290155440415</v>
      </c>
      <c r="L124" s="341" t="n">
        <f aca="false">$AV$43</f>
        <v>0</v>
      </c>
      <c r="M124" s="316" t="str">
        <f aca="false">'Unit Mix &amp; Comparables'!$BA$6</f>
        <v>B</v>
      </c>
      <c r="N124" s="316" t="n">
        <f aca="false">'Unit Mix &amp; Comparables'!$AV$7</f>
        <v>2004</v>
      </c>
      <c r="O124" s="303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9"/>
    </row>
    <row r="125" customFormat="false" ht="13.5" hidden="false" customHeight="true" outlineLevel="0" collapsed="false">
      <c r="B125" s="434" t="str">
        <f aca="false">$AP$6</f>
        <v>Country View</v>
      </c>
      <c r="C125" s="405" t="str">
        <f aca="false">IF('Unit Mix &amp; Comparables'!$AP25&lt;&gt;"",'Unit Mix &amp; Comparables'!$AP25,"")</f>
        <v/>
      </c>
      <c r="D125" s="299" t="str">
        <f aca="false">IF('Unit Mix &amp; Comparables'!$AQ$25&lt;&gt;"",'Unit Mix &amp; Comparables'!$AQ$25,"")</f>
        <v/>
      </c>
      <c r="E125" s="299" t="str">
        <f aca="false">IF('Unit Mix &amp; Comparables'!$AR$25&lt;&gt;"",'Unit Mix &amp; Comparables'!$AR$25,"")</f>
        <v/>
      </c>
      <c r="F125" s="405" t="str">
        <f aca="false">IF('Unit Mix &amp; Comparables'!$AS$25&lt;&gt;"",'Unit Mix &amp; Comparables'!$AS$25,"")</f>
        <v/>
      </c>
      <c r="G125" s="301" t="str">
        <f aca="false">IF('Unit Mix &amp; Comparables'!$AT$25&lt;&gt;"",'Unit Mix &amp; Comparables'!$AT$25,"")</f>
        <v/>
      </c>
      <c r="H125" s="435" t="n">
        <f aca="false">IF('Unit Mix &amp; Comparables'!$AU$25&lt;&gt;"",'Unit Mix &amp; Comparables'!$AU$25,"")</f>
        <v>0</v>
      </c>
      <c r="I125" s="301" t="n">
        <f aca="false">'Unit Mix &amp; Comparables'!$AT$40</f>
        <v>0</v>
      </c>
      <c r="J125" s="301" t="str">
        <f aca="false">IFERROR(G125+I125,"")</f>
        <v/>
      </c>
      <c r="K125" s="435" t="str">
        <f aca="false">IFERROR(J125/F125,"")</f>
        <v/>
      </c>
      <c r="L125" s="341" t="n">
        <f aca="false">$AP$43</f>
        <v>0</v>
      </c>
      <c r="M125" s="316" t="str">
        <f aca="false">'Unit Mix &amp; Comparables'!$AU$6</f>
        <v>B</v>
      </c>
      <c r="N125" s="316" t="n">
        <f aca="false">'Unit Mix &amp; Comparables'!$AP$7</f>
        <v>1993</v>
      </c>
      <c r="O125" s="303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9"/>
    </row>
    <row r="126" customFormat="false" ht="13.5" hidden="false" customHeight="true" outlineLevel="0" collapsed="false">
      <c r="B126" s="434" t="str">
        <f aca="false">$AP$6</f>
        <v>Country View</v>
      </c>
      <c r="C126" s="405" t="str">
        <f aca="false">IF('Unit Mix &amp; Comparables'!$AP24&lt;&gt;"",'Unit Mix &amp; Comparables'!$AP24,"")</f>
        <v/>
      </c>
      <c r="D126" s="299" t="str">
        <f aca="false">IF('Unit Mix &amp; Comparables'!$AQ$24&lt;&gt;"",'Unit Mix &amp; Comparables'!$AQ$24,"")</f>
        <v/>
      </c>
      <c r="E126" s="299" t="str">
        <f aca="false">IF('Unit Mix &amp; Comparables'!$AR$24&lt;&gt;"",'Unit Mix &amp; Comparables'!$AR$24,"")</f>
        <v/>
      </c>
      <c r="F126" s="405" t="str">
        <f aca="false">IF('Unit Mix &amp; Comparables'!$AS$24&lt;&gt;"",'Unit Mix &amp; Comparables'!$AS$24,"")</f>
        <v/>
      </c>
      <c r="G126" s="301" t="str">
        <f aca="false">IF('Unit Mix &amp; Comparables'!$AT$24&lt;&gt;"",'Unit Mix &amp; Comparables'!$AT$24,"")</f>
        <v/>
      </c>
      <c r="H126" s="435" t="n">
        <f aca="false">IF('Unit Mix &amp; Comparables'!$AU$24&lt;&gt;"",'Unit Mix &amp; Comparables'!$AU$24,"")</f>
        <v>0</v>
      </c>
      <c r="I126" s="301" t="n">
        <f aca="false">'Unit Mix &amp; Comparables'!$AT$40</f>
        <v>0</v>
      </c>
      <c r="J126" s="301" t="str">
        <f aca="false">IFERROR(G126+I126,"")</f>
        <v/>
      </c>
      <c r="K126" s="435" t="str">
        <f aca="false">IFERROR(J126/F126,"")</f>
        <v/>
      </c>
      <c r="L126" s="341" t="n">
        <f aca="false">$AP$43</f>
        <v>0</v>
      </c>
      <c r="M126" s="316" t="str">
        <f aca="false">'Unit Mix &amp; Comparables'!$AU$6</f>
        <v>B</v>
      </c>
      <c r="N126" s="316" t="n">
        <f aca="false">'Unit Mix &amp; Comparables'!$AP$7</f>
        <v>1993</v>
      </c>
      <c r="O126" s="303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9"/>
    </row>
    <row r="127" customFormat="false" ht="13.5" hidden="false" customHeight="true" outlineLevel="0" collapsed="false">
      <c r="B127" s="434" t="str">
        <f aca="false">$AP$6</f>
        <v>Country View</v>
      </c>
      <c r="C127" s="405" t="str">
        <f aca="false">IF('Unit Mix &amp; Comparables'!$AP14&lt;&gt;"",'Unit Mix &amp; Comparables'!$AP14,"")</f>
        <v/>
      </c>
      <c r="D127" s="299" t="str">
        <f aca="false">IF('Unit Mix &amp; Comparables'!$AQ$14&lt;&gt;"",'Unit Mix &amp; Comparables'!$AQ$14,"")</f>
        <v/>
      </c>
      <c r="E127" s="299" t="str">
        <f aca="false">IF('Unit Mix &amp; Comparables'!$AR$14&lt;&gt;"",'Unit Mix &amp; Comparables'!$AR$14,"")</f>
        <v/>
      </c>
      <c r="F127" s="405" t="str">
        <f aca="false">IF('Unit Mix &amp; Comparables'!$AS$14&lt;&gt;"",'Unit Mix &amp; Comparables'!$AS$14,"")</f>
        <v/>
      </c>
      <c r="G127" s="301" t="str">
        <f aca="false">IF('Unit Mix &amp; Comparables'!$AT$14&lt;&gt;"",'Unit Mix &amp; Comparables'!$AT$14,"")</f>
        <v/>
      </c>
      <c r="H127" s="435" t="n">
        <f aca="false">IF('Unit Mix &amp; Comparables'!$AU$14&lt;&gt;"",'Unit Mix &amp; Comparables'!$AU$14,"")</f>
        <v>0</v>
      </c>
      <c r="I127" s="301" t="n">
        <f aca="false">'Unit Mix &amp; Comparables'!$AT$40</f>
        <v>0</v>
      </c>
      <c r="J127" s="301" t="str">
        <f aca="false">IFERROR(G127+I127,"")</f>
        <v/>
      </c>
      <c r="K127" s="435" t="str">
        <f aca="false">IFERROR(J127/F127,"")</f>
        <v/>
      </c>
      <c r="L127" s="341" t="n">
        <f aca="false">$AP$43</f>
        <v>0</v>
      </c>
      <c r="M127" s="316" t="str">
        <f aca="false">'Unit Mix &amp; Comparables'!$AU$6</f>
        <v>B</v>
      </c>
      <c r="N127" s="316" t="n">
        <f aca="false">'Unit Mix &amp; Comparables'!$AP$7</f>
        <v>1993</v>
      </c>
      <c r="O127" s="303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9"/>
    </row>
    <row r="128" customFormat="false" ht="13.5" hidden="false" customHeight="true" outlineLevel="0" collapsed="false">
      <c r="B128" s="434" t="str">
        <f aca="false">$AP$6</f>
        <v>Country View</v>
      </c>
      <c r="C128" s="405" t="str">
        <f aca="false">IF('Unit Mix &amp; Comparables'!$AP28&lt;&gt;"",'Unit Mix &amp; Comparables'!$AP28,"")</f>
        <v/>
      </c>
      <c r="D128" s="299" t="str">
        <f aca="false">IF('Unit Mix &amp; Comparables'!$AQ$28&lt;&gt;"",'Unit Mix &amp; Comparables'!$AQ$28,"")</f>
        <v/>
      </c>
      <c r="E128" s="299" t="str">
        <f aca="false">IF('Unit Mix &amp; Comparables'!$AR$28&lt;&gt;"",'Unit Mix &amp; Comparables'!$AR$28,"")</f>
        <v/>
      </c>
      <c r="F128" s="405" t="str">
        <f aca="false">IF('Unit Mix &amp; Comparables'!$AS$28&lt;&gt;"",'Unit Mix &amp; Comparables'!$AS$28,"")</f>
        <v/>
      </c>
      <c r="G128" s="301" t="str">
        <f aca="false">IF('Unit Mix &amp; Comparables'!$AT$28&lt;&gt;"",'Unit Mix &amp; Comparables'!$AT$28,"")</f>
        <v/>
      </c>
      <c r="H128" s="435" t="n">
        <f aca="false">IF('Unit Mix &amp; Comparables'!$AU$28&lt;&gt;"",'Unit Mix &amp; Comparables'!$AU$28,"")</f>
        <v>0</v>
      </c>
      <c r="I128" s="301" t="n">
        <f aca="false">'Unit Mix &amp; Comparables'!$AT$40</f>
        <v>0</v>
      </c>
      <c r="J128" s="301" t="str">
        <f aca="false">IFERROR(G128+I128,"")</f>
        <v/>
      </c>
      <c r="K128" s="435" t="str">
        <f aca="false">IFERROR(J128/F128,"")</f>
        <v/>
      </c>
      <c r="L128" s="341" t="n">
        <f aca="false">$AP$43</f>
        <v>0</v>
      </c>
      <c r="M128" s="316" t="str">
        <f aca="false">'Unit Mix &amp; Comparables'!$AU$6</f>
        <v>B</v>
      </c>
      <c r="N128" s="316" t="n">
        <f aca="false">'Unit Mix &amp; Comparables'!$AP$7</f>
        <v>1993</v>
      </c>
      <c r="O128" s="303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9"/>
    </row>
    <row r="129" customFormat="false" ht="13.5" hidden="false" customHeight="true" outlineLevel="0" collapsed="false">
      <c r="B129" s="434" t="str">
        <f aca="false">$R$6</f>
        <v>Johnathan's Ridge</v>
      </c>
      <c r="C129" s="405" t="str">
        <f aca="false">IF('Unit Mix &amp; Comparables'!$R11&lt;&gt;"",'Unit Mix &amp; Comparables'!$R11,"")</f>
        <v/>
      </c>
      <c r="D129" s="299" t="str">
        <f aca="false">IF('Unit Mix &amp; Comparables'!$S11&lt;&gt;"",'Unit Mix &amp; Comparables'!$S11,"")</f>
        <v/>
      </c>
      <c r="E129" s="299" t="str">
        <f aca="false">IF('Unit Mix &amp; Comparables'!$T11&lt;&gt;"",'Unit Mix &amp; Comparables'!$T11,"")</f>
        <v/>
      </c>
      <c r="F129" s="405" t="str">
        <f aca="false">IF('Unit Mix &amp; Comparables'!$U11&lt;&gt;"",'Unit Mix &amp; Comparables'!$U11,"")</f>
        <v/>
      </c>
      <c r="G129" s="301" t="str">
        <f aca="false">IF('Unit Mix &amp; Comparables'!$V11&lt;&gt;"",'Unit Mix &amp; Comparables'!$V11,"")</f>
        <v/>
      </c>
      <c r="H129" s="435" t="n">
        <f aca="false">IF('Unit Mix &amp; Comparables'!$W11&lt;&gt;"",'Unit Mix &amp; Comparables'!$W11,"")</f>
        <v>0</v>
      </c>
      <c r="I129" s="301" t="n">
        <f aca="false">'Unit Mix &amp; Comparables'!$V$40</f>
        <v>0</v>
      </c>
      <c r="J129" s="301" t="str">
        <f aca="false">IFERROR(G129+I129,"")</f>
        <v/>
      </c>
      <c r="K129" s="435" t="str">
        <f aca="false">IFERROR(J129/F129,"")</f>
        <v/>
      </c>
      <c r="L129" s="341" t="n">
        <f aca="false">$R$43</f>
        <v>0</v>
      </c>
      <c r="M129" s="316" t="str">
        <f aca="false">'Unit Mix &amp; Comparables'!$W$6</f>
        <v>B</v>
      </c>
      <c r="N129" s="316" t="n">
        <f aca="false">$R$7</f>
        <v>1982</v>
      </c>
      <c r="O129" s="303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9"/>
    </row>
    <row r="130" customFormat="false" ht="13.5" hidden="false" customHeight="true" outlineLevel="0" collapsed="false">
      <c r="B130" s="434" t="str">
        <f aca="false">$AP$6</f>
        <v>Country View</v>
      </c>
      <c r="C130" s="405" t="str">
        <f aca="false">IF('Unit Mix &amp; Comparables'!$AP21&lt;&gt;"",'Unit Mix &amp; Comparables'!$AP21,"")</f>
        <v/>
      </c>
      <c r="D130" s="299" t="str">
        <f aca="false">IF('Unit Mix &amp; Comparables'!$AQ$21&lt;&gt;"",'Unit Mix &amp; Comparables'!$AQ$21,"")</f>
        <v/>
      </c>
      <c r="E130" s="299" t="str">
        <f aca="false">IF('Unit Mix &amp; Comparables'!$AR$21&lt;&gt;"",'Unit Mix &amp; Comparables'!$AR$21,"")</f>
        <v/>
      </c>
      <c r="F130" s="405" t="str">
        <f aca="false">IF('Unit Mix &amp; Comparables'!$AS$21&lt;&gt;"",'Unit Mix &amp; Comparables'!$AS$21,"")</f>
        <v/>
      </c>
      <c r="G130" s="301" t="str">
        <f aca="false">IF('Unit Mix &amp; Comparables'!$AT$21&lt;&gt;"",'Unit Mix &amp; Comparables'!$AT$21,"")</f>
        <v/>
      </c>
      <c r="H130" s="435" t="n">
        <f aca="false">IF('Unit Mix &amp; Comparables'!$AU$21&lt;&gt;"",'Unit Mix &amp; Comparables'!$AU$21,"")</f>
        <v>0</v>
      </c>
      <c r="I130" s="301" t="n">
        <f aca="false">'Unit Mix &amp; Comparables'!$AT$40</f>
        <v>0</v>
      </c>
      <c r="J130" s="301" t="str">
        <f aca="false">IFERROR(G130+I130,"")</f>
        <v/>
      </c>
      <c r="K130" s="435" t="str">
        <f aca="false">IFERROR(J130/F130,"")</f>
        <v/>
      </c>
      <c r="L130" s="341" t="n">
        <f aca="false">$AP$43</f>
        <v>0</v>
      </c>
      <c r="M130" s="316" t="str">
        <f aca="false">'Unit Mix &amp; Comparables'!$AU$6</f>
        <v>B</v>
      </c>
      <c r="N130" s="316" t="n">
        <f aca="false">'Unit Mix &amp; Comparables'!$AP$7</f>
        <v>1993</v>
      </c>
      <c r="O130" s="303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9"/>
    </row>
    <row r="131" customFormat="false" ht="13.5" hidden="true" customHeight="true" outlineLevel="0" collapsed="false">
      <c r="B131" s="434" t="str">
        <f aca="false">$R$6</f>
        <v>Johnathan's Ridge</v>
      </c>
      <c r="C131" s="405" t="str">
        <f aca="false">IF('Unit Mix &amp; Comparables'!$R18&lt;&gt;"",'Unit Mix &amp; Comparables'!$R18,"")</f>
        <v/>
      </c>
      <c r="D131" s="299" t="str">
        <f aca="false">IF('Unit Mix &amp; Comparables'!$S18&lt;&gt;"",'Unit Mix &amp; Comparables'!$S18,"")</f>
        <v/>
      </c>
      <c r="E131" s="299" t="str">
        <f aca="false">IF('Unit Mix &amp; Comparables'!$T18&lt;&gt;"",'Unit Mix &amp; Comparables'!$T18,"")</f>
        <v/>
      </c>
      <c r="F131" s="405" t="str">
        <f aca="false">IF('Unit Mix &amp; Comparables'!$U18&lt;&gt;"",'Unit Mix &amp; Comparables'!$U18,"")</f>
        <v/>
      </c>
      <c r="G131" s="301" t="str">
        <f aca="false">IF('Unit Mix &amp; Comparables'!$V18&lt;&gt;"",'Unit Mix &amp; Comparables'!$V18,"")</f>
        <v/>
      </c>
      <c r="H131" s="435" t="n">
        <f aca="false">IF('Unit Mix &amp; Comparables'!$W18&lt;&gt;"",'Unit Mix &amp; Comparables'!$W18,"")</f>
        <v>0</v>
      </c>
      <c r="I131" s="301" t="n">
        <f aca="false">'Unit Mix &amp; Comparables'!$V$40</f>
        <v>0</v>
      </c>
      <c r="J131" s="301" t="str">
        <f aca="false">IFERROR(G131+I131,"")</f>
        <v/>
      </c>
      <c r="K131" s="435" t="str">
        <f aca="false">IFERROR(J131/F131,"")</f>
        <v/>
      </c>
      <c r="L131" s="341" t="n">
        <f aca="false">$R$43</f>
        <v>0</v>
      </c>
      <c r="M131" s="316" t="str">
        <f aca="false">'Unit Mix &amp; Comparables'!$W$6</f>
        <v>B</v>
      </c>
      <c r="N131" s="316" t="n">
        <f aca="false">$R$7</f>
        <v>1982</v>
      </c>
      <c r="O131" s="303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9"/>
    </row>
    <row r="132" customFormat="false" ht="13.5" hidden="true" customHeight="true" outlineLevel="0" collapsed="false">
      <c r="B132" s="434" t="str">
        <f aca="false">$R$6</f>
        <v>Johnathan's Ridge</v>
      </c>
      <c r="C132" s="405" t="str">
        <f aca="false">IF('Unit Mix &amp; Comparables'!$R19&lt;&gt;"",'Unit Mix &amp; Comparables'!$R19,"")</f>
        <v/>
      </c>
      <c r="D132" s="299" t="str">
        <f aca="false">IF('Unit Mix &amp; Comparables'!$S19&lt;&gt;"",'Unit Mix &amp; Comparables'!$S19,"")</f>
        <v/>
      </c>
      <c r="E132" s="299" t="str">
        <f aca="false">IF('Unit Mix &amp; Comparables'!$T19&lt;&gt;"",'Unit Mix &amp; Comparables'!$T19,"")</f>
        <v/>
      </c>
      <c r="F132" s="405" t="str">
        <f aca="false">IF('Unit Mix &amp; Comparables'!$U19&lt;&gt;"",'Unit Mix &amp; Comparables'!$U19,"")</f>
        <v/>
      </c>
      <c r="G132" s="301" t="str">
        <f aca="false">IF('Unit Mix &amp; Comparables'!$V19&lt;&gt;"",'Unit Mix &amp; Comparables'!$V19,"")</f>
        <v/>
      </c>
      <c r="H132" s="435" t="n">
        <f aca="false">IF('Unit Mix &amp; Comparables'!$W19&lt;&gt;"",'Unit Mix &amp; Comparables'!$W19,"")</f>
        <v>0</v>
      </c>
      <c r="I132" s="301" t="n">
        <f aca="false">'Unit Mix &amp; Comparables'!$V$40</f>
        <v>0</v>
      </c>
      <c r="J132" s="301" t="str">
        <f aca="false">IFERROR(G132+I132,"")</f>
        <v/>
      </c>
      <c r="K132" s="435" t="str">
        <f aca="false">IFERROR(J132/F132,"")</f>
        <v/>
      </c>
      <c r="L132" s="341" t="n">
        <f aca="false">$R$43</f>
        <v>0</v>
      </c>
      <c r="M132" s="316" t="str">
        <f aca="false">'Unit Mix &amp; Comparables'!$W$6</f>
        <v>B</v>
      </c>
      <c r="N132" s="316" t="n">
        <f aca="false">$R$7</f>
        <v>1982</v>
      </c>
      <c r="O132" s="303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9"/>
    </row>
    <row r="133" customFormat="false" ht="13.5" hidden="false" customHeight="true" outlineLevel="0" collapsed="false">
      <c r="B133" s="437" t="str">
        <f aca="false">CONCATENATE($C$6," Pro Forma")</f>
        <v>Riverhill TH Pro Forma</v>
      </c>
      <c r="C133" s="438" t="str">
        <f aca="false">IF('Unit Mix &amp; Comparables'!$C$33&lt;&gt;"",'Unit Mix &amp; Comparables'!$C$33,"")</f>
        <v/>
      </c>
      <c r="D133" s="439" t="str">
        <f aca="false">IF('Unit Mix &amp; Comparables'!$D$33&lt;&gt;"",'Unit Mix &amp; Comparables'!$D$33,"")</f>
        <v/>
      </c>
      <c r="E133" s="439" t="str">
        <f aca="false">IF('Unit Mix &amp; Comparables'!$E$33&lt;&gt;"",'Unit Mix &amp; Comparables'!$E$33,"")</f>
        <v/>
      </c>
      <c r="F133" s="438" t="str">
        <f aca="false">IF('Unit Mix &amp; Comparables'!$F$33&lt;&gt;"",'Unit Mix &amp; Comparables'!$F$33,"")</f>
        <v/>
      </c>
      <c r="G133" s="440" t="str">
        <f aca="false">IF('Unit Mix &amp; Comparables'!$G$33&lt;&gt;"",'Unit Mix &amp; Comparables'!$G$33,"")</f>
        <v/>
      </c>
      <c r="H133" s="441" t="n">
        <f aca="false">IF('Unit Mix &amp; Comparables'!$H$33&lt;&gt;"",'Unit Mix &amp; Comparables'!$H$33,"")</f>
        <v>0</v>
      </c>
      <c r="I133" s="440" t="n">
        <f aca="false">'Unit Mix &amp; Comparables'!$G$40</f>
        <v>0</v>
      </c>
      <c r="J133" s="440" t="str">
        <f aca="false">IFERROR(G133+I133,"")</f>
        <v/>
      </c>
      <c r="K133" s="441" t="str">
        <f aca="false">IFERROR(J133/F133,"")</f>
        <v/>
      </c>
      <c r="L133" s="442" t="n">
        <f aca="false">C43</f>
        <v>0</v>
      </c>
      <c r="M133" s="443" t="str">
        <f aca="false">'Unit Mix &amp; Comparables'!$H$6</f>
        <v>B</v>
      </c>
      <c r="N133" s="443" t="n">
        <f aca="false">'Unit Mix &amp; Comparables'!$C$7</f>
        <v>1982</v>
      </c>
      <c r="O133" s="303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9"/>
    </row>
    <row r="134" customFormat="false" ht="13.5" hidden="true" customHeight="true" outlineLevel="0" collapsed="false">
      <c r="B134" s="434" t="str">
        <f aca="false">$X$6</f>
        <v>Riverside Manor</v>
      </c>
      <c r="C134" s="405" t="n">
        <f aca="false">IF('Unit Mix &amp; Comparables'!$X15&lt;&gt;"",'Unit Mix &amp; Comparables'!$X15,"")</f>
        <v>25</v>
      </c>
      <c r="D134" s="299" t="n">
        <f aca="false">IF('Unit Mix &amp; Comparables'!$Y15&lt;&gt;"",'Unit Mix &amp; Comparables'!$Y15,"")</f>
        <v>2</v>
      </c>
      <c r="E134" s="299" t="n">
        <f aca="false">IF('Unit Mix &amp; Comparables'!$Z15&lt;&gt;"",'Unit Mix &amp; Comparables'!$Z15,"")</f>
        <v>1</v>
      </c>
      <c r="F134" s="405" t="n">
        <f aca="false">IF('Unit Mix &amp; Comparables'!$AA15&lt;&gt;"",'Unit Mix &amp; Comparables'!$AA15,"")</f>
        <v>860</v>
      </c>
      <c r="G134" s="301" t="n">
        <f aca="false">IF('Unit Mix &amp; Comparables'!$AB15&lt;&gt;"",'Unit Mix &amp; Comparables'!$AB15,"")</f>
        <v>435</v>
      </c>
      <c r="H134" s="435" t="n">
        <f aca="false">IF('Unit Mix &amp; Comparables'!$AC15&lt;&gt;"",'Unit Mix &amp; Comparables'!$AC15,"")</f>
        <v>0.505813953488372</v>
      </c>
      <c r="I134" s="301" t="n">
        <f aca="false">'Unit Mix &amp; Comparables'!$AB$40</f>
        <v>0</v>
      </c>
      <c r="J134" s="301" t="n">
        <f aca="false">IFERROR(G134+I134,"")</f>
        <v>435</v>
      </c>
      <c r="K134" s="435" t="n">
        <f aca="false">IFERROR(J134/F134,"")</f>
        <v>0.505813953488372</v>
      </c>
      <c r="L134" s="341" t="n">
        <f aca="false">$AV$43</f>
        <v>0</v>
      </c>
      <c r="M134" s="316" t="str">
        <f aca="false">'Unit Mix &amp; Comparables'!$W$6</f>
        <v>B</v>
      </c>
      <c r="N134" s="316" t="n">
        <f aca="false">$X$7</f>
        <v>1985</v>
      </c>
      <c r="O134" s="303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9"/>
    </row>
    <row r="135" customFormat="false" ht="13.5" hidden="true" customHeight="true" outlineLevel="0" collapsed="false">
      <c r="B135" s="434" t="str">
        <f aca="false">$X$6</f>
        <v>Riverside Manor</v>
      </c>
      <c r="C135" s="405" t="n">
        <f aca="false">IF('Unit Mix &amp; Comparables'!$X16&lt;&gt;"",'Unit Mix &amp; Comparables'!$X16,"")</f>
        <v>25</v>
      </c>
      <c r="D135" s="299" t="n">
        <f aca="false">IF('Unit Mix &amp; Comparables'!$Y16&lt;&gt;"",'Unit Mix &amp; Comparables'!$Y16,"")</f>
        <v>3</v>
      </c>
      <c r="E135" s="299" t="n">
        <f aca="false">IF('Unit Mix &amp; Comparables'!$Z16&lt;&gt;"",'Unit Mix &amp; Comparables'!$Z16,"")</f>
        <v>1</v>
      </c>
      <c r="F135" s="405" t="n">
        <f aca="false">IF('Unit Mix &amp; Comparables'!$AA16&lt;&gt;"",'Unit Mix &amp; Comparables'!$AA16,"")</f>
        <v>875</v>
      </c>
      <c r="G135" s="301" t="n">
        <f aca="false">IF('Unit Mix &amp; Comparables'!$AB16&lt;&gt;"",'Unit Mix &amp; Comparables'!$AB16,"")</f>
        <v>460</v>
      </c>
      <c r="H135" s="435" t="n">
        <f aca="false">IF('Unit Mix &amp; Comparables'!$AC16&lt;&gt;"",'Unit Mix &amp; Comparables'!$AC16,"")</f>
        <v>0.525714285714286</v>
      </c>
      <c r="I135" s="301" t="n">
        <f aca="false">'Unit Mix &amp; Comparables'!$AB$40</f>
        <v>0</v>
      </c>
      <c r="J135" s="301" t="n">
        <f aca="false">IFERROR(G135+I135,"")</f>
        <v>460</v>
      </c>
      <c r="K135" s="435" t="n">
        <f aca="false">IFERROR(J135/F135,"")</f>
        <v>0.525714285714286</v>
      </c>
      <c r="L135" s="341" t="n">
        <f aca="false">$AV$43</f>
        <v>0</v>
      </c>
      <c r="M135" s="316" t="str">
        <f aca="false">'Unit Mix &amp; Comparables'!$W$6</f>
        <v>B</v>
      </c>
      <c r="N135" s="316" t="n">
        <f aca="false">$X$7</f>
        <v>1985</v>
      </c>
      <c r="O135" s="303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9"/>
    </row>
    <row r="136" customFormat="false" ht="13.5" hidden="true" customHeight="true" outlineLevel="0" collapsed="false">
      <c r="B136" s="434" t="str">
        <f aca="false">$X$6</f>
        <v>Riverside Manor</v>
      </c>
      <c r="C136" s="405" t="str">
        <f aca="false">IF('Unit Mix &amp; Comparables'!$X17&lt;&gt;"",'Unit Mix &amp; Comparables'!$X17,"")</f>
        <v/>
      </c>
      <c r="D136" s="299" t="str">
        <f aca="false">IF('Unit Mix &amp; Comparables'!$Y17&lt;&gt;"",'Unit Mix &amp; Comparables'!$Y17,"")</f>
        <v/>
      </c>
      <c r="E136" s="299" t="str">
        <f aca="false">IF('Unit Mix &amp; Comparables'!$Z17&lt;&gt;"",'Unit Mix &amp; Comparables'!$Z17,"")</f>
        <v/>
      </c>
      <c r="F136" s="405" t="str">
        <f aca="false">IF('Unit Mix &amp; Comparables'!$AA17&lt;&gt;"",'Unit Mix &amp; Comparables'!$AA17,"")</f>
        <v/>
      </c>
      <c r="G136" s="301" t="str">
        <f aca="false">IF('Unit Mix &amp; Comparables'!$AB17&lt;&gt;"",'Unit Mix &amp; Comparables'!$AB17,"")</f>
        <v/>
      </c>
      <c r="H136" s="435" t="n">
        <f aca="false">IF('Unit Mix &amp; Comparables'!$AC17&lt;&gt;"",'Unit Mix &amp; Comparables'!$AC17,"")</f>
        <v>0</v>
      </c>
      <c r="I136" s="301" t="n">
        <f aca="false">'Unit Mix &amp; Comparables'!$AB$40</f>
        <v>0</v>
      </c>
      <c r="J136" s="301" t="str">
        <f aca="false">IFERROR(G136+I136,"")</f>
        <v/>
      </c>
      <c r="K136" s="435" t="str">
        <f aca="false">IFERROR(J136/F136,"")</f>
        <v/>
      </c>
      <c r="L136" s="341" t="n">
        <f aca="false">$AV$43</f>
        <v>0</v>
      </c>
      <c r="M136" s="316" t="str">
        <f aca="false">'Unit Mix &amp; Comparables'!$W$6</f>
        <v>B</v>
      </c>
      <c r="N136" s="316" t="n">
        <f aca="false">$X$7</f>
        <v>1985</v>
      </c>
      <c r="O136" s="303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9"/>
    </row>
    <row r="137" customFormat="false" ht="13.5" hidden="true" customHeight="true" outlineLevel="0" collapsed="false">
      <c r="B137" s="434" t="str">
        <f aca="false">$X$6</f>
        <v>Riverside Manor</v>
      </c>
      <c r="C137" s="405" t="str">
        <f aca="false">IF('Unit Mix &amp; Comparables'!$X18&lt;&gt;"",'Unit Mix &amp; Comparables'!$X18,"")</f>
        <v/>
      </c>
      <c r="D137" s="299" t="str">
        <f aca="false">IF('Unit Mix &amp; Comparables'!$Y18&lt;&gt;"",'Unit Mix &amp; Comparables'!$Y18,"")</f>
        <v/>
      </c>
      <c r="E137" s="299" t="str">
        <f aca="false">IF('Unit Mix &amp; Comparables'!$Z18&lt;&gt;"",'Unit Mix &amp; Comparables'!$Z18,"")</f>
        <v/>
      </c>
      <c r="F137" s="405" t="str">
        <f aca="false">IF('Unit Mix &amp; Comparables'!$AA18&lt;&gt;"",'Unit Mix &amp; Comparables'!$AA18,"")</f>
        <v/>
      </c>
      <c r="G137" s="301" t="str">
        <f aca="false">IF('Unit Mix &amp; Comparables'!$AB18&lt;&gt;"",'Unit Mix &amp; Comparables'!$AB18,"")</f>
        <v/>
      </c>
      <c r="H137" s="435" t="n">
        <f aca="false">IF('Unit Mix &amp; Comparables'!$AC18&lt;&gt;"",'Unit Mix &amp; Comparables'!$AC18,"")</f>
        <v>0</v>
      </c>
      <c r="I137" s="301" t="n">
        <f aca="false">'Unit Mix &amp; Comparables'!$AB$40</f>
        <v>0</v>
      </c>
      <c r="J137" s="301" t="str">
        <f aca="false">IFERROR(G137+I137,"")</f>
        <v/>
      </c>
      <c r="K137" s="435" t="str">
        <f aca="false">IFERROR(J137/F137,"")</f>
        <v/>
      </c>
      <c r="L137" s="341" t="n">
        <f aca="false">$AV$43</f>
        <v>0</v>
      </c>
      <c r="M137" s="316" t="str">
        <f aca="false">'Unit Mix &amp; Comparables'!$W$6</f>
        <v>B</v>
      </c>
      <c r="N137" s="316" t="n">
        <f aca="false">$X$7</f>
        <v>1985</v>
      </c>
      <c r="O137" s="303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9"/>
    </row>
    <row r="138" customFormat="false" ht="12.75" hidden="true" customHeight="true" outlineLevel="0" collapsed="false">
      <c r="B138" s="434" t="str">
        <f aca="false">$X$6</f>
        <v>Riverside Manor</v>
      </c>
      <c r="C138" s="405" t="str">
        <f aca="false">IF('Unit Mix &amp; Comparables'!$X19&lt;&gt;"",'Unit Mix &amp; Comparables'!$X19,"")</f>
        <v/>
      </c>
      <c r="D138" s="299" t="str">
        <f aca="false">IF('Unit Mix &amp; Comparables'!$Y19&lt;&gt;"",'Unit Mix &amp; Comparables'!$Y19,"")</f>
        <v/>
      </c>
      <c r="E138" s="299" t="str">
        <f aca="false">IF('Unit Mix &amp; Comparables'!$Z19&lt;&gt;"",'Unit Mix &amp; Comparables'!$Z19,"")</f>
        <v/>
      </c>
      <c r="F138" s="405" t="str">
        <f aca="false">IF('Unit Mix &amp; Comparables'!$AA19&lt;&gt;"",'Unit Mix &amp; Comparables'!$AA19,"")</f>
        <v/>
      </c>
      <c r="G138" s="301" t="str">
        <f aca="false">IF('Unit Mix &amp; Comparables'!$AB19&lt;&gt;"",'Unit Mix &amp; Comparables'!$AB19,"")</f>
        <v/>
      </c>
      <c r="H138" s="435" t="n">
        <f aca="false">IF('Unit Mix &amp; Comparables'!$AC19&lt;&gt;"",'Unit Mix &amp; Comparables'!$AC19,"")</f>
        <v>0</v>
      </c>
      <c r="I138" s="301" t="n">
        <f aca="false">'Unit Mix &amp; Comparables'!$AB$40</f>
        <v>0</v>
      </c>
      <c r="J138" s="301" t="str">
        <f aca="false">IFERROR(G138+I138,"")</f>
        <v/>
      </c>
      <c r="K138" s="435" t="str">
        <f aca="false">IFERROR(J138/F138,"")</f>
        <v/>
      </c>
      <c r="L138" s="341" t="n">
        <f aca="false">$AV$43</f>
        <v>0</v>
      </c>
      <c r="M138" s="316" t="str">
        <f aca="false">'Unit Mix &amp; Comparables'!$W$6</f>
        <v>B</v>
      </c>
      <c r="N138" s="316" t="n">
        <f aca="false">$X$7</f>
        <v>1985</v>
      </c>
      <c r="O138" s="303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9"/>
    </row>
    <row r="139" customFormat="false" ht="12.75" hidden="false" customHeight="true" outlineLevel="0" collapsed="false">
      <c r="B139" s="437" t="str">
        <f aca="false">CONCATENATE($C$6," Pro Forma")</f>
        <v>Riverhill TH Pro Forma</v>
      </c>
      <c r="C139" s="438" t="str">
        <f aca="false">IF('Unit Mix &amp; Comparables'!$C$29&lt;&gt;"",'Unit Mix &amp; Comparables'!$C$29,"")</f>
        <v/>
      </c>
      <c r="D139" s="439" t="str">
        <f aca="false">IF('Unit Mix &amp; Comparables'!$D$29&lt;&gt;"",'Unit Mix &amp; Comparables'!$D$29,"")</f>
        <v/>
      </c>
      <c r="E139" s="439" t="str">
        <f aca="false">IF('Unit Mix &amp; Comparables'!$E$29&lt;&gt;"",'Unit Mix &amp; Comparables'!$E$29,"")</f>
        <v/>
      </c>
      <c r="F139" s="438" t="str">
        <f aca="false">IF('Unit Mix &amp; Comparables'!$F$29&lt;&gt;"",'Unit Mix &amp; Comparables'!$F$29,"")</f>
        <v/>
      </c>
      <c r="G139" s="440" t="str">
        <f aca="false">IF('Unit Mix &amp; Comparables'!$G$29&lt;&gt;"",'Unit Mix &amp; Comparables'!$G$29,"")</f>
        <v/>
      </c>
      <c r="H139" s="441" t="n">
        <f aca="false">IF('Unit Mix &amp; Comparables'!$H$29&lt;&gt;"",'Unit Mix &amp; Comparables'!$H$29,"")</f>
        <v>0</v>
      </c>
      <c r="I139" s="440" t="n">
        <f aca="false">'Unit Mix &amp; Comparables'!$G$40</f>
        <v>0</v>
      </c>
      <c r="J139" s="440" t="str">
        <f aca="false">IFERROR(G139+I139,"")</f>
        <v/>
      </c>
      <c r="K139" s="441" t="str">
        <f aca="false">IFERROR(J139/F139,"")</f>
        <v/>
      </c>
      <c r="L139" s="442" t="n">
        <f aca="false">C43</f>
        <v>0</v>
      </c>
      <c r="M139" s="443" t="str">
        <f aca="false">'Unit Mix &amp; Comparables'!$H$6</f>
        <v>B</v>
      </c>
      <c r="N139" s="443" t="n">
        <f aca="false">'Unit Mix &amp; Comparables'!$C$7</f>
        <v>1982</v>
      </c>
      <c r="O139" s="303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9"/>
    </row>
    <row r="140" customFormat="false" ht="13.5" hidden="false" customHeight="true" outlineLevel="0" collapsed="false">
      <c r="B140" s="437" t="str">
        <f aca="false">CONCATENATE($C$6," Pro Forma")</f>
        <v>Riverhill TH Pro Forma</v>
      </c>
      <c r="C140" s="438" t="str">
        <f aca="false">IF('Unit Mix &amp; Comparables'!$C$31&lt;&gt;"",'Unit Mix &amp; Comparables'!$C$31,"")</f>
        <v/>
      </c>
      <c r="D140" s="439" t="str">
        <f aca="false">IF('Unit Mix &amp; Comparables'!$D$31&lt;&gt;"",'Unit Mix &amp; Comparables'!$D$31,"")</f>
        <v/>
      </c>
      <c r="E140" s="439" t="str">
        <f aca="false">IF('Unit Mix &amp; Comparables'!$E$31&lt;&gt;"",'Unit Mix &amp; Comparables'!$E$31,"")</f>
        <v/>
      </c>
      <c r="F140" s="438" t="str">
        <f aca="false">IF('Unit Mix &amp; Comparables'!$F$31&lt;&gt;"",'Unit Mix &amp; Comparables'!$F$31,"")</f>
        <v/>
      </c>
      <c r="G140" s="440" t="str">
        <f aca="false">IF('Unit Mix &amp; Comparables'!$G$31&lt;&gt;"",'Unit Mix &amp; Comparables'!$G$31,"")</f>
        <v/>
      </c>
      <c r="H140" s="441" t="n">
        <f aca="false">IF('Unit Mix &amp; Comparables'!$H$31&lt;&gt;"",'Unit Mix &amp; Comparables'!$H$31,"")</f>
        <v>0</v>
      </c>
      <c r="I140" s="440" t="n">
        <f aca="false">'Unit Mix &amp; Comparables'!$G$40</f>
        <v>0</v>
      </c>
      <c r="J140" s="440" t="str">
        <f aca="false">IFERROR(G140+I140,"")</f>
        <v/>
      </c>
      <c r="K140" s="441" t="str">
        <f aca="false">IFERROR(J140/F140,"")</f>
        <v/>
      </c>
      <c r="L140" s="442" t="n">
        <f aca="false">C43</f>
        <v>0</v>
      </c>
      <c r="M140" s="443" t="str">
        <f aca="false">'Unit Mix &amp; Comparables'!$H$6</f>
        <v>B</v>
      </c>
      <c r="N140" s="443" t="n">
        <f aca="false">'Unit Mix &amp; Comparables'!$C$7</f>
        <v>1982</v>
      </c>
      <c r="O140" s="303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9"/>
    </row>
    <row r="141" customFormat="false" ht="13.5" hidden="true" customHeight="true" outlineLevel="0" collapsed="false">
      <c r="B141" s="434" t="str">
        <f aca="false">$AD$6</f>
        <v>Windy Lakes</v>
      </c>
      <c r="C141" s="405" t="str">
        <f aca="false">IF('Unit Mix &amp; Comparables'!$AD16&lt;&gt;"",'Unit Mix &amp; Comparables'!$AD16,"")</f>
        <v/>
      </c>
      <c r="D141" s="299" t="str">
        <f aca="false">IF('Unit Mix &amp; Comparables'!$AE16&lt;&gt;"",'Unit Mix &amp; Comparables'!$AE16,"")</f>
        <v/>
      </c>
      <c r="E141" s="299" t="str">
        <f aca="false">IF('Unit Mix &amp; Comparables'!$AF16&lt;&gt;"",'Unit Mix &amp; Comparables'!$AF16,"")</f>
        <v/>
      </c>
      <c r="F141" s="405" t="str">
        <f aca="false">IF('Unit Mix &amp; Comparables'!$AG16&lt;&gt;"",'Unit Mix &amp; Comparables'!$AG16,"")</f>
        <v/>
      </c>
      <c r="G141" s="301" t="str">
        <f aca="false">IF('Unit Mix &amp; Comparables'!$AH16&lt;&gt;"",'Unit Mix &amp; Comparables'!$AH16,"")</f>
        <v/>
      </c>
      <c r="H141" s="435" t="n">
        <f aca="false">IF('Unit Mix &amp; Comparables'!$AI16&lt;&gt;"",'Unit Mix &amp; Comparables'!$AI16,"")</f>
        <v>0</v>
      </c>
      <c r="I141" s="301" t="n">
        <f aca="false">'Unit Mix &amp; Comparables'!$AH$40</f>
        <v>0</v>
      </c>
      <c r="J141" s="301" t="str">
        <f aca="false">IFERROR(G141+I141,"")</f>
        <v/>
      </c>
      <c r="K141" s="435" t="str">
        <f aca="false">IFERROR(J141/F141,"")</f>
        <v/>
      </c>
      <c r="L141" s="341" t="n">
        <f aca="false">$AD$43</f>
        <v>0</v>
      </c>
      <c r="M141" s="316" t="str">
        <f aca="false">'Unit Mix &amp; Comparables'!$AI$6</f>
        <v>B</v>
      </c>
      <c r="N141" s="316" t="n">
        <f aca="false">$AD$7</f>
        <v>1979</v>
      </c>
      <c r="O141" s="303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9"/>
    </row>
    <row r="142" customFormat="false" ht="13.5" hidden="true" customHeight="true" outlineLevel="0" collapsed="false">
      <c r="B142" s="434" t="str">
        <f aca="false">$AD$6</f>
        <v>Windy Lakes</v>
      </c>
      <c r="C142" s="405" t="str">
        <f aca="false">IF('Unit Mix &amp; Comparables'!$AD17&lt;&gt;"",'Unit Mix &amp; Comparables'!$AD17,"")</f>
        <v/>
      </c>
      <c r="D142" s="299" t="str">
        <f aca="false">IF('Unit Mix &amp; Comparables'!$AE17&lt;&gt;"",'Unit Mix &amp; Comparables'!$AE17,"")</f>
        <v/>
      </c>
      <c r="E142" s="299" t="str">
        <f aca="false">IF('Unit Mix &amp; Comparables'!$AF17&lt;&gt;"",'Unit Mix &amp; Comparables'!$AF17,"")</f>
        <v/>
      </c>
      <c r="F142" s="405" t="str">
        <f aca="false">IF('Unit Mix &amp; Comparables'!$AG17&lt;&gt;"",'Unit Mix &amp; Comparables'!$AG17,"")</f>
        <v/>
      </c>
      <c r="G142" s="301" t="str">
        <f aca="false">IF('Unit Mix &amp; Comparables'!$AH17&lt;&gt;"",'Unit Mix &amp; Comparables'!$AH17,"")</f>
        <v/>
      </c>
      <c r="H142" s="435" t="n">
        <f aca="false">IF('Unit Mix &amp; Comparables'!$AI17&lt;&gt;"",'Unit Mix &amp; Comparables'!$AI17,"")</f>
        <v>0</v>
      </c>
      <c r="I142" s="301" t="n">
        <f aca="false">'Unit Mix &amp; Comparables'!$AH$40</f>
        <v>0</v>
      </c>
      <c r="J142" s="301" t="str">
        <f aca="false">IFERROR(G142+I142,"")</f>
        <v/>
      </c>
      <c r="K142" s="435" t="str">
        <f aca="false">IFERROR(J142/F142,"")</f>
        <v/>
      </c>
      <c r="L142" s="341" t="n">
        <f aca="false">$AD$43</f>
        <v>0</v>
      </c>
      <c r="M142" s="316" t="str">
        <f aca="false">'Unit Mix &amp; Comparables'!$AI$6</f>
        <v>B</v>
      </c>
      <c r="N142" s="316" t="n">
        <f aca="false">$AD$7</f>
        <v>1979</v>
      </c>
      <c r="O142" s="303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9"/>
    </row>
    <row r="143" customFormat="false" ht="13.5" hidden="true" customHeight="true" outlineLevel="0" collapsed="false">
      <c r="B143" s="434" t="str">
        <f aca="false">$AD$6</f>
        <v>Windy Lakes</v>
      </c>
      <c r="C143" s="405" t="str">
        <f aca="false">IF('Unit Mix &amp; Comparables'!$AD18&lt;&gt;"",'Unit Mix &amp; Comparables'!$AD18,"")</f>
        <v/>
      </c>
      <c r="D143" s="299" t="str">
        <f aca="false">IF('Unit Mix &amp; Comparables'!$AE18&lt;&gt;"",'Unit Mix &amp; Comparables'!$AE18,"")</f>
        <v/>
      </c>
      <c r="E143" s="299" t="str">
        <f aca="false">IF('Unit Mix &amp; Comparables'!$AF18&lt;&gt;"",'Unit Mix &amp; Comparables'!$AF18,"")</f>
        <v/>
      </c>
      <c r="F143" s="405" t="str">
        <f aca="false">IF('Unit Mix &amp; Comparables'!$AG18&lt;&gt;"",'Unit Mix &amp; Comparables'!$AG18,"")</f>
        <v/>
      </c>
      <c r="G143" s="301" t="str">
        <f aca="false">IF('Unit Mix &amp; Comparables'!$AH18&lt;&gt;"",'Unit Mix &amp; Comparables'!$AH18,"")</f>
        <v/>
      </c>
      <c r="H143" s="435" t="n">
        <f aca="false">IF('Unit Mix &amp; Comparables'!$AI18&lt;&gt;"",'Unit Mix &amp; Comparables'!$AI18,"")</f>
        <v>0</v>
      </c>
      <c r="I143" s="301" t="n">
        <f aca="false">'Unit Mix &amp; Comparables'!$AH$40</f>
        <v>0</v>
      </c>
      <c r="J143" s="301" t="str">
        <f aca="false">IFERROR(G143+I143,"")</f>
        <v/>
      </c>
      <c r="K143" s="435" t="str">
        <f aca="false">IFERROR(J143/F143,"")</f>
        <v/>
      </c>
      <c r="L143" s="341" t="n">
        <f aca="false">$AD$43</f>
        <v>0</v>
      </c>
      <c r="M143" s="316" t="str">
        <f aca="false">'Unit Mix &amp; Comparables'!$AI$6</f>
        <v>B</v>
      </c>
      <c r="N143" s="316" t="n">
        <f aca="false">$AD$7</f>
        <v>1979</v>
      </c>
      <c r="O143" s="303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9"/>
    </row>
    <row r="144" customFormat="false" ht="13.5" hidden="true" customHeight="true" outlineLevel="0" collapsed="false">
      <c r="B144" s="434" t="str">
        <f aca="false">$AD$6</f>
        <v>Windy Lakes</v>
      </c>
      <c r="C144" s="405" t="str">
        <f aca="false">IF('Unit Mix &amp; Comparables'!$AD19&lt;&gt;"",'Unit Mix &amp; Comparables'!$AD19,"")</f>
        <v/>
      </c>
      <c r="D144" s="299" t="str">
        <f aca="false">IF('Unit Mix &amp; Comparables'!$AE19&lt;&gt;"",'Unit Mix &amp; Comparables'!$AE19,"")</f>
        <v/>
      </c>
      <c r="E144" s="299" t="str">
        <f aca="false">IF('Unit Mix &amp; Comparables'!$AF19&lt;&gt;"",'Unit Mix &amp; Comparables'!$AF19,"")</f>
        <v/>
      </c>
      <c r="F144" s="405" t="str">
        <f aca="false">IF('Unit Mix &amp; Comparables'!$AG19&lt;&gt;"",'Unit Mix &amp; Comparables'!$AG19,"")</f>
        <v/>
      </c>
      <c r="G144" s="301" t="str">
        <f aca="false">IF('Unit Mix &amp; Comparables'!$AH19&lt;&gt;"",'Unit Mix &amp; Comparables'!$AH19,"")</f>
        <v/>
      </c>
      <c r="H144" s="435" t="n">
        <f aca="false">IF('Unit Mix &amp; Comparables'!$AI19&lt;&gt;"",'Unit Mix &amp; Comparables'!$AI19,"")</f>
        <v>0</v>
      </c>
      <c r="I144" s="301" t="n">
        <f aca="false">'Unit Mix &amp; Comparables'!$AH$40</f>
        <v>0</v>
      </c>
      <c r="J144" s="301" t="str">
        <f aca="false">IFERROR(G144+I144,"")</f>
        <v/>
      </c>
      <c r="K144" s="435" t="str">
        <f aca="false">IFERROR(J144/F144,"")</f>
        <v/>
      </c>
      <c r="L144" s="341" t="n">
        <f aca="false">$AD$43</f>
        <v>0</v>
      </c>
      <c r="M144" s="316" t="str">
        <f aca="false">'Unit Mix &amp; Comparables'!$AI$6</f>
        <v>B</v>
      </c>
      <c r="N144" s="316" t="n">
        <f aca="false">$AD$7</f>
        <v>1979</v>
      </c>
      <c r="O144" s="303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9"/>
    </row>
    <row r="145" customFormat="false" ht="13.5" hidden="false" customHeight="true" outlineLevel="0" collapsed="false">
      <c r="B145" s="434" t="str">
        <f aca="false">$AJ$6</f>
        <v>Riverside South</v>
      </c>
      <c r="C145" s="405" t="n">
        <f aca="false">IF('Unit Mix &amp; Comparables'!$AJ12&lt;&gt;"",'Unit Mix &amp; Comparables'!$AJ12,"")</f>
        <v>25</v>
      </c>
      <c r="D145" s="299" t="n">
        <f aca="false">IF('Unit Mix &amp; Comparables'!$AK12&lt;&gt;"",'Unit Mix &amp; Comparables'!$AK12,"")</f>
        <v>3</v>
      </c>
      <c r="E145" s="299" t="n">
        <f aca="false">IF('Unit Mix &amp; Comparables'!$AL12&lt;&gt;"",'Unit Mix &amp; Comparables'!$AL12,"")</f>
        <v>1</v>
      </c>
      <c r="F145" s="405" t="n">
        <f aca="false">IF('Unit Mix &amp; Comparables'!$AM12&lt;&gt;"",'Unit Mix &amp; Comparables'!$AM12,"")</f>
        <v>878</v>
      </c>
      <c r="G145" s="301" t="n">
        <f aca="false">IF('Unit Mix &amp; Comparables'!$AN12&lt;&gt;"",'Unit Mix &amp; Comparables'!$AN12,"")</f>
        <v>565</v>
      </c>
      <c r="H145" s="435" t="n">
        <f aca="false">IF('Unit Mix &amp; Comparables'!$AO12&lt;&gt;"",'Unit Mix &amp; Comparables'!$AO12,"")</f>
        <v>0.643507972665148</v>
      </c>
      <c r="I145" s="301" t="n">
        <f aca="false">'Unit Mix &amp; Comparables'!$V$40</f>
        <v>0</v>
      </c>
      <c r="J145" s="301" t="n">
        <f aca="false">IFERROR(G145+I145,"")</f>
        <v>565</v>
      </c>
      <c r="K145" s="435" t="n">
        <f aca="false">IFERROR(J145/F145,"")</f>
        <v>0.643507972665148</v>
      </c>
      <c r="L145" s="341" t="n">
        <f aca="false">AJ43</f>
        <v>0</v>
      </c>
      <c r="M145" s="316" t="str">
        <f aca="false">'Unit Mix &amp; Comparables'!$AO$6</f>
        <v>B</v>
      </c>
      <c r="N145" s="316" t="n">
        <f aca="false">$AJ$7</f>
        <v>1988</v>
      </c>
      <c r="O145" s="303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9"/>
    </row>
    <row r="146" customFormat="false" ht="12.75" hidden="true" customHeight="true" outlineLevel="0" collapsed="false">
      <c r="B146" s="434" t="str">
        <f aca="false">$AJ$6</f>
        <v>Riverside South</v>
      </c>
      <c r="C146" s="405" t="str">
        <f aca="false">IF('Unit Mix &amp; Comparables'!$AJ17&lt;&gt;"",'Unit Mix &amp; Comparables'!$AJ17,"")</f>
        <v/>
      </c>
      <c r="D146" s="299" t="str">
        <f aca="false">IF('Unit Mix &amp; Comparables'!$AK17&lt;&gt;"",'Unit Mix &amp; Comparables'!$AK17,"")</f>
        <v/>
      </c>
      <c r="E146" s="299" t="str">
        <f aca="false">IF('Unit Mix &amp; Comparables'!$AL17&lt;&gt;"",'Unit Mix &amp; Comparables'!$AL17,"")</f>
        <v/>
      </c>
      <c r="F146" s="405" t="str">
        <f aca="false">IF('Unit Mix &amp; Comparables'!$AM17&lt;&gt;"",'Unit Mix &amp; Comparables'!$AM17,"")</f>
        <v/>
      </c>
      <c r="G146" s="301" t="str">
        <f aca="false">IF('Unit Mix &amp; Comparables'!$AN17&lt;&gt;"",'Unit Mix &amp; Comparables'!$AN17,"")</f>
        <v/>
      </c>
      <c r="H146" s="435" t="n">
        <f aca="false">IF('Unit Mix &amp; Comparables'!$AO17&lt;&gt;"",'Unit Mix &amp; Comparables'!$AO17,"")</f>
        <v>0</v>
      </c>
      <c r="I146" s="301" t="n">
        <f aca="false">'Unit Mix &amp; Comparables'!$V$40</f>
        <v>0</v>
      </c>
      <c r="J146" s="301" t="str">
        <f aca="false">IFERROR(G146+I146,"")</f>
        <v/>
      </c>
      <c r="K146" s="435" t="str">
        <f aca="false">IFERROR(J146/F146,"")</f>
        <v/>
      </c>
      <c r="L146" s="341" t="n">
        <f aca="false">$AV$43</f>
        <v>0</v>
      </c>
      <c r="M146" s="316" t="str">
        <f aca="false">'Unit Mix &amp; Comparables'!$AO$6</f>
        <v>B</v>
      </c>
      <c r="N146" s="316" t="n">
        <f aca="false">$AJ$7</f>
        <v>1988</v>
      </c>
      <c r="O146" s="303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9"/>
    </row>
    <row r="147" customFormat="false" ht="12.75" hidden="true" customHeight="true" outlineLevel="0" collapsed="false">
      <c r="B147" s="434" t="str">
        <f aca="false">$AJ$6</f>
        <v>Riverside South</v>
      </c>
      <c r="C147" s="405" t="str">
        <f aca="false">IF('Unit Mix &amp; Comparables'!$AJ18&lt;&gt;"",'Unit Mix &amp; Comparables'!$AJ18,"")</f>
        <v/>
      </c>
      <c r="D147" s="299" t="str">
        <f aca="false">IF('Unit Mix &amp; Comparables'!$AK18&lt;&gt;"",'Unit Mix &amp; Comparables'!$AK18,"")</f>
        <v/>
      </c>
      <c r="E147" s="299" t="str">
        <f aca="false">IF('Unit Mix &amp; Comparables'!$AL18&lt;&gt;"",'Unit Mix &amp; Comparables'!$AL18,"")</f>
        <v/>
      </c>
      <c r="F147" s="405" t="str">
        <f aca="false">IF('Unit Mix &amp; Comparables'!$AM18&lt;&gt;"",'Unit Mix &amp; Comparables'!$AM18,"")</f>
        <v/>
      </c>
      <c r="G147" s="301" t="str">
        <f aca="false">IF('Unit Mix &amp; Comparables'!$AN18&lt;&gt;"",'Unit Mix &amp; Comparables'!$AN18,"")</f>
        <v/>
      </c>
      <c r="H147" s="435" t="n">
        <f aca="false">IF('Unit Mix &amp; Comparables'!$AO18&lt;&gt;"",'Unit Mix &amp; Comparables'!$AO18,"")</f>
        <v>0</v>
      </c>
      <c r="I147" s="301" t="n">
        <f aca="false">'Unit Mix &amp; Comparables'!$V$40</f>
        <v>0</v>
      </c>
      <c r="J147" s="301" t="str">
        <f aca="false">IFERROR(G147+I147,"")</f>
        <v/>
      </c>
      <c r="K147" s="435" t="str">
        <f aca="false">IFERROR(J147/F147,"")</f>
        <v/>
      </c>
      <c r="L147" s="341" t="n">
        <f aca="false">$AV$43</f>
        <v>0</v>
      </c>
      <c r="M147" s="316" t="str">
        <f aca="false">'Unit Mix &amp; Comparables'!$AO$6</f>
        <v>B</v>
      </c>
      <c r="N147" s="316" t="n">
        <f aca="false">$AJ$7</f>
        <v>1988</v>
      </c>
      <c r="O147" s="303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9"/>
    </row>
    <row r="148" customFormat="false" ht="13.5" hidden="true" customHeight="true" outlineLevel="0" collapsed="false">
      <c r="B148" s="434" t="str">
        <f aca="false">$AJ$6</f>
        <v>Riverside South</v>
      </c>
      <c r="C148" s="405" t="str">
        <f aca="false">IF('Unit Mix &amp; Comparables'!$AJ19&lt;&gt;"",'Unit Mix &amp; Comparables'!$AJ19,"")</f>
        <v/>
      </c>
      <c r="D148" s="299" t="str">
        <f aca="false">IF('Unit Mix &amp; Comparables'!$AK19&lt;&gt;"",'Unit Mix &amp; Comparables'!$AK19,"")</f>
        <v/>
      </c>
      <c r="E148" s="299" t="str">
        <f aca="false">IF('Unit Mix &amp; Comparables'!$AL19&lt;&gt;"",'Unit Mix &amp; Comparables'!$AL19,"")</f>
        <v/>
      </c>
      <c r="F148" s="405" t="str">
        <f aca="false">IF('Unit Mix &amp; Comparables'!$AM19&lt;&gt;"",'Unit Mix &amp; Comparables'!$AM19,"")</f>
        <v/>
      </c>
      <c r="G148" s="301" t="str">
        <f aca="false">IF('Unit Mix &amp; Comparables'!$AN19&lt;&gt;"",'Unit Mix &amp; Comparables'!$AN19,"")</f>
        <v/>
      </c>
      <c r="H148" s="435" t="n">
        <f aca="false">IF('Unit Mix &amp; Comparables'!$AO19&lt;&gt;"",'Unit Mix &amp; Comparables'!$AO19,"")</f>
        <v>0</v>
      </c>
      <c r="I148" s="301" t="n">
        <f aca="false">'Unit Mix &amp; Comparables'!$V$40</f>
        <v>0</v>
      </c>
      <c r="J148" s="301" t="str">
        <f aca="false">IFERROR(G148+I148,"")</f>
        <v/>
      </c>
      <c r="K148" s="435" t="str">
        <f aca="false">IFERROR(J148/F148,"")</f>
        <v/>
      </c>
      <c r="L148" s="341" t="n">
        <f aca="false">$AV$43</f>
        <v>0</v>
      </c>
      <c r="M148" s="316" t="str">
        <f aca="false">'Unit Mix &amp; Comparables'!$AO$6</f>
        <v>B</v>
      </c>
      <c r="N148" s="316" t="n">
        <f aca="false">$AJ$7</f>
        <v>1988</v>
      </c>
      <c r="O148" s="303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9"/>
    </row>
    <row r="149" customFormat="false" ht="13.5" hidden="false" customHeight="true" outlineLevel="0" collapsed="false">
      <c r="B149" s="434" t="str">
        <f aca="false">$AJ$6</f>
        <v>Riverside South</v>
      </c>
      <c r="C149" s="405" t="n">
        <f aca="false">IF('Unit Mix &amp; Comparables'!$AJ13&lt;&gt;"",'Unit Mix &amp; Comparables'!$AJ13,"")</f>
        <v>25</v>
      </c>
      <c r="D149" s="299" t="n">
        <f aca="false">IF('Unit Mix &amp; Comparables'!$AK13&lt;&gt;"",'Unit Mix &amp; Comparables'!$AK13,"")</f>
        <v>4</v>
      </c>
      <c r="E149" s="299" t="n">
        <f aca="false">IF('Unit Mix &amp; Comparables'!$AL13&lt;&gt;"",'Unit Mix &amp; Comparables'!$AL13,"")</f>
        <v>2</v>
      </c>
      <c r="F149" s="405" t="n">
        <f aca="false">IF('Unit Mix &amp; Comparables'!$AM13&lt;&gt;"",'Unit Mix &amp; Comparables'!$AM13,"")</f>
        <v>1560</v>
      </c>
      <c r="G149" s="301" t="n">
        <f aca="false">IF('Unit Mix &amp; Comparables'!$AN13&lt;&gt;"",'Unit Mix &amp; Comparables'!$AN13,"")</f>
        <v>750</v>
      </c>
      <c r="H149" s="435" t="n">
        <f aca="false">IF('Unit Mix &amp; Comparables'!$AO13&lt;&gt;"",'Unit Mix &amp; Comparables'!$AO13,"")</f>
        <v>0.480769230769231</v>
      </c>
      <c r="I149" s="301" t="n">
        <f aca="false">'Unit Mix &amp; Comparables'!$V$40</f>
        <v>0</v>
      </c>
      <c r="J149" s="301" t="n">
        <f aca="false">IFERROR(G149+I149,"")</f>
        <v>750</v>
      </c>
      <c r="K149" s="435" t="n">
        <f aca="false">IFERROR(J149/F149,"")</f>
        <v>0.480769230769231</v>
      </c>
      <c r="L149" s="341" t="n">
        <f aca="false">AJ43</f>
        <v>0</v>
      </c>
      <c r="M149" s="316" t="str">
        <f aca="false">'Unit Mix &amp; Comparables'!$AO$6</f>
        <v>B</v>
      </c>
      <c r="N149" s="316" t="n">
        <f aca="false">$AJ$7</f>
        <v>1988</v>
      </c>
      <c r="O149" s="303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9"/>
    </row>
    <row r="150" customFormat="false" ht="13.5" hidden="true" customHeight="true" outlineLevel="0" collapsed="false">
      <c r="B150" s="436" t="n">
        <f aca="false">AP81</f>
        <v>0</v>
      </c>
      <c r="C150" s="405" t="str">
        <f aca="false">IF('Unit Mix &amp; Comparables'!$AP51&lt;&gt;"",'Unit Mix &amp; Comparables'!$AP51,"")</f>
        <v/>
      </c>
      <c r="D150" s="299" t="str">
        <f aca="false">IF('Unit Mix &amp; Comparables'!$AQ$51&lt;&gt;"",'Unit Mix &amp; Comparables'!$AQ$51,"")</f>
        <v/>
      </c>
      <c r="E150" s="299" t="str">
        <f aca="false">IF('Unit Mix &amp; Comparables'!$AR$51&lt;&gt;"",'Unit Mix &amp; Comparables'!$AR$51,"")</f>
        <v/>
      </c>
      <c r="F150" s="405" t="str">
        <f aca="false">IF('Unit Mix &amp; Comparables'!$AS$51&lt;&gt;"",'Unit Mix &amp; Comparables'!$AS$51,"")</f>
        <v/>
      </c>
      <c r="G150" s="301" t="str">
        <f aca="false">IF('Unit Mix &amp; Comparables'!$AT$51&lt;&gt;"",'Unit Mix &amp; Comparables'!$AT$51,"")</f>
        <v/>
      </c>
      <c r="H150" s="435" t="n">
        <f aca="false">IF('Unit Mix &amp; Comparables'!$AU$51&lt;&gt;"",'Unit Mix &amp; Comparables'!$AU$51,"")</f>
        <v>0</v>
      </c>
      <c r="I150" s="301" t="n">
        <f aca="false">'Unit Mix &amp; Comparables'!$AT$40</f>
        <v>0</v>
      </c>
      <c r="J150" s="301" t="str">
        <f aca="false">IFERROR(G150+I150,"")</f>
        <v/>
      </c>
      <c r="K150" s="435" t="str">
        <f aca="false">IFERROR(J150/F150,"")</f>
        <v/>
      </c>
      <c r="L150" s="341" t="n">
        <f aca="false">$AP$86</f>
        <v>0</v>
      </c>
      <c r="M150" s="316" t="str">
        <f aca="false">'Unit Mix &amp; Comparables'!$AU$48</f>
        <v>B</v>
      </c>
      <c r="N150" s="316" t="n">
        <f aca="false">'Unit Mix &amp; Comparables'!$AP$49</f>
        <v>0</v>
      </c>
      <c r="O150" s="303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9"/>
    </row>
    <row r="151" customFormat="false" ht="13.5" hidden="false" customHeight="true" outlineLevel="0" collapsed="false">
      <c r="B151" s="437" t="str">
        <f aca="false">CONCATENATE($C$6," Pro Forma")</f>
        <v>Riverhill TH Pro Forma</v>
      </c>
      <c r="C151" s="438" t="str">
        <f aca="false">IF('Unit Mix &amp; Comparables'!$C$34&lt;&gt;"",'Unit Mix &amp; Comparables'!$C$34,"")</f>
        <v/>
      </c>
      <c r="D151" s="439" t="str">
        <f aca="false">IF('Unit Mix &amp; Comparables'!$D$34&lt;&gt;"",'Unit Mix &amp; Comparables'!$D$34,"")</f>
        <v/>
      </c>
      <c r="E151" s="439" t="str">
        <f aca="false">IF('Unit Mix &amp; Comparables'!$E$34&lt;&gt;"",'Unit Mix &amp; Comparables'!$E$34,"")</f>
        <v/>
      </c>
      <c r="F151" s="438" t="str">
        <f aca="false">IF('Unit Mix &amp; Comparables'!$F$34&lt;&gt;"",'Unit Mix &amp; Comparables'!$F$34,"")</f>
        <v/>
      </c>
      <c r="G151" s="440" t="str">
        <f aca="false">IF('Unit Mix &amp; Comparables'!$G$34&lt;&gt;"",'Unit Mix &amp; Comparables'!$G$34,"")</f>
        <v/>
      </c>
      <c r="H151" s="441" t="n">
        <f aca="false">IF('Unit Mix &amp; Comparables'!$H$34&lt;&gt;"",'Unit Mix &amp; Comparables'!$H$34,"")</f>
        <v>0</v>
      </c>
      <c r="I151" s="440" t="n">
        <f aca="false">'Unit Mix &amp; Comparables'!$G$40</f>
        <v>0</v>
      </c>
      <c r="J151" s="440" t="str">
        <f aca="false">IFERROR(G151+I151,"")</f>
        <v/>
      </c>
      <c r="K151" s="441" t="str">
        <f aca="false">IFERROR(J151/F151,"")</f>
        <v/>
      </c>
      <c r="L151" s="442" t="n">
        <f aca="false">C43</f>
        <v>0</v>
      </c>
      <c r="M151" s="443" t="str">
        <f aca="false">'Unit Mix &amp; Comparables'!$H$6</f>
        <v>B</v>
      </c>
      <c r="N151" s="443" t="n">
        <f aca="false">'Unit Mix &amp; Comparables'!$C$7</f>
        <v>1982</v>
      </c>
      <c r="O151" s="303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9"/>
    </row>
    <row r="152" customFormat="false" ht="13.5" hidden="false" customHeight="true" outlineLevel="0" collapsed="false">
      <c r="B152" s="444" t="str">
        <f aca="false">CONCATENATE($I$6," Current")</f>
        <v>Riverhill TH Current</v>
      </c>
      <c r="C152" s="445" t="str">
        <f aca="false">IF('Unit Mix &amp; Comparables'!$I$34&lt;&gt;"",'Unit Mix &amp; Comparables'!$I$34,"")</f>
        <v/>
      </c>
      <c r="D152" s="446" t="str">
        <f aca="false">IF('Unit Mix &amp; Comparables'!$J$34&lt;&gt;"",'Unit Mix &amp; Comparables'!$J$34,"")</f>
        <v/>
      </c>
      <c r="E152" s="446" t="str">
        <f aca="false">IF('Unit Mix &amp; Comparables'!$K$34&lt;&gt;"",'Unit Mix &amp; Comparables'!$K$34,"")</f>
        <v/>
      </c>
      <c r="F152" s="445" t="str">
        <f aca="false">IF('Unit Mix &amp; Comparables'!$L$34&lt;&gt;"",'Unit Mix &amp; Comparables'!$L$34,"")</f>
        <v/>
      </c>
      <c r="G152" s="447" t="str">
        <f aca="false">IF('Unit Mix &amp; Comparables'!$M$34&lt;&gt;"",'Unit Mix &amp; Comparables'!$M$34,"")</f>
        <v/>
      </c>
      <c r="H152" s="448" t="n">
        <f aca="false">IF('Unit Mix &amp; Comparables'!$N$34&lt;&gt;"",'Unit Mix &amp; Comparables'!$N$34,"")</f>
        <v>0</v>
      </c>
      <c r="I152" s="447" t="n">
        <f aca="false">'Unit Mix &amp; Comparables'!$M$40</f>
        <v>0</v>
      </c>
      <c r="J152" s="447" t="str">
        <f aca="false">IFERROR(G152+I152,"")</f>
        <v/>
      </c>
      <c r="K152" s="448" t="str">
        <f aca="false">IFERROR(J152/F152,"")</f>
        <v/>
      </c>
      <c r="L152" s="449" t="n">
        <f aca="false">$I$43</f>
        <v>0</v>
      </c>
      <c r="M152" s="450" t="str">
        <f aca="false">'Unit Mix &amp; Comparables'!$H$6</f>
        <v>B</v>
      </c>
      <c r="N152" s="450" t="n">
        <f aca="false">'Unit Mix &amp; Comparables'!$C$7</f>
        <v>1982</v>
      </c>
      <c r="O152" s="303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9"/>
    </row>
    <row r="153" customFormat="false" ht="13.5" hidden="false" customHeight="true" outlineLevel="0" collapsed="false">
      <c r="B153" s="434" t="str">
        <f aca="false">$X$6</f>
        <v>Riverside Manor</v>
      </c>
      <c r="C153" s="405" t="n">
        <f aca="false">IF('Unit Mix &amp; Comparables'!$X10&lt;&gt;"",'Unit Mix &amp; Comparables'!$X10,"")</f>
        <v>25</v>
      </c>
      <c r="D153" s="299" t="n">
        <f aca="false">IF('Unit Mix &amp; Comparables'!$Y10&lt;&gt;"",'Unit Mix &amp; Comparables'!$Y10,"")</f>
        <v>1</v>
      </c>
      <c r="E153" s="299" t="n">
        <f aca="false">IF('Unit Mix &amp; Comparables'!$Z10&lt;&gt;"",'Unit Mix &amp; Comparables'!$Z10,"")</f>
        <v>1</v>
      </c>
      <c r="F153" s="405" t="n">
        <f aca="false">IF('Unit Mix &amp; Comparables'!$AA10&lt;&gt;"",'Unit Mix &amp; Comparables'!$AA10,"")</f>
        <v>620</v>
      </c>
      <c r="G153" s="301" t="n">
        <f aca="false">IF('Unit Mix &amp; Comparables'!$AB10&lt;&gt;"",'Unit Mix &amp; Comparables'!$AB10,"")</f>
        <v>380</v>
      </c>
      <c r="H153" s="435" t="n">
        <f aca="false">IF('Unit Mix &amp; Comparables'!$AC10&lt;&gt;"",'Unit Mix &amp; Comparables'!$AC10,"")</f>
        <v>0.612903225806452</v>
      </c>
      <c r="I153" s="301" t="n">
        <f aca="false">'Unit Mix &amp; Comparables'!$AB$40</f>
        <v>0</v>
      </c>
      <c r="J153" s="301" t="n">
        <f aca="false">IFERROR(G153+I153,"")</f>
        <v>380</v>
      </c>
      <c r="K153" s="435" t="n">
        <f aca="false">IFERROR(J153/F153,"")</f>
        <v>0.612903225806452</v>
      </c>
      <c r="L153" s="341" t="n">
        <f aca="false">X125</f>
        <v>0</v>
      </c>
      <c r="M153" s="316" t="str">
        <f aca="false">'Unit Mix &amp; Comparables'!$W$6</f>
        <v>B</v>
      </c>
      <c r="N153" s="316" t="n">
        <f aca="false">$X$7</f>
        <v>1985</v>
      </c>
      <c r="O153" s="303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9"/>
    </row>
    <row r="154" customFormat="false" ht="15" hidden="false" customHeight="true" outlineLevel="0" collapsed="false">
      <c r="B154" s="434" t="str">
        <f aca="false">$AV$6</f>
        <v>Camellia Trace</v>
      </c>
      <c r="C154" s="405" t="n">
        <f aca="false">IF('Unit Mix &amp; Comparables'!$AV9&lt;&gt;"",'Unit Mix &amp; Comparables'!$AV9,"")</f>
        <v>25</v>
      </c>
      <c r="D154" s="299" t="n">
        <f aca="false">IF('Unit Mix &amp; Comparables'!$AW$9&lt;&gt;"",'Unit Mix &amp; Comparables'!$AW$9,"")</f>
        <v>1</v>
      </c>
      <c r="E154" s="299" t="n">
        <f aca="false">IF('Unit Mix &amp; Comparables'!$AX$9&lt;&gt;"",'Unit Mix &amp; Comparables'!$AX$9,"")</f>
        <v>1</v>
      </c>
      <c r="F154" s="405" t="n">
        <f aca="false">IF('Unit Mix &amp; Comparables'!$AY$9&lt;&gt;"",'Unit Mix &amp; Comparables'!$AY$9,"")</f>
        <v>671</v>
      </c>
      <c r="G154" s="301" t="n">
        <f aca="false">IF('Unit Mix &amp; Comparables'!$AZ$9&lt;&gt;"",'Unit Mix &amp; Comparables'!$AZ$9,"")</f>
        <v>776</v>
      </c>
      <c r="H154" s="435" t="n">
        <f aca="false">IF('Unit Mix &amp; Comparables'!$BA$9&lt;&gt;"",'Unit Mix &amp; Comparables'!$BA$9,"")</f>
        <v>1.15648286140089</v>
      </c>
      <c r="I154" s="301" t="n">
        <f aca="false">'Unit Mix &amp; Comparables'!$AZ$40</f>
        <v>0</v>
      </c>
      <c r="J154" s="301" t="n">
        <f aca="false">IFERROR(G154+I154,"")</f>
        <v>776</v>
      </c>
      <c r="K154" s="435" t="n">
        <f aca="false">IFERROR(J154/F154,"")</f>
        <v>1.15648286140089</v>
      </c>
      <c r="L154" s="341" t="n">
        <f aca="false">$AV$43</f>
        <v>0</v>
      </c>
      <c r="M154" s="316" t="str">
        <f aca="false">'Unit Mix &amp; Comparables'!$BA$6</f>
        <v>B</v>
      </c>
      <c r="N154" s="316" t="n">
        <f aca="false">'Unit Mix &amp; Comparables'!$AV$7</f>
        <v>2004</v>
      </c>
      <c r="O154" s="303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9"/>
    </row>
    <row r="155" customFormat="false" ht="13.5" hidden="true" customHeight="true" outlineLevel="0" collapsed="false">
      <c r="B155" s="434" t="str">
        <f aca="false">$R$6</f>
        <v>Johnathan's Ridge</v>
      </c>
      <c r="C155" s="405" t="str">
        <f aca="false">IF('Unit Mix &amp; Comparables'!$R14&lt;&gt;"",'Unit Mix &amp; Comparables'!$R14,"")</f>
        <v/>
      </c>
      <c r="D155" s="299" t="str">
        <f aca="false">IF('Unit Mix &amp; Comparables'!$S14&lt;&gt;"",'Unit Mix &amp; Comparables'!$S14,"")</f>
        <v/>
      </c>
      <c r="E155" s="299" t="str">
        <f aca="false">IF('Unit Mix &amp; Comparables'!$T14&lt;&gt;"",'Unit Mix &amp; Comparables'!$T14,"")</f>
        <v/>
      </c>
      <c r="F155" s="405" t="str">
        <f aca="false">IF('Unit Mix &amp; Comparables'!$U14&lt;&gt;"",'Unit Mix &amp; Comparables'!$U14,"")</f>
        <v/>
      </c>
      <c r="G155" s="301" t="str">
        <f aca="false">IF('Unit Mix &amp; Comparables'!$V14&lt;&gt;"",'Unit Mix &amp; Comparables'!$V14,"")</f>
        <v/>
      </c>
      <c r="H155" s="435" t="n">
        <f aca="false">IF('Unit Mix &amp; Comparables'!$W14&lt;&gt;"",'Unit Mix &amp; Comparables'!$W14,"")</f>
        <v>0</v>
      </c>
      <c r="I155" s="301" t="n">
        <f aca="false">'Unit Mix &amp; Comparables'!$V$40</f>
        <v>0</v>
      </c>
      <c r="J155" s="301" t="str">
        <f aca="false">IFERROR(G155+I155,"")</f>
        <v/>
      </c>
      <c r="K155" s="435" t="str">
        <f aca="false">IFERROR(J155/F155,"")</f>
        <v/>
      </c>
      <c r="L155" s="341" t="n">
        <f aca="false">$R$43</f>
        <v>0</v>
      </c>
      <c r="M155" s="316" t="str">
        <f aca="false">'Unit Mix &amp; Comparables'!$W$6</f>
        <v>B</v>
      </c>
      <c r="N155" s="316" t="n">
        <f aca="false">$R$7</f>
        <v>1982</v>
      </c>
      <c r="O155" s="303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9"/>
    </row>
    <row r="156" customFormat="false" ht="10.5" hidden="true" customHeight="true" outlineLevel="0" collapsed="false">
      <c r="B156" s="434" t="str">
        <f aca="false">$R$6</f>
        <v>Johnathan's Ridge</v>
      </c>
      <c r="C156" s="405" t="str">
        <f aca="false">IF('Unit Mix &amp; Comparables'!$R15&lt;&gt;"",'Unit Mix &amp; Comparables'!$R15,"")</f>
        <v/>
      </c>
      <c r="D156" s="299" t="str">
        <f aca="false">IF('Unit Mix &amp; Comparables'!$S15&lt;&gt;"",'Unit Mix &amp; Comparables'!$S15,"")</f>
        <v/>
      </c>
      <c r="E156" s="299" t="str">
        <f aca="false">IF('Unit Mix &amp; Comparables'!$T15&lt;&gt;"",'Unit Mix &amp; Comparables'!$T15,"")</f>
        <v/>
      </c>
      <c r="F156" s="405" t="str">
        <f aca="false">IF('Unit Mix &amp; Comparables'!$U15&lt;&gt;"",'Unit Mix &amp; Comparables'!$U15,"")</f>
        <v/>
      </c>
      <c r="G156" s="301" t="str">
        <f aca="false">IF('Unit Mix &amp; Comparables'!$V15&lt;&gt;"",'Unit Mix &amp; Comparables'!$V15,"")</f>
        <v/>
      </c>
      <c r="H156" s="435" t="n">
        <f aca="false">IF('Unit Mix &amp; Comparables'!$W15&lt;&gt;"",'Unit Mix &amp; Comparables'!$W15,"")</f>
        <v>0</v>
      </c>
      <c r="I156" s="301" t="n">
        <f aca="false">'Unit Mix &amp; Comparables'!$V$40</f>
        <v>0</v>
      </c>
      <c r="J156" s="301" t="str">
        <f aca="false">IFERROR(G156+I156,"")</f>
        <v/>
      </c>
      <c r="K156" s="435" t="str">
        <f aca="false">IFERROR(J156/F156,"")</f>
        <v/>
      </c>
      <c r="L156" s="341" t="n">
        <f aca="false">$R$43</f>
        <v>0</v>
      </c>
      <c r="M156" s="316" t="str">
        <f aca="false">'Unit Mix &amp; Comparables'!$W$6</f>
        <v>B</v>
      </c>
      <c r="N156" s="316" t="n">
        <f aca="false">$R$7</f>
        <v>1982</v>
      </c>
      <c r="O156" s="303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9"/>
    </row>
    <row r="157" customFormat="false" ht="12.75" hidden="true" customHeight="true" outlineLevel="0" collapsed="false">
      <c r="B157" s="434" t="str">
        <f aca="false">$R$6</f>
        <v>Johnathan's Ridge</v>
      </c>
      <c r="C157" s="405" t="str">
        <f aca="false">IF('Unit Mix &amp; Comparables'!$R16&lt;&gt;"",'Unit Mix &amp; Comparables'!$R16,"")</f>
        <v/>
      </c>
      <c r="D157" s="299" t="str">
        <f aca="false">IF('Unit Mix &amp; Comparables'!$S16&lt;&gt;"",'Unit Mix &amp; Comparables'!$S16,"")</f>
        <v/>
      </c>
      <c r="E157" s="299" t="str">
        <f aca="false">IF('Unit Mix &amp; Comparables'!$T16&lt;&gt;"",'Unit Mix &amp; Comparables'!$T16,"")</f>
        <v/>
      </c>
      <c r="F157" s="405" t="str">
        <f aca="false">IF('Unit Mix &amp; Comparables'!$U16&lt;&gt;"",'Unit Mix &amp; Comparables'!$U16,"")</f>
        <v/>
      </c>
      <c r="G157" s="301" t="str">
        <f aca="false">IF('Unit Mix &amp; Comparables'!$V16&lt;&gt;"",'Unit Mix &amp; Comparables'!$V16,"")</f>
        <v/>
      </c>
      <c r="H157" s="435" t="n">
        <f aca="false">IF('Unit Mix &amp; Comparables'!$W16&lt;&gt;"",'Unit Mix &amp; Comparables'!$W16,"")</f>
        <v>0</v>
      </c>
      <c r="I157" s="301" t="n">
        <f aca="false">'Unit Mix &amp; Comparables'!$V$40</f>
        <v>0</v>
      </c>
      <c r="J157" s="301" t="str">
        <f aca="false">IFERROR(G157+I157,"")</f>
        <v/>
      </c>
      <c r="K157" s="435" t="str">
        <f aca="false">IFERROR(J157/F157,"")</f>
        <v/>
      </c>
      <c r="L157" s="341" t="n">
        <f aca="false">$R$43</f>
        <v>0</v>
      </c>
      <c r="M157" s="316" t="str">
        <f aca="false">'Unit Mix &amp; Comparables'!$W$6</f>
        <v>B</v>
      </c>
      <c r="N157" s="316" t="n">
        <f aca="false">$R$7</f>
        <v>1982</v>
      </c>
      <c r="O157" s="303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9"/>
    </row>
    <row r="158" customFormat="false" ht="13.5" hidden="true" customHeight="true" outlineLevel="0" collapsed="false">
      <c r="B158" s="434" t="n">
        <f aca="false">AD128</f>
        <v>0</v>
      </c>
      <c r="C158" s="405" t="n">
        <f aca="false">IF('Unit Mix &amp; Comparables'!$AD51&lt;&gt;"",'Unit Mix &amp; Comparables'!$AD51,"")</f>
        <v>25</v>
      </c>
      <c r="D158" s="299" t="n">
        <f aca="false">IF('Unit Mix &amp; Comparables'!$AE$51&lt;&gt;"",'Unit Mix &amp; Comparables'!$AE$51,"")</f>
        <v>1</v>
      </c>
      <c r="E158" s="299" t="n">
        <f aca="false">IF('Unit Mix &amp; Comparables'!$AF$51&lt;&gt;"",'Unit Mix &amp; Comparables'!$AF$51,"")</f>
        <v>1</v>
      </c>
      <c r="F158" s="405" t="n">
        <f aca="false">IF('Unit Mix &amp; Comparables'!$AG$51&lt;&gt;"",'Unit Mix &amp; Comparables'!$AG$51,"")</f>
        <v>923</v>
      </c>
      <c r="G158" s="301" t="n">
        <f aca="false">IF('Unit Mix &amp; Comparables'!$AH$51&lt;&gt;"",'Unit Mix &amp; Comparables'!$AH$51,"")</f>
        <v>873</v>
      </c>
      <c r="H158" s="435" t="n">
        <f aca="false">IF('Unit Mix &amp; Comparables'!$AI$51&lt;&gt;"",'Unit Mix &amp; Comparables'!$AI$51,"")</f>
        <v>0.945828819068256</v>
      </c>
      <c r="I158" s="301" t="n">
        <f aca="false">'Unit Mix &amp; Comparables'!$AT$40</f>
        <v>0</v>
      </c>
      <c r="J158" s="301" t="n">
        <f aca="false">IFERROR(G158+I158,"")</f>
        <v>873</v>
      </c>
      <c r="K158" s="435" t="n">
        <f aca="false">IFERROR(J158/F158,"")</f>
        <v>0.945828819068256</v>
      </c>
      <c r="L158" s="341" t="n">
        <f aca="false">$AD$86</f>
        <v>0</v>
      </c>
      <c r="M158" s="316" t="str">
        <f aca="false">'Unit Mix &amp; Comparables'!$AI$48</f>
        <v>B</v>
      </c>
      <c r="N158" s="316" t="n">
        <f aca="false">'Unit Mix &amp; Comparables'!$AD$49</f>
        <v>2008</v>
      </c>
      <c r="O158" s="303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9"/>
    </row>
    <row r="159" customFormat="false" ht="13.5" hidden="false" customHeight="true" outlineLevel="0" collapsed="false">
      <c r="B159" s="444" t="str">
        <f aca="false">CONCATENATE($I$6," Current")</f>
        <v>Riverhill TH Current</v>
      </c>
      <c r="C159" s="445" t="str">
        <f aca="false">IF('Unit Mix &amp; Comparables'!$I$31&lt;&gt;"",'Unit Mix &amp; Comparables'!$I$31,"")</f>
        <v/>
      </c>
      <c r="D159" s="446" t="str">
        <f aca="false">IF('Unit Mix &amp; Comparables'!$J$31&lt;&gt;"",'Unit Mix &amp; Comparables'!$J$31,"")</f>
        <v/>
      </c>
      <c r="E159" s="446" t="str">
        <f aca="false">IF('Unit Mix &amp; Comparables'!$K$31&lt;&gt;"",'Unit Mix &amp; Comparables'!$K$31,"")</f>
        <v/>
      </c>
      <c r="F159" s="445" t="str">
        <f aca="false">IF('Unit Mix &amp; Comparables'!$L$31&lt;&gt;"",'Unit Mix &amp; Comparables'!$L$31,"")</f>
        <v/>
      </c>
      <c r="G159" s="447" t="str">
        <f aca="false">IF('Unit Mix &amp; Comparables'!$M$31&lt;&gt;"",'Unit Mix &amp; Comparables'!$M$31,"")</f>
        <v/>
      </c>
      <c r="H159" s="448" t="n">
        <f aca="false">IF('Unit Mix &amp; Comparables'!$N$31&lt;&gt;"",'Unit Mix &amp; Comparables'!$N$31,"")</f>
        <v>0</v>
      </c>
      <c r="I159" s="447" t="n">
        <f aca="false">'Unit Mix &amp; Comparables'!$M$40</f>
        <v>0</v>
      </c>
      <c r="J159" s="447" t="str">
        <f aca="false">IFERROR(G159+I159,"")</f>
        <v/>
      </c>
      <c r="K159" s="448" t="str">
        <f aca="false">IFERROR(J159/F159,"")</f>
        <v/>
      </c>
      <c r="L159" s="449" t="n">
        <f aca="false">$I$43</f>
        <v>0</v>
      </c>
      <c r="M159" s="450" t="str">
        <f aca="false">'Unit Mix &amp; Comparables'!$H$6</f>
        <v>B</v>
      </c>
      <c r="N159" s="450" t="n">
        <f aca="false">'Unit Mix &amp; Comparables'!$C$7</f>
        <v>1982</v>
      </c>
      <c r="O159" s="303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9"/>
    </row>
    <row r="160" customFormat="false" ht="13.5" hidden="true" customHeight="true" outlineLevel="0" collapsed="false">
      <c r="B160" s="434" t="str">
        <f aca="false">$AJ$6</f>
        <v>Riverside South</v>
      </c>
      <c r="C160" s="405" t="str">
        <f aca="false">IF('Unit Mix &amp; Comparables'!$AJ16&lt;&gt;"",'Unit Mix &amp; Comparables'!$AJ16,"")</f>
        <v/>
      </c>
      <c r="D160" s="299" t="str">
        <f aca="false">IF('Unit Mix &amp; Comparables'!$AK16&lt;&gt;"",'Unit Mix &amp; Comparables'!$AK16,"")</f>
        <v/>
      </c>
      <c r="E160" s="299" t="str">
        <f aca="false">IF('Unit Mix &amp; Comparables'!$AL16&lt;&gt;"",'Unit Mix &amp; Comparables'!$AL16,"")</f>
        <v/>
      </c>
      <c r="F160" s="405" t="str">
        <f aca="false">IF('Unit Mix &amp; Comparables'!$AM16&lt;&gt;"",'Unit Mix &amp; Comparables'!$AM16,"")</f>
        <v/>
      </c>
      <c r="G160" s="301" t="str">
        <f aca="false">IF('Unit Mix &amp; Comparables'!$AN16&lt;&gt;"",'Unit Mix &amp; Comparables'!$AN16,"")</f>
        <v/>
      </c>
      <c r="H160" s="435" t="n">
        <f aca="false">IF('Unit Mix &amp; Comparables'!$AO16&lt;&gt;"",'Unit Mix &amp; Comparables'!$AO16,"")</f>
        <v>0</v>
      </c>
      <c r="I160" s="301" t="n">
        <f aca="false">'Unit Mix &amp; Comparables'!$V$40</f>
        <v>0</v>
      </c>
      <c r="J160" s="301" t="str">
        <f aca="false">IFERROR(G160+I160,"")</f>
        <v/>
      </c>
      <c r="K160" s="435" t="str">
        <f aca="false">IFERROR(J160/F160,"")</f>
        <v/>
      </c>
      <c r="L160" s="341" t="n">
        <f aca="false">$AV$43</f>
        <v>0</v>
      </c>
      <c r="M160" s="316" t="str">
        <f aca="false">'Unit Mix &amp; Comparables'!$AO$6</f>
        <v>B</v>
      </c>
      <c r="N160" s="316" t="n">
        <f aca="false">$AJ$7</f>
        <v>1988</v>
      </c>
      <c r="O160" s="303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9"/>
    </row>
    <row r="161" customFormat="false" ht="13.5" hidden="true" customHeight="true" outlineLevel="0" collapsed="false">
      <c r="B161" s="434" t="str">
        <f aca="false">$R$6</f>
        <v>Johnathan's Ridge</v>
      </c>
      <c r="C161" s="405" t="str">
        <f aca="false">IF('Unit Mix &amp; Comparables'!$R17&lt;&gt;"",'Unit Mix &amp; Comparables'!$R17,"")</f>
        <v/>
      </c>
      <c r="D161" s="299" t="str">
        <f aca="false">IF('Unit Mix &amp; Comparables'!$S17&lt;&gt;"",'Unit Mix &amp; Comparables'!$S17,"")</f>
        <v/>
      </c>
      <c r="E161" s="299" t="str">
        <f aca="false">IF('Unit Mix &amp; Comparables'!$T17&lt;&gt;"",'Unit Mix &amp; Comparables'!$T17,"")</f>
        <v/>
      </c>
      <c r="F161" s="405" t="str">
        <f aca="false">IF('Unit Mix &amp; Comparables'!$U17&lt;&gt;"",'Unit Mix &amp; Comparables'!$U17,"")</f>
        <v/>
      </c>
      <c r="G161" s="301" t="str">
        <f aca="false">IF('Unit Mix &amp; Comparables'!$V17&lt;&gt;"",'Unit Mix &amp; Comparables'!$V17,"")</f>
        <v/>
      </c>
      <c r="H161" s="435" t="n">
        <f aca="false">IF('Unit Mix &amp; Comparables'!$W17&lt;&gt;"",'Unit Mix &amp; Comparables'!$W17,"")</f>
        <v>0</v>
      </c>
      <c r="I161" s="301" t="n">
        <f aca="false">'Unit Mix &amp; Comparables'!$V$40</f>
        <v>0</v>
      </c>
      <c r="J161" s="301" t="str">
        <f aca="false">IFERROR(G161+I161,"")</f>
        <v/>
      </c>
      <c r="K161" s="435" t="str">
        <f aca="false">IFERROR(J161/F161,"")</f>
        <v/>
      </c>
      <c r="L161" s="341" t="n">
        <f aca="false">$R$43</f>
        <v>0</v>
      </c>
      <c r="M161" s="316" t="str">
        <f aca="false">'Unit Mix &amp; Comparables'!$W$6</f>
        <v>B</v>
      </c>
      <c r="N161" s="316" t="n">
        <f aca="false">$R$7</f>
        <v>1982</v>
      </c>
      <c r="O161" s="303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9"/>
    </row>
    <row r="162" customFormat="false" ht="13.5" hidden="false" customHeight="true" outlineLevel="0" collapsed="false">
      <c r="B162" s="437" t="str">
        <f aca="false">CONCATENATE($C$6," Pro Forma")</f>
        <v>Riverhill TH Pro Forma</v>
      </c>
      <c r="C162" s="438" t="str">
        <f aca="false">IF('Unit Mix &amp; Comparables'!$C$23&lt;&gt;"",'Unit Mix &amp; Comparables'!$C$23,"")</f>
        <v/>
      </c>
      <c r="D162" s="439" t="str">
        <f aca="false">IF('Unit Mix &amp; Comparables'!$D$23&lt;&gt;"",'Unit Mix &amp; Comparables'!$D$23,"")</f>
        <v/>
      </c>
      <c r="E162" s="439" t="str">
        <f aca="false">IF('Unit Mix &amp; Comparables'!$E$23&lt;&gt;"",'Unit Mix &amp; Comparables'!$E$23,"")</f>
        <v/>
      </c>
      <c r="F162" s="438" t="str">
        <f aca="false">IF('Unit Mix &amp; Comparables'!$F$23&lt;&gt;"",'Unit Mix &amp; Comparables'!$F$23,"")</f>
        <v/>
      </c>
      <c r="G162" s="440" t="str">
        <f aca="false">IF('Unit Mix &amp; Comparables'!$G$23&lt;&gt;"",'Unit Mix &amp; Comparables'!$G$23,"")</f>
        <v/>
      </c>
      <c r="H162" s="441" t="n">
        <f aca="false">IF('Unit Mix &amp; Comparables'!$H$23&lt;&gt;"",'Unit Mix &amp; Comparables'!$H$23,"")</f>
        <v>0</v>
      </c>
      <c r="I162" s="440" t="n">
        <f aca="false">'Unit Mix &amp; Comparables'!$G$40</f>
        <v>0</v>
      </c>
      <c r="J162" s="440" t="str">
        <f aca="false">IFERROR(G162+I162,"")</f>
        <v/>
      </c>
      <c r="K162" s="441" t="str">
        <f aca="false">IFERROR(J162/F162,"")</f>
        <v/>
      </c>
      <c r="L162" s="442" t="n">
        <f aca="false">C43</f>
        <v>0</v>
      </c>
      <c r="M162" s="443" t="str">
        <f aca="false">'Unit Mix &amp; Comparables'!$H$6</f>
        <v>B</v>
      </c>
      <c r="N162" s="443" t="n">
        <f aca="false">'Unit Mix &amp; Comparables'!$C$7</f>
        <v>1982</v>
      </c>
      <c r="O162" s="303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9"/>
    </row>
    <row r="163" customFormat="false" ht="13.5" hidden="true" customHeight="true" outlineLevel="0" collapsed="false">
      <c r="B163" s="434" t="str">
        <f aca="false">$AJ$6</f>
        <v>Riverside South</v>
      </c>
      <c r="C163" s="405" t="str">
        <f aca="false">IF('Unit Mix &amp; Comparables'!$AJ15&lt;&gt;"",'Unit Mix &amp; Comparables'!$AJ15,"")</f>
        <v/>
      </c>
      <c r="D163" s="299" t="str">
        <f aca="false">IF('Unit Mix &amp; Comparables'!$AK15&lt;&gt;"",'Unit Mix &amp; Comparables'!$AK15,"")</f>
        <v/>
      </c>
      <c r="E163" s="299" t="str">
        <f aca="false">IF('Unit Mix &amp; Comparables'!$AL15&lt;&gt;"",'Unit Mix &amp; Comparables'!$AL15,"")</f>
        <v/>
      </c>
      <c r="F163" s="405" t="str">
        <f aca="false">IF('Unit Mix &amp; Comparables'!$AM15&lt;&gt;"",'Unit Mix &amp; Comparables'!$AM15,"")</f>
        <v/>
      </c>
      <c r="G163" s="301" t="str">
        <f aca="false">IF('Unit Mix &amp; Comparables'!$AN15&lt;&gt;"",'Unit Mix &amp; Comparables'!$AN15,"")</f>
        <v/>
      </c>
      <c r="H163" s="435" t="n">
        <f aca="false">IF('Unit Mix &amp; Comparables'!$AO15&lt;&gt;"",'Unit Mix &amp; Comparables'!$AO15,"")</f>
        <v>0</v>
      </c>
      <c r="I163" s="301" t="n">
        <f aca="false">'Unit Mix &amp; Comparables'!$V$40</f>
        <v>0</v>
      </c>
      <c r="J163" s="301" t="str">
        <f aca="false">IFERROR(G163+I163,"")</f>
        <v/>
      </c>
      <c r="K163" s="435" t="str">
        <f aca="false">IFERROR(J163/F163,"")</f>
        <v/>
      </c>
      <c r="L163" s="341" t="n">
        <f aca="false">$AV$43</f>
        <v>0</v>
      </c>
      <c r="M163" s="316" t="str">
        <f aca="false">'Unit Mix &amp; Comparables'!$AO$6</f>
        <v>B</v>
      </c>
      <c r="N163" s="316" t="n">
        <f aca="false">$AJ$7</f>
        <v>1988</v>
      </c>
      <c r="O163" s="303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9"/>
    </row>
    <row r="164" customFormat="false" ht="13.5" hidden="false" customHeight="true" outlineLevel="0" collapsed="false">
      <c r="B164" s="434" t="str">
        <f aca="false">$AP$6</f>
        <v>Country View</v>
      </c>
      <c r="C164" s="405" t="str">
        <f aca="false">IF('Unit Mix &amp; Comparables'!$AP22&lt;&gt;"",'Unit Mix &amp; Comparables'!$AP22,"")</f>
        <v/>
      </c>
      <c r="D164" s="299" t="str">
        <f aca="false">IF('Unit Mix &amp; Comparables'!$AQ$22&lt;&gt;"",'Unit Mix &amp; Comparables'!$AQ$22,"")</f>
        <v/>
      </c>
      <c r="E164" s="299" t="str">
        <f aca="false">IF('Unit Mix &amp; Comparables'!$AR$22&lt;&gt;"",'Unit Mix &amp; Comparables'!$AR$22,"")</f>
        <v/>
      </c>
      <c r="F164" s="405" t="str">
        <f aca="false">IF('Unit Mix &amp; Comparables'!$AS$22&lt;&gt;"",'Unit Mix &amp; Comparables'!$AS$22,"")</f>
        <v/>
      </c>
      <c r="G164" s="301" t="str">
        <f aca="false">IF('Unit Mix &amp; Comparables'!$AT$22&lt;&gt;"",'Unit Mix &amp; Comparables'!$AT$22,"")</f>
        <v/>
      </c>
      <c r="H164" s="435" t="n">
        <f aca="false">IF('Unit Mix &amp; Comparables'!$AU$22&lt;&gt;"",'Unit Mix &amp; Comparables'!$AU$22,"")</f>
        <v>0</v>
      </c>
      <c r="I164" s="301" t="n">
        <f aca="false">'Unit Mix &amp; Comparables'!$AT$40</f>
        <v>0</v>
      </c>
      <c r="J164" s="301" t="str">
        <f aca="false">IFERROR(G164+I164,"")</f>
        <v/>
      </c>
      <c r="K164" s="435" t="str">
        <f aca="false">IFERROR(J164/F164,"")</f>
        <v/>
      </c>
      <c r="L164" s="341" t="n">
        <f aca="false">$AP$43</f>
        <v>0</v>
      </c>
      <c r="M164" s="316" t="str">
        <f aca="false">'Unit Mix &amp; Comparables'!$AU$6</f>
        <v>B</v>
      </c>
      <c r="N164" s="316" t="n">
        <f aca="false">'Unit Mix &amp; Comparables'!$AP$7</f>
        <v>1993</v>
      </c>
      <c r="O164" s="303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9"/>
    </row>
    <row r="165" customFormat="false" ht="13.5" hidden="true" customHeight="true" outlineLevel="0" collapsed="false">
      <c r="B165" s="434" t="str">
        <f aca="false">$AJ$6</f>
        <v>Riverside South</v>
      </c>
      <c r="C165" s="405" t="str">
        <f aca="false">IF('Unit Mix &amp; Comparables'!$AJ14&lt;&gt;"",'Unit Mix &amp; Comparables'!$AJ14,"")</f>
        <v/>
      </c>
      <c r="D165" s="299" t="str">
        <f aca="false">IF('Unit Mix &amp; Comparables'!$AK14&lt;&gt;"",'Unit Mix &amp; Comparables'!$AK14,"")</f>
        <v/>
      </c>
      <c r="E165" s="299" t="str">
        <f aca="false">IF('Unit Mix &amp; Comparables'!$AL14&lt;&gt;"",'Unit Mix &amp; Comparables'!$AL14,"")</f>
        <v/>
      </c>
      <c r="F165" s="405" t="str">
        <f aca="false">IF('Unit Mix &amp; Comparables'!$AM14&lt;&gt;"",'Unit Mix &amp; Comparables'!$AM14,"")</f>
        <v/>
      </c>
      <c r="G165" s="301" t="str">
        <f aca="false">IF('Unit Mix &amp; Comparables'!$AN14&lt;&gt;"",'Unit Mix &amp; Comparables'!$AN14,"")</f>
        <v/>
      </c>
      <c r="H165" s="435" t="n">
        <f aca="false">IF('Unit Mix &amp; Comparables'!$AO14&lt;&gt;"",'Unit Mix &amp; Comparables'!$AO14,"")</f>
        <v>0</v>
      </c>
      <c r="I165" s="301" t="n">
        <f aca="false">'Unit Mix &amp; Comparables'!$V$40</f>
        <v>0</v>
      </c>
      <c r="J165" s="301" t="str">
        <f aca="false">IFERROR(G165+I165,"")</f>
        <v/>
      </c>
      <c r="K165" s="435" t="str">
        <f aca="false">IFERROR(J165/F165,"")</f>
        <v/>
      </c>
      <c r="L165" s="341" t="n">
        <f aca="false">$AV$43</f>
        <v>0</v>
      </c>
      <c r="M165" s="316" t="str">
        <f aca="false">'Unit Mix &amp; Comparables'!$AO$6</f>
        <v>B</v>
      </c>
      <c r="N165" s="316" t="n">
        <f aca="false">$AJ$7</f>
        <v>1988</v>
      </c>
      <c r="O165" s="303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9"/>
    </row>
    <row r="166" customFormat="false" ht="13.5" hidden="false" customHeight="true" outlineLevel="0" collapsed="false">
      <c r="B166" s="437" t="str">
        <f aca="false">CONCATENATE($C$6," Pro Forma")</f>
        <v>Riverhill TH Pro Forma</v>
      </c>
      <c r="C166" s="438" t="str">
        <f aca="false">IF('Unit Mix &amp; Comparables'!$C$25&lt;&gt;"",'Unit Mix &amp; Comparables'!$C$25,"")</f>
        <v/>
      </c>
      <c r="D166" s="439" t="str">
        <f aca="false">IF('Unit Mix &amp; Comparables'!$D$25&lt;&gt;"",'Unit Mix &amp; Comparables'!$D$25,"")</f>
        <v/>
      </c>
      <c r="E166" s="439" t="str">
        <f aca="false">IF('Unit Mix &amp; Comparables'!$E$25&lt;&gt;"",'Unit Mix &amp; Comparables'!$E$25,"")</f>
        <v/>
      </c>
      <c r="F166" s="438" t="str">
        <f aca="false">IF('Unit Mix &amp; Comparables'!$F$25&lt;&gt;"",'Unit Mix &amp; Comparables'!$F$25,"")</f>
        <v/>
      </c>
      <c r="G166" s="440" t="str">
        <f aca="false">IF('Unit Mix &amp; Comparables'!$G$25&lt;&gt;"",'Unit Mix &amp; Comparables'!$G$25,"")</f>
        <v/>
      </c>
      <c r="H166" s="441" t="n">
        <f aca="false">IF('Unit Mix &amp; Comparables'!$H$25&lt;&gt;"",'Unit Mix &amp; Comparables'!$H$25,"")</f>
        <v>0</v>
      </c>
      <c r="I166" s="440" t="n">
        <f aca="false">'Unit Mix &amp; Comparables'!$G$40</f>
        <v>0</v>
      </c>
      <c r="J166" s="440" t="str">
        <f aca="false">IFERROR(G166+I166,"")</f>
        <v/>
      </c>
      <c r="K166" s="441" t="str">
        <f aca="false">IFERROR(J166/F166,"")</f>
        <v/>
      </c>
      <c r="L166" s="442" t="n">
        <f aca="false">C43</f>
        <v>0</v>
      </c>
      <c r="M166" s="443" t="str">
        <f aca="false">'Unit Mix &amp; Comparables'!$H$6</f>
        <v>B</v>
      </c>
      <c r="N166" s="443" t="n">
        <f aca="false">'Unit Mix &amp; Comparables'!$C$7</f>
        <v>1982</v>
      </c>
      <c r="O166" s="303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9"/>
    </row>
    <row r="167" customFormat="false" ht="13.5" hidden="true" customHeight="true" outlineLevel="0" collapsed="false">
      <c r="B167" s="434" t="str">
        <f aca="false">$AV$6</f>
        <v>Camellia Trace</v>
      </c>
      <c r="C167" s="405" t="str">
        <f aca="false">IF('Unit Mix &amp; Comparables'!$AV18&lt;&gt;"",'Unit Mix &amp; Comparables'!$AV18,"")</f>
        <v/>
      </c>
      <c r="D167" s="299" t="str">
        <f aca="false">IF('Unit Mix &amp; Comparables'!$AW$18&lt;&gt;"",'Unit Mix &amp; Comparables'!$AW$18,"")</f>
        <v/>
      </c>
      <c r="E167" s="299" t="str">
        <f aca="false">IF('Unit Mix &amp; Comparables'!$AX$18&lt;&gt;"",'Unit Mix &amp; Comparables'!$AX$18,"")</f>
        <v/>
      </c>
      <c r="F167" s="405" t="str">
        <f aca="false">IF('Unit Mix &amp; Comparables'!$AY$18&lt;&gt;"",'Unit Mix &amp; Comparables'!$AY$18,"")</f>
        <v/>
      </c>
      <c r="G167" s="301" t="str">
        <f aca="false">IF('Unit Mix &amp; Comparables'!$AZ$18&lt;&gt;"",'Unit Mix &amp; Comparables'!$AZ$18,"")</f>
        <v/>
      </c>
      <c r="H167" s="435" t="n">
        <f aca="false">IF('Unit Mix &amp; Comparables'!$BA$18&lt;&gt;"",'Unit Mix &amp; Comparables'!$BA$18,"")</f>
        <v>0</v>
      </c>
      <c r="I167" s="301" t="n">
        <f aca="false">'Unit Mix &amp; Comparables'!$AZ$40</f>
        <v>0</v>
      </c>
      <c r="J167" s="301" t="str">
        <f aca="false">IFERROR(G167+I167,"")</f>
        <v/>
      </c>
      <c r="K167" s="435" t="str">
        <f aca="false">IFERROR(J167/F167,"")</f>
        <v/>
      </c>
      <c r="L167" s="341" t="n">
        <f aca="false">$AV$43</f>
        <v>0</v>
      </c>
      <c r="M167" s="316" t="str">
        <f aca="false">'Unit Mix &amp; Comparables'!$BA$6</f>
        <v>B</v>
      </c>
      <c r="N167" s="316" t="n">
        <f aca="false">'Unit Mix &amp; Comparables'!$AV$7</f>
        <v>2004</v>
      </c>
      <c r="O167" s="303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9"/>
    </row>
    <row r="168" customFormat="false" ht="13.5" hidden="true" customHeight="true" outlineLevel="0" collapsed="false">
      <c r="B168" s="434" t="str">
        <f aca="false">$AV$6</f>
        <v>Camellia Trace</v>
      </c>
      <c r="C168" s="405" t="str">
        <f aca="false">IF('Unit Mix &amp; Comparables'!$AV19&lt;&gt;"",'Unit Mix &amp; Comparables'!$AV19,"")</f>
        <v/>
      </c>
      <c r="D168" s="299" t="str">
        <f aca="false">IF('Unit Mix &amp; Comparables'!$AW$19&lt;&gt;"",'Unit Mix &amp; Comparables'!$AW$19,"")</f>
        <v/>
      </c>
      <c r="E168" s="299" t="str">
        <f aca="false">IF('Unit Mix &amp; Comparables'!$AX$19&lt;&gt;"",'Unit Mix &amp; Comparables'!$AX$19,"")</f>
        <v/>
      </c>
      <c r="F168" s="405" t="str">
        <f aca="false">IF('Unit Mix &amp; Comparables'!$AY$19&lt;&gt;"",'Unit Mix &amp; Comparables'!$AY$19,"")</f>
        <v/>
      </c>
      <c r="G168" s="301" t="str">
        <f aca="false">IF('Unit Mix &amp; Comparables'!$AZ$19&lt;&gt;"",'Unit Mix &amp; Comparables'!$AZ$19,"")</f>
        <v/>
      </c>
      <c r="H168" s="435" t="n">
        <f aca="false">IF('Unit Mix &amp; Comparables'!$BA$19&lt;&gt;"",'Unit Mix &amp; Comparables'!$BA$19,"")</f>
        <v>0</v>
      </c>
      <c r="I168" s="301" t="n">
        <f aca="false">'Unit Mix &amp; Comparables'!$AZ$40</f>
        <v>0</v>
      </c>
      <c r="J168" s="301" t="str">
        <f aca="false">IFERROR(G168+I168,"")</f>
        <v/>
      </c>
      <c r="K168" s="435" t="str">
        <f aca="false">IFERROR(J168/F168,"")</f>
        <v/>
      </c>
      <c r="L168" s="341" t="n">
        <f aca="false">$AV$43</f>
        <v>0</v>
      </c>
      <c r="M168" s="316" t="str">
        <f aca="false">'Unit Mix &amp; Comparables'!$BA$6</f>
        <v>B</v>
      </c>
      <c r="N168" s="316" t="n">
        <f aca="false">'Unit Mix &amp; Comparables'!$AV$7</f>
        <v>2004</v>
      </c>
      <c r="O168" s="303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9"/>
    </row>
    <row r="169" customFormat="false" ht="13.5" hidden="true" customHeight="true" outlineLevel="0" collapsed="false">
      <c r="B169" s="434" t="n">
        <f aca="false">AJ131</f>
        <v>0</v>
      </c>
      <c r="C169" s="405" t="str">
        <f aca="false">IF('Unit Mix &amp; Comparables'!$AJ53&lt;&gt;"",'Unit Mix &amp; Comparables'!$AJ53,"")</f>
        <v/>
      </c>
      <c r="D169" s="299" t="str">
        <f aca="false">IF('Unit Mix &amp; Comparables'!$AK$53&lt;&gt;"",'Unit Mix &amp; Comparables'!$AK$53,"")</f>
        <v/>
      </c>
      <c r="E169" s="299" t="str">
        <f aca="false">IF('Unit Mix &amp; Comparables'!$AL$53&lt;&gt;"",'Unit Mix &amp; Comparables'!$AL$53,"")</f>
        <v/>
      </c>
      <c r="F169" s="405" t="str">
        <f aca="false">IF('Unit Mix &amp; Comparables'!$AM$53&lt;&gt;"",'Unit Mix &amp; Comparables'!$AM$53,"")</f>
        <v/>
      </c>
      <c r="G169" s="301" t="str">
        <f aca="false">IF('Unit Mix &amp; Comparables'!$AN$53&lt;&gt;"",'Unit Mix &amp; Comparables'!$AN$53,"")</f>
        <v/>
      </c>
      <c r="H169" s="435" t="n">
        <f aca="false">IF('Unit Mix &amp; Comparables'!$AO$53&lt;&gt;"",'Unit Mix &amp; Comparables'!$AO$53,"")</f>
        <v>0</v>
      </c>
      <c r="I169" s="301" t="n">
        <f aca="false">'Unit Mix &amp; Comparables'!$AT$40</f>
        <v>0</v>
      </c>
      <c r="J169" s="301" t="str">
        <f aca="false">IFERROR(G169+I169,"")</f>
        <v/>
      </c>
      <c r="K169" s="435" t="str">
        <f aca="false">IFERROR(J169/F169,"")</f>
        <v/>
      </c>
      <c r="L169" s="341" t="n">
        <f aca="false">$AJ$86</f>
        <v>0</v>
      </c>
      <c r="M169" s="316" t="str">
        <f aca="false">'Unit Mix &amp; Comparables'!$AO$48</f>
        <v>B</v>
      </c>
      <c r="N169" s="316" t="n">
        <f aca="false">'Unit Mix &amp; Comparables'!$AJ$49</f>
        <v>0</v>
      </c>
      <c r="O169" s="303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9"/>
    </row>
    <row r="170" customFormat="false" ht="13.5" hidden="true" customHeight="true" outlineLevel="0" collapsed="false">
      <c r="B170" s="434" t="str">
        <f aca="false">$BB$6</f>
        <v>Bridgeway</v>
      </c>
      <c r="C170" s="405" t="str">
        <f aca="false">IF('Unit Mix &amp; Comparables'!$BB12&lt;&gt;"",'Unit Mix &amp; Comparables'!$BB12,"")</f>
        <v/>
      </c>
      <c r="D170" s="299" t="str">
        <f aca="false">IF('Unit Mix &amp; Comparables'!$BC$13&lt;&gt;"",'Unit Mix &amp; Comparables'!$BC$13,"")</f>
        <v/>
      </c>
      <c r="E170" s="299" t="str">
        <f aca="false">IF('Unit Mix &amp; Comparables'!$BD$13&lt;&gt;"",'Unit Mix &amp; Comparables'!$BD$13,"")</f>
        <v/>
      </c>
      <c r="F170" s="405" t="str">
        <f aca="false">IF('Unit Mix &amp; Comparables'!$BE$13&lt;&gt;"",'Unit Mix &amp; Comparables'!$BE$13,"")</f>
        <v/>
      </c>
      <c r="G170" s="301" t="str">
        <f aca="false">IF('Unit Mix &amp; Comparables'!$BF$13&lt;&gt;"",'Unit Mix &amp; Comparables'!$BF$13,"")</f>
        <v/>
      </c>
      <c r="H170" s="435" t="n">
        <f aca="false">IF('Unit Mix &amp; Comparables'!$BG$13&lt;&gt;"",'Unit Mix &amp; Comparables'!$BG$13,"")</f>
        <v>0</v>
      </c>
      <c r="I170" s="301" t="n">
        <f aca="false">'Unit Mix &amp; Comparables'!$BF$40</f>
        <v>0</v>
      </c>
      <c r="J170" s="301" t="str">
        <f aca="false">IFERROR(G170+I170,"")</f>
        <v/>
      </c>
      <c r="K170" s="435" t="str">
        <f aca="false">IFERROR(J170/F170,"")</f>
        <v/>
      </c>
      <c r="L170" s="341" t="n">
        <f aca="false">$BB$43</f>
        <v>0</v>
      </c>
      <c r="M170" s="316" t="n">
        <f aca="false">'Unit Mix &amp; Comparables'!$BG$6</f>
        <v>0</v>
      </c>
      <c r="N170" s="316" t="n">
        <f aca="false">'Unit Mix &amp; Comparables'!$BB$7</f>
        <v>2012</v>
      </c>
      <c r="O170" s="303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9"/>
    </row>
    <row r="171" customFormat="false" ht="13.5" hidden="true" customHeight="true" outlineLevel="0" collapsed="false">
      <c r="B171" s="434" t="str">
        <f aca="false">$BB$6</f>
        <v>Bridgeway</v>
      </c>
      <c r="C171" s="405" t="str">
        <f aca="false">IF('Unit Mix &amp; Comparables'!$BB13&lt;&gt;"",'Unit Mix &amp; Comparables'!$BB13,"")</f>
        <v/>
      </c>
      <c r="D171" s="299" t="str">
        <f aca="false">IF('Unit Mix &amp; Comparables'!$BC$14&lt;&gt;"",'Unit Mix &amp; Comparables'!$BC$14,"")</f>
        <v/>
      </c>
      <c r="E171" s="299" t="str">
        <f aca="false">IF('Unit Mix &amp; Comparables'!$BD$14&lt;&gt;"",'Unit Mix &amp; Comparables'!$BD$14,"")</f>
        <v/>
      </c>
      <c r="F171" s="405" t="str">
        <f aca="false">IF('Unit Mix &amp; Comparables'!$BE$14&lt;&gt;"",'Unit Mix &amp; Comparables'!$BE$14,"")</f>
        <v/>
      </c>
      <c r="G171" s="301" t="str">
        <f aca="false">IF('Unit Mix &amp; Comparables'!$BF$14&lt;&gt;"",'Unit Mix &amp; Comparables'!$BF$14,"")</f>
        <v/>
      </c>
      <c r="H171" s="435" t="n">
        <f aca="false">IF('Unit Mix &amp; Comparables'!$BG$14&lt;&gt;"",'Unit Mix &amp; Comparables'!$BG$14,"")</f>
        <v>0</v>
      </c>
      <c r="I171" s="301" t="n">
        <f aca="false">'Unit Mix &amp; Comparables'!$BF$40</f>
        <v>0</v>
      </c>
      <c r="J171" s="301" t="str">
        <f aca="false">IFERROR(G171+I171,"")</f>
        <v/>
      </c>
      <c r="K171" s="435" t="str">
        <f aca="false">IFERROR(J171/F171,"")</f>
        <v/>
      </c>
      <c r="L171" s="341" t="n">
        <f aca="false">$BB$43</f>
        <v>0</v>
      </c>
      <c r="M171" s="316" t="n">
        <f aca="false">'Unit Mix &amp; Comparables'!$BG$6</f>
        <v>0</v>
      </c>
      <c r="N171" s="316" t="n">
        <f aca="false">'Unit Mix &amp; Comparables'!$BB$7</f>
        <v>2012</v>
      </c>
      <c r="O171" s="303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9"/>
    </row>
    <row r="172" customFormat="false" ht="13.5" hidden="true" customHeight="true" outlineLevel="0" collapsed="false">
      <c r="B172" s="434" t="str">
        <f aca="false">$BB$6</f>
        <v>Bridgeway</v>
      </c>
      <c r="C172" s="405" t="str">
        <f aca="false">IF('Unit Mix &amp; Comparables'!$BB14&lt;&gt;"",'Unit Mix &amp; Comparables'!$BB14,"")</f>
        <v/>
      </c>
      <c r="D172" s="299" t="str">
        <f aca="false">IF('Unit Mix &amp; Comparables'!$BC$12&lt;&gt;"",'Unit Mix &amp; Comparables'!$BC$12,"")</f>
        <v/>
      </c>
      <c r="E172" s="299" t="str">
        <f aca="false">IF('Unit Mix &amp; Comparables'!$BD$12&lt;&gt;"",'Unit Mix &amp; Comparables'!$BD$12,"")</f>
        <v/>
      </c>
      <c r="F172" s="405" t="str">
        <f aca="false">IF('Unit Mix &amp; Comparables'!$BE$12&lt;&gt;"",'Unit Mix &amp; Comparables'!$BE$12,"")</f>
        <v/>
      </c>
      <c r="G172" s="301" t="str">
        <f aca="false">IF('Unit Mix &amp; Comparables'!$BF$12&lt;&gt;"",'Unit Mix &amp; Comparables'!$BF$12,"")</f>
        <v/>
      </c>
      <c r="H172" s="435" t="n">
        <f aca="false">IF('Unit Mix &amp; Comparables'!$BG$12&lt;&gt;"",'Unit Mix &amp; Comparables'!$BG$12,"")</f>
        <v>0</v>
      </c>
      <c r="I172" s="301" t="n">
        <f aca="false">'Unit Mix &amp; Comparables'!$BF$40</f>
        <v>0</v>
      </c>
      <c r="J172" s="301" t="str">
        <f aca="false">IFERROR(G172+I172,"")</f>
        <v/>
      </c>
      <c r="K172" s="435" t="str">
        <f aca="false">IFERROR(J172/F172,"")</f>
        <v/>
      </c>
      <c r="L172" s="341" t="n">
        <f aca="false">$BB$43</f>
        <v>0</v>
      </c>
      <c r="M172" s="316" t="n">
        <f aca="false">'Unit Mix &amp; Comparables'!$BG$6</f>
        <v>0</v>
      </c>
      <c r="N172" s="316" t="n">
        <f aca="false">'Unit Mix &amp; Comparables'!$BB$7</f>
        <v>2012</v>
      </c>
      <c r="O172" s="303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9"/>
    </row>
    <row r="173" customFormat="false" ht="13.5" hidden="true" customHeight="true" outlineLevel="0" collapsed="false">
      <c r="B173" s="434" t="str">
        <f aca="false">$BB$6</f>
        <v>Bridgeway</v>
      </c>
      <c r="C173" s="405" t="str">
        <f aca="false">IF('Unit Mix &amp; Comparables'!$BB16&lt;&gt;"",'Unit Mix &amp; Comparables'!$BB16,"")</f>
        <v/>
      </c>
      <c r="D173" s="299" t="str">
        <f aca="false">IF('Unit Mix &amp; Comparables'!$BC$16&lt;&gt;"",'Unit Mix &amp; Comparables'!$BC$16,"")</f>
        <v/>
      </c>
      <c r="E173" s="299" t="str">
        <f aca="false">IF('Unit Mix &amp; Comparables'!$BD$16&lt;&gt;"",'Unit Mix &amp; Comparables'!$BD$16,"")</f>
        <v/>
      </c>
      <c r="F173" s="405" t="str">
        <f aca="false">IF('Unit Mix &amp; Comparables'!$BE$16&lt;&gt;"",'Unit Mix &amp; Comparables'!$BE$16,"")</f>
        <v/>
      </c>
      <c r="G173" s="301" t="str">
        <f aca="false">IF('Unit Mix &amp; Comparables'!$BF$16&lt;&gt;"",'Unit Mix &amp; Comparables'!$BF$16,"")</f>
        <v/>
      </c>
      <c r="H173" s="435" t="n">
        <f aca="false">IF('Unit Mix &amp; Comparables'!$BG$16&lt;&gt;"",'Unit Mix &amp; Comparables'!$BG$16,"")</f>
        <v>0</v>
      </c>
      <c r="I173" s="301" t="n">
        <f aca="false">'Unit Mix &amp; Comparables'!$BF$40</f>
        <v>0</v>
      </c>
      <c r="J173" s="301" t="str">
        <f aca="false">IFERROR(G173+I173,"")</f>
        <v/>
      </c>
      <c r="K173" s="435" t="str">
        <f aca="false">IFERROR(J173/F173,"")</f>
        <v/>
      </c>
      <c r="L173" s="341" t="n">
        <f aca="false">$BB$43</f>
        <v>0</v>
      </c>
      <c r="M173" s="316" t="n">
        <f aca="false">'Unit Mix &amp; Comparables'!$BG$6</f>
        <v>0</v>
      </c>
      <c r="N173" s="316" t="n">
        <f aca="false">'Unit Mix &amp; Comparables'!$BB$7</f>
        <v>2012</v>
      </c>
      <c r="O173" s="303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9"/>
    </row>
    <row r="174" customFormat="false" ht="13.5" hidden="false" customHeight="true" outlineLevel="0" collapsed="false">
      <c r="B174" s="434" t="str">
        <f aca="false">$AP$6</f>
        <v>Country View</v>
      </c>
      <c r="C174" s="405" t="str">
        <f aca="false">IF('Unit Mix &amp; Comparables'!$AP17&lt;&gt;"",'Unit Mix &amp; Comparables'!$AP17,"")</f>
        <v/>
      </c>
      <c r="D174" s="299" t="str">
        <f aca="false">IF('Unit Mix &amp; Comparables'!$AQ$17&lt;&gt;"",'Unit Mix &amp; Comparables'!$AQ$17,"")</f>
        <v/>
      </c>
      <c r="E174" s="299" t="str">
        <f aca="false">IF('Unit Mix &amp; Comparables'!$AR$17&lt;&gt;"",'Unit Mix &amp; Comparables'!$AR$17,"")</f>
        <v/>
      </c>
      <c r="F174" s="405" t="str">
        <f aca="false">IF('Unit Mix &amp; Comparables'!$AS$17&lt;&gt;"",'Unit Mix &amp; Comparables'!$AS$17,"")</f>
        <v/>
      </c>
      <c r="G174" s="301" t="str">
        <f aca="false">IF('Unit Mix &amp; Comparables'!$AT$17&lt;&gt;"",'Unit Mix &amp; Comparables'!$AT$17,"")</f>
        <v/>
      </c>
      <c r="H174" s="435" t="n">
        <f aca="false">IF('Unit Mix &amp; Comparables'!$AU$17&lt;&gt;"",'Unit Mix &amp; Comparables'!$AU$17,"")</f>
        <v>0</v>
      </c>
      <c r="I174" s="301" t="n">
        <f aca="false">'Unit Mix &amp; Comparables'!$AT$40</f>
        <v>0</v>
      </c>
      <c r="J174" s="301" t="str">
        <f aca="false">IFERROR(G174+I174,"")</f>
        <v/>
      </c>
      <c r="K174" s="435" t="str">
        <f aca="false">IFERROR(J174/F174,"")</f>
        <v/>
      </c>
      <c r="L174" s="341" t="n">
        <f aca="false">$AP$43</f>
        <v>0</v>
      </c>
      <c r="M174" s="316" t="str">
        <f aca="false">'Unit Mix &amp; Comparables'!$AU$6</f>
        <v>B</v>
      </c>
      <c r="N174" s="316" t="n">
        <f aca="false">'Unit Mix &amp; Comparables'!$AP$7</f>
        <v>1993</v>
      </c>
      <c r="O174" s="303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9"/>
    </row>
    <row r="175" customFormat="false" ht="13.5" hidden="true" customHeight="true" outlineLevel="0" collapsed="false">
      <c r="B175" s="434" t="str">
        <f aca="false">$BB$6</f>
        <v>Bridgeway</v>
      </c>
      <c r="C175" s="405" t="str">
        <f aca="false">IF('Unit Mix &amp; Comparables'!$BB15&lt;&gt;"",'Unit Mix &amp; Comparables'!$BB15,"")</f>
        <v/>
      </c>
      <c r="D175" s="299" t="str">
        <f aca="false">IF('Unit Mix &amp; Comparables'!$BC$15&lt;&gt;"",'Unit Mix &amp; Comparables'!$BC$15,"")</f>
        <v/>
      </c>
      <c r="E175" s="299" t="str">
        <f aca="false">IF('Unit Mix &amp; Comparables'!$BD$15&lt;&gt;"",'Unit Mix &amp; Comparables'!$BD$15,"")</f>
        <v/>
      </c>
      <c r="F175" s="405" t="str">
        <f aca="false">IF('Unit Mix &amp; Comparables'!$BE$15&lt;&gt;"",'Unit Mix &amp; Comparables'!$BE$15,"")</f>
        <v/>
      </c>
      <c r="G175" s="301" t="str">
        <f aca="false">IF('Unit Mix &amp; Comparables'!$BF$15&lt;&gt;"",'Unit Mix &amp; Comparables'!$BF$15,"")</f>
        <v/>
      </c>
      <c r="H175" s="435" t="n">
        <f aca="false">IF('Unit Mix &amp; Comparables'!$BG$15&lt;&gt;"",'Unit Mix &amp; Comparables'!$BG$15,"")</f>
        <v>0</v>
      </c>
      <c r="I175" s="301" t="n">
        <f aca="false">'Unit Mix &amp; Comparables'!$BF$40</f>
        <v>0</v>
      </c>
      <c r="J175" s="301" t="str">
        <f aca="false">IFERROR(G175+I175,"")</f>
        <v/>
      </c>
      <c r="K175" s="435" t="str">
        <f aca="false">IFERROR(J175/F175,"")</f>
        <v/>
      </c>
      <c r="L175" s="341" t="n">
        <f aca="false">$BB$43</f>
        <v>0</v>
      </c>
      <c r="M175" s="316" t="n">
        <f aca="false">'Unit Mix &amp; Comparables'!$BG$6</f>
        <v>0</v>
      </c>
      <c r="N175" s="316" t="n">
        <f aca="false">'Unit Mix &amp; Comparables'!$BB$7</f>
        <v>2012</v>
      </c>
      <c r="O175" s="303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9"/>
    </row>
    <row r="176" customFormat="false" ht="13.5" hidden="false" customHeight="true" outlineLevel="0" collapsed="false">
      <c r="B176" s="434" t="str">
        <f aca="false">$AD$6</f>
        <v>Windy Lakes</v>
      </c>
      <c r="C176" s="405" t="str">
        <f aca="false">IF('Unit Mix &amp; Comparables'!$AD11&lt;&gt;"",'Unit Mix &amp; Comparables'!$AD11,"")</f>
        <v/>
      </c>
      <c r="D176" s="299" t="str">
        <f aca="false">IF('Unit Mix &amp; Comparables'!$AE11&lt;&gt;"",'Unit Mix &amp; Comparables'!$AE11,"")</f>
        <v/>
      </c>
      <c r="E176" s="299" t="str">
        <f aca="false">IF('Unit Mix &amp; Comparables'!$AF11&lt;&gt;"",'Unit Mix &amp; Comparables'!$AF11,"")</f>
        <v/>
      </c>
      <c r="F176" s="405" t="str">
        <f aca="false">IF('Unit Mix &amp; Comparables'!$AG11&lt;&gt;"",'Unit Mix &amp; Comparables'!$AG11,"")</f>
        <v/>
      </c>
      <c r="G176" s="301" t="str">
        <f aca="false">IF('Unit Mix &amp; Comparables'!$AH11&lt;&gt;"",'Unit Mix &amp; Comparables'!$AH11,"")</f>
        <v/>
      </c>
      <c r="H176" s="435" t="n">
        <f aca="false">IF('Unit Mix &amp; Comparables'!$AI11&lt;&gt;"",'Unit Mix &amp; Comparables'!$AI11,"")</f>
        <v>0</v>
      </c>
      <c r="I176" s="301" t="n">
        <f aca="false">'Unit Mix &amp; Comparables'!$AH$40</f>
        <v>0</v>
      </c>
      <c r="J176" s="301" t="str">
        <f aca="false">IFERROR(G176+I176,"")</f>
        <v/>
      </c>
      <c r="K176" s="435" t="str">
        <f aca="false">IFERROR(J176/F176,"")</f>
        <v/>
      </c>
      <c r="L176" s="341" t="n">
        <f aca="false">$AD$43</f>
        <v>0</v>
      </c>
      <c r="M176" s="316" t="str">
        <f aca="false">'Unit Mix &amp; Comparables'!$AI$6</f>
        <v>B</v>
      </c>
      <c r="N176" s="316" t="n">
        <f aca="false">$AD$7</f>
        <v>1979</v>
      </c>
      <c r="O176" s="303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9"/>
    </row>
    <row r="177" customFormat="false" ht="13.5" hidden="true" customHeight="true" outlineLevel="0" collapsed="false">
      <c r="B177" s="434" t="str">
        <f aca="false">$BB$6</f>
        <v>Bridgeway</v>
      </c>
      <c r="C177" s="405" t="str">
        <f aca="false">IF('Unit Mix &amp; Comparables'!$BB17&lt;&gt;"",'Unit Mix &amp; Comparables'!$BB17,"")</f>
        <v/>
      </c>
      <c r="D177" s="299" t="str">
        <f aca="false">IF('Unit Mix &amp; Comparables'!$BC$17&lt;&gt;"",'Unit Mix &amp; Comparables'!$BC$17,"")</f>
        <v/>
      </c>
      <c r="E177" s="299" t="str">
        <f aca="false">IF('Unit Mix &amp; Comparables'!$BD$17&lt;&gt;"",'Unit Mix &amp; Comparables'!$BD$17,"")</f>
        <v/>
      </c>
      <c r="F177" s="405" t="str">
        <f aca="false">IF('Unit Mix &amp; Comparables'!$BE$17&lt;&gt;"",'Unit Mix &amp; Comparables'!$BE$17,"")</f>
        <v/>
      </c>
      <c r="G177" s="301" t="str">
        <f aca="false">IF('Unit Mix &amp; Comparables'!$BF$17&lt;&gt;"",'Unit Mix &amp; Comparables'!$BF$17,"")</f>
        <v/>
      </c>
      <c r="H177" s="435" t="n">
        <f aca="false">IF('Unit Mix &amp; Comparables'!$BG$17&lt;&gt;"",'Unit Mix &amp; Comparables'!$BG$17,"")</f>
        <v>0</v>
      </c>
      <c r="I177" s="301" t="n">
        <f aca="false">'Unit Mix &amp; Comparables'!$BF$40</f>
        <v>0</v>
      </c>
      <c r="J177" s="301" t="str">
        <f aca="false">IFERROR(G177+I177,"")</f>
        <v/>
      </c>
      <c r="K177" s="435" t="str">
        <f aca="false">IFERROR(J177/F177,"")</f>
        <v/>
      </c>
      <c r="L177" s="341" t="n">
        <f aca="false">$BB$43</f>
        <v>0</v>
      </c>
      <c r="M177" s="316" t="n">
        <f aca="false">'Unit Mix &amp; Comparables'!$BG$6</f>
        <v>0</v>
      </c>
      <c r="N177" s="316" t="n">
        <f aca="false">'Unit Mix &amp; Comparables'!$BB$7</f>
        <v>2012</v>
      </c>
      <c r="O177" s="303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9"/>
    </row>
    <row r="178" customFormat="false" ht="13.5" hidden="true" customHeight="true" outlineLevel="0" collapsed="false">
      <c r="B178" s="434" t="str">
        <f aca="false">$BB$6</f>
        <v>Bridgeway</v>
      </c>
      <c r="C178" s="405" t="str">
        <f aca="false">IF('Unit Mix &amp; Comparables'!$BB18&lt;&gt;"",'Unit Mix &amp; Comparables'!$BB18,"")</f>
        <v/>
      </c>
      <c r="D178" s="299" t="str">
        <f aca="false">IF('Unit Mix &amp; Comparables'!$BC$18&lt;&gt;"",'Unit Mix &amp; Comparables'!$BC$18,"")</f>
        <v/>
      </c>
      <c r="E178" s="299" t="str">
        <f aca="false">IF('Unit Mix &amp; Comparables'!$BD$18&lt;&gt;"",'Unit Mix &amp; Comparables'!$BD$18,"")</f>
        <v/>
      </c>
      <c r="F178" s="405" t="str">
        <f aca="false">IF('Unit Mix &amp; Comparables'!$BE$18&lt;&gt;"",'Unit Mix &amp; Comparables'!$BE$18,"")</f>
        <v/>
      </c>
      <c r="G178" s="301" t="str">
        <f aca="false">IF('Unit Mix &amp; Comparables'!$BF$18&lt;&gt;"",'Unit Mix &amp; Comparables'!$BF$18,"")</f>
        <v/>
      </c>
      <c r="H178" s="435" t="n">
        <f aca="false">IF('Unit Mix &amp; Comparables'!$BG$18&lt;&gt;"",'Unit Mix &amp; Comparables'!$BG$18,"")</f>
        <v>0</v>
      </c>
      <c r="I178" s="301" t="n">
        <f aca="false">'Unit Mix &amp; Comparables'!$BF$40</f>
        <v>0</v>
      </c>
      <c r="J178" s="301" t="str">
        <f aca="false">IFERROR(G178+I178,"")</f>
        <v/>
      </c>
      <c r="K178" s="435" t="str">
        <f aca="false">IFERROR(J178/F178,"")</f>
        <v/>
      </c>
      <c r="L178" s="341" t="n">
        <f aca="false">$BB$43</f>
        <v>0</v>
      </c>
      <c r="M178" s="316" t="n">
        <f aca="false">'Unit Mix &amp; Comparables'!$BG$6</f>
        <v>0</v>
      </c>
      <c r="N178" s="316" t="n">
        <f aca="false">'Unit Mix &amp; Comparables'!$BB$7</f>
        <v>2012</v>
      </c>
      <c r="O178" s="303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9"/>
    </row>
    <row r="179" customFormat="false" ht="13.5" hidden="true" customHeight="true" outlineLevel="0" collapsed="false">
      <c r="B179" s="434" t="str">
        <f aca="false">$BB$6</f>
        <v>Bridgeway</v>
      </c>
      <c r="C179" s="405" t="str">
        <f aca="false">IF('Unit Mix &amp; Comparables'!$BB19&lt;&gt;"",'Unit Mix &amp; Comparables'!$BB19,"")</f>
        <v/>
      </c>
      <c r="D179" s="299" t="str">
        <f aca="false">IF('Unit Mix &amp; Comparables'!$BC$19&lt;&gt;"",'Unit Mix &amp; Comparables'!$BC$19,"")</f>
        <v/>
      </c>
      <c r="E179" s="299" t="str">
        <f aca="false">IF('Unit Mix &amp; Comparables'!$BD$19&lt;&gt;"",'Unit Mix &amp; Comparables'!$BD$19,"")</f>
        <v/>
      </c>
      <c r="F179" s="405" t="str">
        <f aca="false">IF('Unit Mix &amp; Comparables'!$BE$19&lt;&gt;"",'Unit Mix &amp; Comparables'!$BE$19,"")</f>
        <v/>
      </c>
      <c r="G179" s="301" t="str">
        <f aca="false">IF('Unit Mix &amp; Comparables'!$BF$19&lt;&gt;"",'Unit Mix &amp; Comparables'!$BF$19,"")</f>
        <v/>
      </c>
      <c r="H179" s="435" t="n">
        <f aca="false">IF('Unit Mix &amp; Comparables'!$BG$19&lt;&gt;"",'Unit Mix &amp; Comparables'!$BG$19,"")</f>
        <v>0</v>
      </c>
      <c r="I179" s="301" t="n">
        <f aca="false">'Unit Mix &amp; Comparables'!$BF$40</f>
        <v>0</v>
      </c>
      <c r="J179" s="301" t="str">
        <f aca="false">IFERROR(G179+I179,"")</f>
        <v/>
      </c>
      <c r="K179" s="435" t="str">
        <f aca="false">IFERROR(J179/F179,"")</f>
        <v/>
      </c>
      <c r="L179" s="341" t="n">
        <f aca="false">$BB$43</f>
        <v>0</v>
      </c>
      <c r="M179" s="316" t="n">
        <f aca="false">'Unit Mix &amp; Comparables'!$BG$6</f>
        <v>0</v>
      </c>
      <c r="N179" s="316" t="n">
        <f aca="false">'Unit Mix &amp; Comparables'!$BB$7</f>
        <v>2012</v>
      </c>
      <c r="O179" s="303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9"/>
    </row>
    <row r="180" customFormat="false" ht="13.5" hidden="false" customHeight="true" outlineLevel="0" collapsed="false">
      <c r="B180" s="444" t="str">
        <f aca="false">CONCATENATE($I$6," Current")</f>
        <v>Riverhill TH Current</v>
      </c>
      <c r="C180" s="445" t="str">
        <f aca="false">IF('Unit Mix &amp; Comparables'!$I$33&lt;&gt;"",'Unit Mix &amp; Comparables'!$I$33,"")</f>
        <v/>
      </c>
      <c r="D180" s="446" t="str">
        <f aca="false">IF('Unit Mix &amp; Comparables'!$J$33&lt;&gt;"",'Unit Mix &amp; Comparables'!$J$33,"")</f>
        <v/>
      </c>
      <c r="E180" s="446" t="str">
        <f aca="false">IF('Unit Mix &amp; Comparables'!$K$33&lt;&gt;"",'Unit Mix &amp; Comparables'!$K$33,"")</f>
        <v/>
      </c>
      <c r="F180" s="445" t="str">
        <f aca="false">IF('Unit Mix &amp; Comparables'!$L$33&lt;&gt;"",'Unit Mix &amp; Comparables'!$L$33,"")</f>
        <v/>
      </c>
      <c r="G180" s="447" t="str">
        <f aca="false">IF('Unit Mix &amp; Comparables'!$M$33&lt;&gt;"",'Unit Mix &amp; Comparables'!$M$33,"")</f>
        <v/>
      </c>
      <c r="H180" s="448" t="n">
        <f aca="false">IF('Unit Mix &amp; Comparables'!$N$33&lt;&gt;"",'Unit Mix &amp; Comparables'!$N$33,"")</f>
        <v>0</v>
      </c>
      <c r="I180" s="447" t="n">
        <f aca="false">'Unit Mix &amp; Comparables'!$M$40</f>
        <v>0</v>
      </c>
      <c r="J180" s="447" t="str">
        <f aca="false">IFERROR(G180+I180,"")</f>
        <v/>
      </c>
      <c r="K180" s="448" t="str">
        <f aca="false">IFERROR(J180/F180,"")</f>
        <v/>
      </c>
      <c r="L180" s="449" t="n">
        <f aca="false">$I$43</f>
        <v>0</v>
      </c>
      <c r="M180" s="450" t="str">
        <f aca="false">'Unit Mix &amp; Comparables'!$H$6</f>
        <v>B</v>
      </c>
      <c r="N180" s="450" t="n">
        <f aca="false">'Unit Mix &amp; Comparables'!$C$7</f>
        <v>1982</v>
      </c>
      <c r="O180" s="303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9"/>
    </row>
    <row r="181" customFormat="false" ht="13.5" hidden="false" customHeight="true" outlineLevel="0" collapsed="false">
      <c r="B181" s="434" t="str">
        <f aca="false">$AP$6</f>
        <v>Country View</v>
      </c>
      <c r="C181" s="405" t="str">
        <f aca="false">IF('Unit Mix &amp; Comparables'!$AP19&lt;&gt;"",'Unit Mix &amp; Comparables'!$AP19,"")</f>
        <v/>
      </c>
      <c r="D181" s="299" t="str">
        <f aca="false">IF('Unit Mix &amp; Comparables'!$AQ$19&lt;&gt;"",'Unit Mix &amp; Comparables'!$AQ$19,"")</f>
        <v/>
      </c>
      <c r="E181" s="299" t="str">
        <f aca="false">IF('Unit Mix &amp; Comparables'!$AR$19&lt;&gt;"",'Unit Mix &amp; Comparables'!$AR$19,"")</f>
        <v/>
      </c>
      <c r="F181" s="405" t="str">
        <f aca="false">IF('Unit Mix &amp; Comparables'!$AS$19&lt;&gt;"",'Unit Mix &amp; Comparables'!$AS$19,"")</f>
        <v/>
      </c>
      <c r="G181" s="301" t="str">
        <f aca="false">IF('Unit Mix &amp; Comparables'!$AT$19&lt;&gt;"",'Unit Mix &amp; Comparables'!$AT$19,"")</f>
        <v/>
      </c>
      <c r="H181" s="435" t="n">
        <f aca="false">IF('Unit Mix &amp; Comparables'!$AU$19&lt;&gt;"",'Unit Mix &amp; Comparables'!$AU$19,"")</f>
        <v>0</v>
      </c>
      <c r="I181" s="301" t="n">
        <f aca="false">'Unit Mix &amp; Comparables'!$AT$40</f>
        <v>0</v>
      </c>
      <c r="J181" s="301" t="str">
        <f aca="false">IFERROR(G181+I181,"")</f>
        <v/>
      </c>
      <c r="K181" s="435" t="str">
        <f aca="false">IFERROR(J181/F181,"")</f>
        <v/>
      </c>
      <c r="L181" s="341" t="n">
        <f aca="false">$AP$43</f>
        <v>0</v>
      </c>
      <c r="M181" s="316" t="str">
        <f aca="false">'Unit Mix &amp; Comparables'!$AU$6</f>
        <v>B</v>
      </c>
      <c r="N181" s="316" t="n">
        <f aca="false">'Unit Mix &amp; Comparables'!$AP$7</f>
        <v>1993</v>
      </c>
      <c r="O181" s="303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9"/>
    </row>
    <row r="182" customFormat="false" ht="13.5" hidden="false" customHeight="true" outlineLevel="0" collapsed="false">
      <c r="B182" s="444" t="str">
        <f aca="false">CONCATENATE($I$6," Current")</f>
        <v>Riverhill TH Current</v>
      </c>
      <c r="C182" s="445" t="str">
        <f aca="false">IF('Unit Mix &amp; Comparables'!$I$29&lt;&gt;"",'Unit Mix &amp; Comparables'!$I$29,"")</f>
        <v/>
      </c>
      <c r="D182" s="446" t="str">
        <f aca="false">IF('Unit Mix &amp; Comparables'!$J$29&lt;&gt;"",'Unit Mix &amp; Comparables'!$J$29,"")</f>
        <v/>
      </c>
      <c r="E182" s="446" t="str">
        <f aca="false">IF('Unit Mix &amp; Comparables'!$K$29&lt;&gt;"",'Unit Mix &amp; Comparables'!$K$29,"")</f>
        <v/>
      </c>
      <c r="F182" s="445" t="str">
        <f aca="false">IF('Unit Mix &amp; Comparables'!$L$29&lt;&gt;"",'Unit Mix &amp; Comparables'!$L$29,"")</f>
        <v/>
      </c>
      <c r="G182" s="447" t="str">
        <f aca="false">IF('Unit Mix &amp; Comparables'!$M$29&lt;&gt;"",'Unit Mix &amp; Comparables'!$M$29,"")</f>
        <v/>
      </c>
      <c r="H182" s="448" t="n">
        <f aca="false">IF('Unit Mix &amp; Comparables'!$N$29&lt;&gt;"",'Unit Mix &amp; Comparables'!$N$29,"")</f>
        <v>0</v>
      </c>
      <c r="I182" s="447" t="n">
        <f aca="false">'Unit Mix &amp; Comparables'!$M$40</f>
        <v>0</v>
      </c>
      <c r="J182" s="447" t="str">
        <f aca="false">IFERROR(G182+I182,"")</f>
        <v/>
      </c>
      <c r="K182" s="448" t="str">
        <f aca="false">IFERROR(J182/F182,"")</f>
        <v/>
      </c>
      <c r="L182" s="449" t="n">
        <f aca="false">$I$43</f>
        <v>0</v>
      </c>
      <c r="M182" s="450" t="str">
        <f aca="false">'Unit Mix &amp; Comparables'!$H$6</f>
        <v>B</v>
      </c>
      <c r="N182" s="450" t="n">
        <f aca="false">'Unit Mix &amp; Comparables'!$C$7</f>
        <v>1982</v>
      </c>
      <c r="O182" s="303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9"/>
    </row>
    <row r="183" customFormat="false" ht="13.5" hidden="false" customHeight="true" outlineLevel="0" collapsed="false">
      <c r="B183" s="444" t="str">
        <f aca="false">CONCATENATE($I$6," Current")</f>
        <v>Riverhill TH Current</v>
      </c>
      <c r="C183" s="445" t="str">
        <f aca="false">IF('Unit Mix &amp; Comparables'!$I$25&lt;&gt;"",'Unit Mix &amp; Comparables'!$I$25,"")</f>
        <v/>
      </c>
      <c r="D183" s="446" t="str">
        <f aca="false">IF('Unit Mix &amp; Comparables'!$J$25&lt;&gt;"",'Unit Mix &amp; Comparables'!$J$25,"")</f>
        <v/>
      </c>
      <c r="E183" s="446" t="str">
        <f aca="false">IF('Unit Mix &amp; Comparables'!$K$25&lt;&gt;"",'Unit Mix &amp; Comparables'!$K$25,"")</f>
        <v/>
      </c>
      <c r="F183" s="445" t="str">
        <f aca="false">IF('Unit Mix &amp; Comparables'!$L$25&lt;&gt;"",'Unit Mix &amp; Comparables'!$L$25,"")</f>
        <v/>
      </c>
      <c r="G183" s="447" t="str">
        <f aca="false">IF('Unit Mix &amp; Comparables'!$M$25&lt;&gt;"",'Unit Mix &amp; Comparables'!$M$25,"")</f>
        <v/>
      </c>
      <c r="H183" s="448" t="n">
        <f aca="false">IF('Unit Mix &amp; Comparables'!$N$25&lt;&gt;"",'Unit Mix &amp; Comparables'!$N$25,"")</f>
        <v>0</v>
      </c>
      <c r="I183" s="447" t="n">
        <f aca="false">'Unit Mix &amp; Comparables'!$M$40</f>
        <v>0</v>
      </c>
      <c r="J183" s="447" t="str">
        <f aca="false">IFERROR(G183+I183,"")</f>
        <v/>
      </c>
      <c r="K183" s="448" t="str">
        <f aca="false">IFERROR(J183/F183,"")</f>
        <v/>
      </c>
      <c r="L183" s="449" t="n">
        <f aca="false">$I$43</f>
        <v>0</v>
      </c>
      <c r="M183" s="450" t="str">
        <f aca="false">'Unit Mix &amp; Comparables'!$H$6</f>
        <v>B</v>
      </c>
      <c r="N183" s="450" t="n">
        <f aca="false">'Unit Mix &amp; Comparables'!$C$7</f>
        <v>1982</v>
      </c>
      <c r="O183" s="303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9"/>
    </row>
    <row r="184" customFormat="false" ht="13.5" hidden="false" customHeight="true" outlineLevel="0" collapsed="false">
      <c r="B184" s="434" t="str">
        <f aca="false">$AP$6</f>
        <v>Country View</v>
      </c>
      <c r="C184" s="405" t="str">
        <f aca="false">IF('Unit Mix &amp; Comparables'!$AP20&lt;&gt;"",'Unit Mix &amp; Comparables'!$AP20,"")</f>
        <v/>
      </c>
      <c r="D184" s="299" t="str">
        <f aca="false">IF('Unit Mix &amp; Comparables'!$AQ$20&lt;&gt;"",'Unit Mix &amp; Comparables'!$AQ$20,"")</f>
        <v/>
      </c>
      <c r="E184" s="299" t="str">
        <f aca="false">IF('Unit Mix &amp; Comparables'!$AR$20&lt;&gt;"",'Unit Mix &amp; Comparables'!$AR$20,"")</f>
        <v/>
      </c>
      <c r="F184" s="405" t="str">
        <f aca="false">IF('Unit Mix &amp; Comparables'!$AS$20&lt;&gt;"",'Unit Mix &amp; Comparables'!$AS$20,"")</f>
        <v/>
      </c>
      <c r="G184" s="301" t="str">
        <f aca="false">IF('Unit Mix &amp; Comparables'!$AT$20&lt;&gt;"",'Unit Mix &amp; Comparables'!$AT$20,"")</f>
        <v/>
      </c>
      <c r="H184" s="435" t="n">
        <f aca="false">IF('Unit Mix &amp; Comparables'!$AU$20&lt;&gt;"",'Unit Mix &amp; Comparables'!$AU$20,"")</f>
        <v>0</v>
      </c>
      <c r="I184" s="301" t="n">
        <f aca="false">'Unit Mix &amp; Comparables'!$AT$40</f>
        <v>0</v>
      </c>
      <c r="J184" s="301" t="str">
        <f aca="false">IFERROR(G184+I184,"")</f>
        <v/>
      </c>
      <c r="K184" s="435" t="str">
        <f aca="false">IFERROR(J184/F184,"")</f>
        <v/>
      </c>
      <c r="L184" s="341" t="n">
        <f aca="false">$AP$43</f>
        <v>0</v>
      </c>
      <c r="M184" s="316" t="str">
        <f aca="false">'Unit Mix &amp; Comparables'!$AU$6</f>
        <v>B</v>
      </c>
      <c r="N184" s="316" t="n">
        <f aca="false">'Unit Mix &amp; Comparables'!$AP$7</f>
        <v>1993</v>
      </c>
      <c r="O184" s="303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9"/>
    </row>
    <row r="185" customFormat="false" ht="13.5" hidden="false" customHeight="true" outlineLevel="0" collapsed="false">
      <c r="B185" s="444" t="str">
        <f aca="false">CONCATENATE($I$6," Current")</f>
        <v>Riverhill TH Current</v>
      </c>
      <c r="C185" s="445" t="str">
        <f aca="false">IF('Unit Mix &amp; Comparables'!$I$23&lt;&gt;"",'Unit Mix &amp; Comparables'!$I$23,"")</f>
        <v/>
      </c>
      <c r="D185" s="446" t="str">
        <f aca="false">IF('Unit Mix &amp; Comparables'!$J$23&lt;&gt;"",'Unit Mix &amp; Comparables'!$J$23,"")</f>
        <v/>
      </c>
      <c r="E185" s="446" t="str">
        <f aca="false">IF('Unit Mix &amp; Comparables'!$K$23&lt;&gt;"",'Unit Mix &amp; Comparables'!$K$23,"")</f>
        <v/>
      </c>
      <c r="F185" s="445" t="str">
        <f aca="false">IF('Unit Mix &amp; Comparables'!$L$23&lt;&gt;"",'Unit Mix &amp; Comparables'!$L$23,"")</f>
        <v/>
      </c>
      <c r="G185" s="447" t="str">
        <f aca="false">IF('Unit Mix &amp; Comparables'!$M$23&lt;&gt;"",'Unit Mix &amp; Comparables'!$M$23,"")</f>
        <v/>
      </c>
      <c r="H185" s="448" t="n">
        <f aca="false">IF('Unit Mix &amp; Comparables'!$N$23&lt;&gt;"",'Unit Mix &amp; Comparables'!$N$23,"")</f>
        <v>0</v>
      </c>
      <c r="I185" s="447" t="n">
        <f aca="false">'Unit Mix &amp; Comparables'!$M$40</f>
        <v>0</v>
      </c>
      <c r="J185" s="447" t="str">
        <f aca="false">IFERROR(G185+I185,"")</f>
        <v/>
      </c>
      <c r="K185" s="448" t="str">
        <f aca="false">IFERROR(J185/F185,"")</f>
        <v/>
      </c>
      <c r="L185" s="449" t="n">
        <f aca="false">$I$43</f>
        <v>0</v>
      </c>
      <c r="M185" s="450" t="str">
        <f aca="false">'Unit Mix &amp; Comparables'!$H$6</f>
        <v>B</v>
      </c>
      <c r="N185" s="450" t="n">
        <f aca="false">'Unit Mix &amp; Comparables'!$C$7</f>
        <v>1982</v>
      </c>
      <c r="O185" s="303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9"/>
    </row>
    <row r="186" customFormat="false" ht="13.5" hidden="false" customHeight="true" outlineLevel="0" collapsed="false">
      <c r="B186" s="434" t="str">
        <f aca="false">$R$6</f>
        <v>Johnathan's Ridge</v>
      </c>
      <c r="C186" s="405" t="n">
        <f aca="false">IF('Unit Mix &amp; Comparables'!$R9&lt;&gt;"",'Unit Mix &amp; Comparables'!$R9,"")</f>
        <v>50</v>
      </c>
      <c r="D186" s="299" t="n">
        <f aca="false">IF('Unit Mix &amp; Comparables'!$S9&lt;&gt;"",'Unit Mix &amp; Comparables'!$S9,"")</f>
        <v>2</v>
      </c>
      <c r="E186" s="299" t="n">
        <f aca="false">IF('Unit Mix &amp; Comparables'!$T9&lt;&gt;"",'Unit Mix &amp; Comparables'!$T9,"")</f>
        <v>1</v>
      </c>
      <c r="F186" s="405" t="n">
        <f aca="false">IF('Unit Mix &amp; Comparables'!$U9&lt;&gt;"",'Unit Mix &amp; Comparables'!$U9,"")</f>
        <v>950</v>
      </c>
      <c r="G186" s="301" t="n">
        <f aca="false">IF('Unit Mix &amp; Comparables'!$V9&lt;&gt;"",'Unit Mix &amp; Comparables'!$V9,"")</f>
        <v>650</v>
      </c>
      <c r="H186" s="435" t="n">
        <f aca="false">IF('Unit Mix &amp; Comparables'!$W9&lt;&gt;"",'Unit Mix &amp; Comparables'!$W9,"")</f>
        <v>0.68421052631579</v>
      </c>
      <c r="I186" s="301" t="n">
        <f aca="false">'Unit Mix &amp; Comparables'!$V$40</f>
        <v>0</v>
      </c>
      <c r="J186" s="301" t="n">
        <f aca="false">IFERROR(G186+I186,"")</f>
        <v>650</v>
      </c>
      <c r="K186" s="435" t="n">
        <f aca="false">IFERROR(J186/F186,"")</f>
        <v>0.68421052631579</v>
      </c>
      <c r="L186" s="341" t="n">
        <f aca="false">$R$43</f>
        <v>0</v>
      </c>
      <c r="M186" s="316" t="str">
        <f aca="false">'Unit Mix &amp; Comparables'!$W$6</f>
        <v>B</v>
      </c>
      <c r="N186" s="316" t="n">
        <f aca="false">$R$7</f>
        <v>1982</v>
      </c>
      <c r="O186" s="303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9"/>
    </row>
    <row r="187" customFormat="false" ht="13.5" hidden="false" customHeight="true" outlineLevel="0" collapsed="false">
      <c r="B187" s="434" t="str">
        <f aca="false">$AP$6</f>
        <v>Country View</v>
      </c>
      <c r="C187" s="405" t="str">
        <f aca="false">IF('Unit Mix &amp; Comparables'!$AP16&lt;&gt;"",'Unit Mix &amp; Comparables'!$AP16,"")</f>
        <v/>
      </c>
      <c r="D187" s="299" t="str">
        <f aca="false">IF('Unit Mix &amp; Comparables'!$AQ$16&lt;&gt;"",'Unit Mix &amp; Comparables'!$AQ$16,"")</f>
        <v/>
      </c>
      <c r="E187" s="299" t="str">
        <f aca="false">IF('Unit Mix &amp; Comparables'!$AR$16&lt;&gt;"",'Unit Mix &amp; Comparables'!$AR$16,"")</f>
        <v/>
      </c>
      <c r="F187" s="405" t="str">
        <f aca="false">IF('Unit Mix &amp; Comparables'!$AS$16&lt;&gt;"",'Unit Mix &amp; Comparables'!$AS$16,"")</f>
        <v/>
      </c>
      <c r="G187" s="301" t="str">
        <f aca="false">IF('Unit Mix &amp; Comparables'!$AT$16&lt;&gt;"",'Unit Mix &amp; Comparables'!$AT$16,"")</f>
        <v/>
      </c>
      <c r="H187" s="435" t="n">
        <f aca="false">IF('Unit Mix &amp; Comparables'!$AU$16&lt;&gt;"",'Unit Mix &amp; Comparables'!$AU$16,"")</f>
        <v>0</v>
      </c>
      <c r="I187" s="301" t="n">
        <f aca="false">'Unit Mix &amp; Comparables'!$AT$40</f>
        <v>0</v>
      </c>
      <c r="J187" s="301" t="str">
        <f aca="false">IFERROR(G187+I187,"")</f>
        <v/>
      </c>
      <c r="K187" s="435" t="str">
        <f aca="false">IFERROR(J187/F187,"")</f>
        <v/>
      </c>
      <c r="L187" s="341" t="n">
        <f aca="false">$AP$43</f>
        <v>0</v>
      </c>
      <c r="M187" s="316" t="str">
        <f aca="false">'Unit Mix &amp; Comparables'!$AU$6</f>
        <v>B</v>
      </c>
      <c r="N187" s="316" t="n">
        <f aca="false">'Unit Mix &amp; Comparables'!$AP$7</f>
        <v>1993</v>
      </c>
      <c r="O187" s="303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9"/>
    </row>
    <row r="188" customFormat="false" ht="13.5" hidden="true" customHeight="true" outlineLevel="0" collapsed="false">
      <c r="B188" s="434" t="n">
        <f aca="false">AV116</f>
        <v>0</v>
      </c>
      <c r="C188" s="405" t="str">
        <f aca="false">IF('Unit Mix &amp; Comparables'!$AV51&lt;&gt;"",'Unit Mix &amp; Comparables'!$AV51,"")</f>
        <v/>
      </c>
      <c r="D188" s="299" t="str">
        <f aca="false">IF('Unit Mix &amp; Comparables'!$AW$51&lt;&gt;"",'Unit Mix &amp; Comparables'!$AW$51,"")</f>
        <v/>
      </c>
      <c r="E188" s="299" t="str">
        <f aca="false">IF('Unit Mix &amp; Comparables'!$AX$51&lt;&gt;"",'Unit Mix &amp; Comparables'!$AX$51,"")</f>
        <v/>
      </c>
      <c r="F188" s="405" t="str">
        <f aca="false">IF('Unit Mix &amp; Comparables'!$AY$51&lt;&gt;"",'Unit Mix &amp; Comparables'!$AY$51,"")</f>
        <v/>
      </c>
      <c r="G188" s="301" t="str">
        <f aca="false">IF('Unit Mix &amp; Comparables'!$AZ$51&lt;&gt;"",'Unit Mix &amp; Comparables'!$AZ$51,"")</f>
        <v/>
      </c>
      <c r="H188" s="435" t="n">
        <f aca="false">IF('Unit Mix &amp; Comparables'!$BA$51&lt;&gt;"",'Unit Mix &amp; Comparables'!$BA$51,"")</f>
        <v>0</v>
      </c>
      <c r="I188" s="301" t="n">
        <f aca="false">'Unit Mix &amp; Comparables'!$AT$40</f>
        <v>0</v>
      </c>
      <c r="J188" s="301" t="str">
        <f aca="false">IFERROR(G188+I188,"")</f>
        <v/>
      </c>
      <c r="K188" s="435" t="str">
        <f aca="false">IFERROR(J188/F188,"")</f>
        <v/>
      </c>
      <c r="L188" s="341" t="n">
        <f aca="false">$AV$86</f>
        <v>0</v>
      </c>
      <c r="M188" s="316" t="str">
        <f aca="false">'Unit Mix &amp; Comparables'!$BA$48</f>
        <v>A</v>
      </c>
      <c r="N188" s="316" t="n">
        <f aca="false">'Unit Mix &amp; Comparables'!$AV$49</f>
        <v>0</v>
      </c>
      <c r="O188" s="303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9"/>
    </row>
    <row r="189" customFormat="false" ht="13.5" hidden="false" customHeight="true" outlineLevel="0" collapsed="false">
      <c r="B189" s="437" t="str">
        <f aca="false">CONCATENATE($C$6," Pro Forma")</f>
        <v>Riverhill TH Pro Forma</v>
      </c>
      <c r="C189" s="438" t="str">
        <f aca="false">IF('Unit Mix &amp; Comparables'!$C$28&lt;&gt;"",'Unit Mix &amp; Comparables'!$C$28,"")</f>
        <v/>
      </c>
      <c r="D189" s="439" t="str">
        <f aca="false">IF('Unit Mix &amp; Comparables'!$D$28&lt;&gt;"",'Unit Mix &amp; Comparables'!$D$28,"")</f>
        <v/>
      </c>
      <c r="E189" s="439" t="str">
        <f aca="false">IF('Unit Mix &amp; Comparables'!$E$28&lt;&gt;"",'Unit Mix &amp; Comparables'!$E$28,"")</f>
        <v/>
      </c>
      <c r="F189" s="438" t="str">
        <f aca="false">IF('Unit Mix &amp; Comparables'!$F$28&lt;&gt;"",'Unit Mix &amp; Comparables'!$F$28,"")</f>
        <v/>
      </c>
      <c r="G189" s="440" t="str">
        <f aca="false">IF('Unit Mix &amp; Comparables'!$G$28&lt;&gt;"",'Unit Mix &amp; Comparables'!$G$28,"")</f>
        <v/>
      </c>
      <c r="H189" s="441" t="n">
        <f aca="false">IF('Unit Mix &amp; Comparables'!$H$28&lt;&gt;"",'Unit Mix &amp; Comparables'!$H$28,"")</f>
        <v>0</v>
      </c>
      <c r="I189" s="440" t="n">
        <f aca="false">'Unit Mix &amp; Comparables'!$G$40</f>
        <v>0</v>
      </c>
      <c r="J189" s="440" t="str">
        <f aca="false">IFERROR(G189+I189,"")</f>
        <v/>
      </c>
      <c r="K189" s="441" t="str">
        <f aca="false">IFERROR(J189/F189,"")</f>
        <v/>
      </c>
      <c r="L189" s="442" t="n">
        <f aca="false">C43</f>
        <v>0</v>
      </c>
      <c r="M189" s="443" t="str">
        <f aca="false">'Unit Mix &amp; Comparables'!$H$6</f>
        <v>B</v>
      </c>
      <c r="N189" s="443" t="n">
        <f aca="false">'Unit Mix &amp; Comparables'!$C$7</f>
        <v>1982</v>
      </c>
      <c r="O189" s="303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9"/>
    </row>
    <row r="190" customFormat="false" ht="13.5" hidden="false" customHeight="true" outlineLevel="0" collapsed="false">
      <c r="B190" s="444" t="str">
        <f aca="false">CONCATENATE($I$6," Current")</f>
        <v>Riverhill TH Current</v>
      </c>
      <c r="C190" s="445" t="str">
        <f aca="false">IF('Unit Mix &amp; Comparables'!$I$28&lt;&gt;"",'Unit Mix &amp; Comparables'!$I$28,"")</f>
        <v/>
      </c>
      <c r="D190" s="446" t="str">
        <f aca="false">IF('Unit Mix &amp; Comparables'!$J$28&lt;&gt;"",'Unit Mix &amp; Comparables'!$J$28,"")</f>
        <v/>
      </c>
      <c r="E190" s="446" t="str">
        <f aca="false">IF('Unit Mix &amp; Comparables'!$K$28&lt;&gt;"",'Unit Mix &amp; Comparables'!$K$28,"")</f>
        <v/>
      </c>
      <c r="F190" s="445" t="str">
        <f aca="false">IF('Unit Mix &amp; Comparables'!$L$28&lt;&gt;"",'Unit Mix &amp; Comparables'!$L$28,"")</f>
        <v/>
      </c>
      <c r="G190" s="447" t="str">
        <f aca="false">IF('Unit Mix &amp; Comparables'!$M$28&lt;&gt;"",'Unit Mix &amp; Comparables'!$M$28,"")</f>
        <v/>
      </c>
      <c r="H190" s="448" t="n">
        <f aca="false">IF('Unit Mix &amp; Comparables'!$N$28&lt;&gt;"",'Unit Mix &amp; Comparables'!$N$28,"")</f>
        <v>0</v>
      </c>
      <c r="I190" s="447" t="n">
        <f aca="false">'Unit Mix &amp; Comparables'!$M$40</f>
        <v>0</v>
      </c>
      <c r="J190" s="447" t="str">
        <f aca="false">IFERROR(G190+I190,"")</f>
        <v/>
      </c>
      <c r="K190" s="448" t="str">
        <f aca="false">IFERROR(J190/F190,"")</f>
        <v/>
      </c>
      <c r="L190" s="449" t="n">
        <f aca="false">$I$43</f>
        <v>0</v>
      </c>
      <c r="M190" s="450" t="str">
        <f aca="false">'Unit Mix &amp; Comparables'!$H$6</f>
        <v>B</v>
      </c>
      <c r="N190" s="450" t="n">
        <f aca="false">'Unit Mix &amp; Comparables'!$C$7</f>
        <v>1982</v>
      </c>
      <c r="O190" s="303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9"/>
    </row>
    <row r="191" customFormat="false" ht="13.5" hidden="false" customHeight="true" outlineLevel="0" collapsed="false">
      <c r="B191" s="434" t="str">
        <f aca="false">$AP$6</f>
        <v>Country View</v>
      </c>
      <c r="C191" s="405" t="str">
        <f aca="false">IF('Unit Mix &amp; Comparables'!$AP15&lt;&gt;"",'Unit Mix &amp; Comparables'!$AP15,"")</f>
        <v/>
      </c>
      <c r="D191" s="299" t="str">
        <f aca="false">IF('Unit Mix &amp; Comparables'!$AQ$15&lt;&gt;"",'Unit Mix &amp; Comparables'!$AQ$15,"")</f>
        <v/>
      </c>
      <c r="E191" s="299" t="str">
        <f aca="false">IF('Unit Mix &amp; Comparables'!$AR$15&lt;&gt;"",'Unit Mix &amp; Comparables'!$AR$15,"")</f>
        <v/>
      </c>
      <c r="F191" s="405" t="str">
        <f aca="false">IF('Unit Mix &amp; Comparables'!$AS$15&lt;&gt;"",'Unit Mix &amp; Comparables'!$AS$15,"")</f>
        <v/>
      </c>
      <c r="G191" s="301" t="str">
        <f aca="false">IF('Unit Mix &amp; Comparables'!$AT$15&lt;&gt;"",'Unit Mix &amp; Comparables'!$AT$15,"")</f>
        <v/>
      </c>
      <c r="H191" s="435" t="n">
        <f aca="false">IF('Unit Mix &amp; Comparables'!$AU$15&lt;&gt;"",'Unit Mix &amp; Comparables'!$AU$15,"")</f>
        <v>0</v>
      </c>
      <c r="I191" s="301" t="n">
        <f aca="false">'Unit Mix &amp; Comparables'!$AT$40</f>
        <v>0</v>
      </c>
      <c r="J191" s="301" t="str">
        <f aca="false">IFERROR(G191+I191,"")</f>
        <v/>
      </c>
      <c r="K191" s="435" t="str">
        <f aca="false">IFERROR(J191/F191,"")</f>
        <v/>
      </c>
      <c r="L191" s="341" t="n">
        <f aca="false">$AP$43</f>
        <v>0</v>
      </c>
      <c r="M191" s="316" t="str">
        <f aca="false">'Unit Mix &amp; Comparables'!$AU$6</f>
        <v>B</v>
      </c>
      <c r="N191" s="316" t="n">
        <f aca="false">'Unit Mix &amp; Comparables'!$AP$7</f>
        <v>1993</v>
      </c>
      <c r="O191" s="303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9"/>
    </row>
    <row r="192" customFormat="false" ht="13.5" hidden="false" customHeight="true" outlineLevel="0" collapsed="false">
      <c r="B192" s="434" t="str">
        <f aca="false">$R$6</f>
        <v>Johnathan's Ridge</v>
      </c>
      <c r="C192" s="405" t="n">
        <f aca="false">IF('Unit Mix &amp; Comparables'!$R10&lt;&gt;"",'Unit Mix &amp; Comparables'!$R10,"")</f>
        <v>50</v>
      </c>
      <c r="D192" s="299" t="n">
        <f aca="false">IF('Unit Mix &amp; Comparables'!$S10&lt;&gt;"",'Unit Mix &amp; Comparables'!$S10,"")</f>
        <v>2</v>
      </c>
      <c r="E192" s="299" t="n">
        <f aca="false">IF('Unit Mix &amp; Comparables'!$T10&lt;&gt;"",'Unit Mix &amp; Comparables'!$T10,"")</f>
        <v>1</v>
      </c>
      <c r="F192" s="405" t="n">
        <f aca="false">IF('Unit Mix &amp; Comparables'!$U10&lt;&gt;"",'Unit Mix &amp; Comparables'!$U10,"")</f>
        <v>95</v>
      </c>
      <c r="G192" s="301" t="n">
        <f aca="false">IF('Unit Mix &amp; Comparables'!$V10&lt;&gt;"",'Unit Mix &amp; Comparables'!$V10,"")</f>
        <v>690</v>
      </c>
      <c r="H192" s="435" t="n">
        <f aca="false">IF('Unit Mix &amp; Comparables'!$W10&lt;&gt;"",'Unit Mix &amp; Comparables'!$W10,"")</f>
        <v>7.26315789473684</v>
      </c>
      <c r="I192" s="301" t="n">
        <f aca="false">'Unit Mix &amp; Comparables'!$V$40</f>
        <v>0</v>
      </c>
      <c r="J192" s="301" t="n">
        <f aca="false">IFERROR(G192+I192,"")</f>
        <v>690</v>
      </c>
      <c r="K192" s="435" t="n">
        <f aca="false">IFERROR(J192/F192,"")</f>
        <v>7.26315789473684</v>
      </c>
      <c r="L192" s="341" t="n">
        <f aca="false">$R$43</f>
        <v>0</v>
      </c>
      <c r="M192" s="316" t="str">
        <f aca="false">'Unit Mix &amp; Comparables'!$W$6</f>
        <v>B</v>
      </c>
      <c r="N192" s="316" t="n">
        <f aca="false">$R$7</f>
        <v>1982</v>
      </c>
      <c r="O192" s="303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9"/>
    </row>
    <row r="193" customFormat="false" ht="13.5" hidden="true" customHeight="true" outlineLevel="0" collapsed="false">
      <c r="B193" s="434"/>
      <c r="C193" s="405"/>
      <c r="D193" s="299"/>
      <c r="E193" s="299"/>
      <c r="F193" s="405"/>
      <c r="G193" s="301"/>
      <c r="H193" s="435"/>
      <c r="I193" s="301"/>
      <c r="J193" s="301"/>
      <c r="K193" s="435"/>
      <c r="L193" s="341"/>
      <c r="M193" s="316"/>
      <c r="N193" s="316"/>
      <c r="O193" s="303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9"/>
    </row>
    <row r="194" customFormat="false" ht="13.5" hidden="true" customHeight="true" outlineLevel="0" collapsed="false">
      <c r="B194" s="434"/>
      <c r="C194" s="405"/>
      <c r="D194" s="299"/>
      <c r="E194" s="299"/>
      <c r="F194" s="405"/>
      <c r="G194" s="301"/>
      <c r="H194" s="435"/>
      <c r="I194" s="301"/>
      <c r="J194" s="301"/>
      <c r="K194" s="435"/>
      <c r="L194" s="341"/>
      <c r="M194" s="316"/>
      <c r="N194" s="316"/>
      <c r="O194" s="303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9"/>
    </row>
    <row r="195" customFormat="false" ht="13.5" hidden="true" customHeight="true" outlineLevel="0" collapsed="false">
      <c r="B195" s="434"/>
      <c r="C195" s="405"/>
      <c r="D195" s="299"/>
      <c r="E195" s="299"/>
      <c r="F195" s="405"/>
      <c r="G195" s="301"/>
      <c r="H195" s="435"/>
      <c r="I195" s="301"/>
      <c r="J195" s="301"/>
      <c r="K195" s="435"/>
      <c r="L195" s="341"/>
      <c r="M195" s="316"/>
      <c r="N195" s="316"/>
      <c r="O195" s="303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9"/>
    </row>
    <row r="196" customFormat="false" ht="13.5" hidden="true" customHeight="true" outlineLevel="0" collapsed="false">
      <c r="B196" s="434"/>
      <c r="C196" s="405"/>
      <c r="D196" s="299"/>
      <c r="E196" s="299"/>
      <c r="F196" s="405"/>
      <c r="G196" s="301"/>
      <c r="H196" s="435"/>
      <c r="I196" s="301"/>
      <c r="J196" s="301"/>
      <c r="K196" s="435"/>
      <c r="L196" s="341"/>
      <c r="M196" s="316"/>
      <c r="N196" s="316"/>
      <c r="O196" s="303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9"/>
    </row>
    <row r="197" customFormat="false" ht="13.5" hidden="true" customHeight="true" outlineLevel="0" collapsed="false">
      <c r="B197" s="434"/>
      <c r="C197" s="405"/>
      <c r="D197" s="299"/>
      <c r="E197" s="299"/>
      <c r="F197" s="405"/>
      <c r="G197" s="301"/>
      <c r="H197" s="435"/>
      <c r="I197" s="301"/>
      <c r="J197" s="301"/>
      <c r="K197" s="435"/>
      <c r="L197" s="341"/>
      <c r="M197" s="316"/>
      <c r="N197" s="316"/>
      <c r="O197" s="303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9"/>
    </row>
    <row r="198" customFormat="false" ht="13.5" hidden="true" customHeight="true" outlineLevel="0" collapsed="false">
      <c r="B198" s="434"/>
      <c r="C198" s="405"/>
      <c r="D198" s="299"/>
      <c r="E198" s="299"/>
      <c r="F198" s="405"/>
      <c r="G198" s="301"/>
      <c r="H198" s="435"/>
      <c r="I198" s="301"/>
      <c r="J198" s="301"/>
      <c r="K198" s="435"/>
      <c r="L198" s="341"/>
      <c r="M198" s="316"/>
      <c r="N198" s="316"/>
      <c r="O198" s="303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9"/>
    </row>
    <row r="199" customFormat="false" ht="13.5" hidden="true" customHeight="true" outlineLevel="0" collapsed="false">
      <c r="B199" s="434"/>
      <c r="C199" s="405"/>
      <c r="D199" s="299"/>
      <c r="E199" s="299"/>
      <c r="F199" s="405"/>
      <c r="G199" s="301"/>
      <c r="H199" s="435"/>
      <c r="I199" s="301"/>
      <c r="J199" s="301"/>
      <c r="K199" s="435"/>
      <c r="L199" s="341"/>
      <c r="M199" s="316"/>
      <c r="N199" s="316"/>
      <c r="O199" s="303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9"/>
    </row>
    <row r="200" customFormat="false" ht="13.5" hidden="true" customHeight="true" outlineLevel="0" collapsed="false">
      <c r="B200" s="434"/>
      <c r="C200" s="405"/>
      <c r="D200" s="299"/>
      <c r="E200" s="299"/>
      <c r="F200" s="405"/>
      <c r="G200" s="301"/>
      <c r="H200" s="435"/>
      <c r="I200" s="301"/>
      <c r="J200" s="301"/>
      <c r="K200" s="435"/>
      <c r="L200" s="341"/>
      <c r="M200" s="316"/>
      <c r="N200" s="316"/>
      <c r="O200" s="303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9"/>
    </row>
    <row r="201" customFormat="false" ht="13.5" hidden="true" customHeight="true" outlineLevel="0" collapsed="false">
      <c r="B201" s="434"/>
      <c r="C201" s="405"/>
      <c r="D201" s="299"/>
      <c r="E201" s="299"/>
      <c r="F201" s="405"/>
      <c r="G201" s="301"/>
      <c r="H201" s="435"/>
      <c r="I201" s="301"/>
      <c r="J201" s="301"/>
      <c r="K201" s="435"/>
      <c r="L201" s="341"/>
      <c r="M201" s="316"/>
      <c r="N201" s="316"/>
      <c r="O201" s="303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9"/>
    </row>
    <row r="202" customFormat="false" ht="13.5" hidden="true" customHeight="true" outlineLevel="0" collapsed="false">
      <c r="B202" s="434"/>
      <c r="C202" s="405"/>
      <c r="D202" s="299"/>
      <c r="E202" s="299"/>
      <c r="F202" s="405"/>
      <c r="G202" s="301"/>
      <c r="H202" s="435"/>
      <c r="I202" s="301"/>
      <c r="J202" s="301"/>
      <c r="K202" s="435"/>
      <c r="L202" s="341"/>
      <c r="M202" s="316"/>
      <c r="N202" s="316"/>
      <c r="O202" s="303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9"/>
    </row>
    <row r="203" customFormat="false" ht="13.5" hidden="true" customHeight="true" outlineLevel="0" collapsed="false">
      <c r="B203" s="434"/>
      <c r="C203" s="405"/>
      <c r="D203" s="299"/>
      <c r="E203" s="299"/>
      <c r="F203" s="405"/>
      <c r="G203" s="301"/>
      <c r="H203" s="435"/>
      <c r="I203" s="301"/>
      <c r="J203" s="301"/>
      <c r="K203" s="435"/>
      <c r="L203" s="341"/>
      <c r="M203" s="316"/>
      <c r="N203" s="316"/>
      <c r="O203" s="303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9"/>
    </row>
    <row r="204" customFormat="false" ht="13.5" hidden="true" customHeight="true" outlineLevel="0" collapsed="false">
      <c r="B204" s="434"/>
      <c r="C204" s="405"/>
      <c r="D204" s="299"/>
      <c r="E204" s="299"/>
      <c r="F204" s="405"/>
      <c r="G204" s="301"/>
      <c r="H204" s="435"/>
      <c r="I204" s="301"/>
      <c r="J204" s="301"/>
      <c r="K204" s="435"/>
      <c r="L204" s="341"/>
      <c r="M204" s="316"/>
      <c r="N204" s="316"/>
      <c r="O204" s="303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9"/>
    </row>
    <row r="205" customFormat="false" ht="13.5" hidden="true" customHeight="true" outlineLevel="0" collapsed="false">
      <c r="B205" s="434"/>
      <c r="C205" s="405"/>
      <c r="D205" s="299"/>
      <c r="E205" s="299"/>
      <c r="F205" s="405"/>
      <c r="G205" s="301"/>
      <c r="H205" s="435"/>
      <c r="I205" s="301"/>
      <c r="J205" s="301"/>
      <c r="K205" s="435"/>
      <c r="L205" s="341"/>
      <c r="M205" s="316"/>
      <c r="N205" s="316"/>
      <c r="O205" s="303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9"/>
    </row>
    <row r="206" customFormat="false" ht="13.5" hidden="true" customHeight="true" outlineLevel="0" collapsed="false">
      <c r="B206" s="434"/>
      <c r="C206" s="405"/>
      <c r="D206" s="299"/>
      <c r="E206" s="299"/>
      <c r="F206" s="405"/>
      <c r="G206" s="301"/>
      <c r="H206" s="435"/>
      <c r="I206" s="301"/>
      <c r="J206" s="301"/>
      <c r="K206" s="435"/>
      <c r="L206" s="341"/>
      <c r="M206" s="316"/>
      <c r="N206" s="316"/>
      <c r="O206" s="303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9"/>
    </row>
    <row r="207" customFormat="false" ht="13.5" hidden="true" customHeight="true" outlineLevel="0" collapsed="false">
      <c r="B207" s="434"/>
      <c r="C207" s="405"/>
      <c r="D207" s="299"/>
      <c r="E207" s="299"/>
      <c r="F207" s="405"/>
      <c r="G207" s="301"/>
      <c r="H207" s="435"/>
      <c r="I207" s="301"/>
      <c r="J207" s="301"/>
      <c r="K207" s="435"/>
      <c r="L207" s="341"/>
      <c r="M207" s="316"/>
      <c r="N207" s="316"/>
      <c r="O207" s="303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9"/>
    </row>
    <row r="208" customFormat="false" ht="15" hidden="true" customHeight="true" outlineLevel="0" collapsed="false">
      <c r="B208" s="434"/>
      <c r="C208" s="405"/>
      <c r="D208" s="299"/>
      <c r="E208" s="299"/>
      <c r="F208" s="405"/>
      <c r="G208" s="301"/>
      <c r="H208" s="435"/>
      <c r="I208" s="301"/>
      <c r="J208" s="301"/>
      <c r="K208" s="435"/>
      <c r="L208" s="341"/>
      <c r="M208" s="316"/>
      <c r="N208" s="316"/>
      <c r="O208" s="303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9"/>
    </row>
    <row r="209" customFormat="false" ht="15" hidden="true" customHeight="true" outlineLevel="0" collapsed="false">
      <c r="B209" s="434"/>
      <c r="C209" s="405"/>
      <c r="D209" s="299"/>
      <c r="E209" s="299"/>
      <c r="F209" s="405"/>
      <c r="G209" s="301"/>
      <c r="H209" s="435"/>
      <c r="I209" s="301"/>
      <c r="J209" s="301"/>
      <c r="K209" s="435"/>
      <c r="L209" s="341"/>
      <c r="M209" s="316"/>
      <c r="N209" s="316"/>
      <c r="O209" s="303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9"/>
    </row>
    <row r="210" customFormat="false" ht="15" hidden="true" customHeight="true" outlineLevel="0" collapsed="false">
      <c r="B210" s="434"/>
      <c r="C210" s="405"/>
      <c r="D210" s="299"/>
      <c r="E210" s="299"/>
      <c r="F210" s="405"/>
      <c r="G210" s="301"/>
      <c r="H210" s="435"/>
      <c r="I210" s="301"/>
      <c r="J210" s="301"/>
      <c r="K210" s="435"/>
      <c r="L210" s="341"/>
      <c r="M210" s="316"/>
      <c r="N210" s="316"/>
      <c r="O210" s="303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9"/>
    </row>
    <row r="211" customFormat="false" ht="15" hidden="true" customHeight="true" outlineLevel="0" collapsed="false">
      <c r="B211" s="434"/>
      <c r="C211" s="405"/>
      <c r="D211" s="299"/>
      <c r="E211" s="299"/>
      <c r="F211" s="405"/>
      <c r="G211" s="301"/>
      <c r="H211" s="435"/>
      <c r="I211" s="301"/>
      <c r="J211" s="301"/>
      <c r="K211" s="435"/>
      <c r="L211" s="341"/>
      <c r="M211" s="316"/>
      <c r="N211" s="316"/>
      <c r="O211" s="303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9"/>
    </row>
    <row r="212" customFormat="false" ht="15" hidden="true" customHeight="true" outlineLevel="0" collapsed="false">
      <c r="B212" s="434"/>
      <c r="C212" s="405"/>
      <c r="D212" s="299"/>
      <c r="E212" s="299"/>
      <c r="F212" s="405"/>
      <c r="G212" s="301"/>
      <c r="H212" s="435"/>
      <c r="I212" s="301"/>
      <c r="J212" s="301"/>
      <c r="K212" s="435"/>
      <c r="L212" s="341"/>
      <c r="M212" s="316"/>
      <c r="N212" s="316"/>
      <c r="O212" s="303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9"/>
    </row>
    <row r="213" customFormat="false" ht="15" hidden="true" customHeight="true" outlineLevel="0" collapsed="false">
      <c r="B213" s="434"/>
      <c r="C213" s="405"/>
      <c r="D213" s="299"/>
      <c r="E213" s="299"/>
      <c r="F213" s="405"/>
      <c r="G213" s="301"/>
      <c r="H213" s="435"/>
      <c r="I213" s="301"/>
      <c r="J213" s="301"/>
      <c r="K213" s="435"/>
      <c r="L213" s="341"/>
      <c r="M213" s="316"/>
      <c r="N213" s="316"/>
      <c r="O213" s="303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9"/>
    </row>
    <row r="214" customFormat="false" ht="15" hidden="false" customHeight="true" outlineLevel="0" collapsed="false">
      <c r="B214" s="434" t="str">
        <f aca="false">$BB$6</f>
        <v>Bridgeway</v>
      </c>
      <c r="C214" s="405" t="str">
        <f aca="false">IF('Unit Mix &amp; Comparables'!$BB9&lt;&gt;"",'Unit Mix &amp; Comparables'!$BB9,"")</f>
        <v/>
      </c>
      <c r="D214" s="299" t="str">
        <f aca="false">IF('Unit Mix &amp; Comparables'!$BC$9&lt;&gt;"",'Unit Mix &amp; Comparables'!$BC$9,"")</f>
        <v/>
      </c>
      <c r="E214" s="299" t="str">
        <f aca="false">IF('Unit Mix &amp; Comparables'!$BD$9&lt;&gt;"",'Unit Mix &amp; Comparables'!$BD$9,"")</f>
        <v/>
      </c>
      <c r="F214" s="405" t="str">
        <f aca="false">IF('Unit Mix &amp; Comparables'!$BE$9&lt;&gt;"",'Unit Mix &amp; Comparables'!$BE$9,"")</f>
        <v/>
      </c>
      <c r="G214" s="301" t="str">
        <f aca="false">IF('Unit Mix &amp; Comparables'!$BF$9&lt;&gt;"",'Unit Mix &amp; Comparables'!$BF$9,"")</f>
        <v/>
      </c>
      <c r="H214" s="435" t="n">
        <f aca="false">IF('Unit Mix &amp; Comparables'!$BG$9&lt;&gt;"",'Unit Mix &amp; Comparables'!$BG$9,"")</f>
        <v>0</v>
      </c>
      <c r="I214" s="301" t="n">
        <f aca="false">'Unit Mix &amp; Comparables'!$BF$40</f>
        <v>0</v>
      </c>
      <c r="J214" s="301" t="str">
        <f aca="false">IFERROR(G214+I214,"")</f>
        <v/>
      </c>
      <c r="K214" s="435" t="str">
        <f aca="false">IFERROR(J214/F214,"")</f>
        <v/>
      </c>
      <c r="L214" s="341" t="n">
        <f aca="false">$BB$43</f>
        <v>0</v>
      </c>
      <c r="M214" s="316" t="n">
        <f aca="false">'Unit Mix &amp; Comparables'!$BG$6</f>
        <v>0</v>
      </c>
      <c r="N214" s="316" t="n">
        <f aca="false">'Unit Mix &amp; Comparables'!$BB$7</f>
        <v>2012</v>
      </c>
      <c r="O214" s="303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9"/>
    </row>
    <row r="215" customFormat="false" ht="15" hidden="true" customHeight="true" outlineLevel="0" collapsed="false">
      <c r="B215" s="434"/>
      <c r="C215" s="405"/>
      <c r="D215" s="299"/>
      <c r="E215" s="299"/>
      <c r="F215" s="405"/>
      <c r="G215" s="301"/>
      <c r="H215" s="435"/>
      <c r="I215" s="301"/>
      <c r="J215" s="301"/>
      <c r="K215" s="435"/>
      <c r="L215" s="341"/>
      <c r="M215" s="316"/>
      <c r="N215" s="316"/>
      <c r="O215" s="303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9"/>
    </row>
    <row r="216" customFormat="false" ht="15" hidden="true" customHeight="true" outlineLevel="0" collapsed="false">
      <c r="B216" s="434"/>
      <c r="C216" s="405"/>
      <c r="D216" s="299"/>
      <c r="E216" s="299"/>
      <c r="F216" s="405"/>
      <c r="G216" s="301"/>
      <c r="H216" s="435"/>
      <c r="I216" s="301"/>
      <c r="J216" s="301"/>
      <c r="K216" s="435"/>
      <c r="L216" s="341"/>
      <c r="M216" s="316"/>
      <c r="N216" s="316"/>
      <c r="O216" s="303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9"/>
    </row>
    <row r="217" customFormat="false" ht="15" hidden="false" customHeight="true" outlineLevel="0" collapsed="false">
      <c r="B217" s="434" t="str">
        <f aca="false">$AP$6</f>
        <v>Country View</v>
      </c>
      <c r="C217" s="405" t="str">
        <f aca="false">IF('Unit Mix &amp; Comparables'!$AP18&lt;&gt;"",'Unit Mix &amp; Comparables'!$AP18,"")</f>
        <v/>
      </c>
      <c r="D217" s="299" t="str">
        <f aca="false">IF('Unit Mix &amp; Comparables'!$AQ$18&lt;&gt;"",'Unit Mix &amp; Comparables'!$AQ$18,"")</f>
        <v/>
      </c>
      <c r="E217" s="299" t="str">
        <f aca="false">IF('Unit Mix &amp; Comparables'!$AR$18&lt;&gt;"",'Unit Mix &amp; Comparables'!$AR$18,"")</f>
        <v/>
      </c>
      <c r="F217" s="405" t="str">
        <f aca="false">IF('Unit Mix &amp; Comparables'!$AS$18&lt;&gt;"",'Unit Mix &amp; Comparables'!$AS$18,"")</f>
        <v/>
      </c>
      <c r="G217" s="301" t="str">
        <f aca="false">IF('Unit Mix &amp; Comparables'!$AT$18&lt;&gt;"",'Unit Mix &amp; Comparables'!$AT$18,"")</f>
        <v/>
      </c>
      <c r="H217" s="435" t="n">
        <f aca="false">IF('Unit Mix &amp; Comparables'!$AU$18&lt;&gt;"",'Unit Mix &amp; Comparables'!$AU$18,"")</f>
        <v>0</v>
      </c>
      <c r="I217" s="301" t="n">
        <f aca="false">'Unit Mix &amp; Comparables'!$AT$40</f>
        <v>0</v>
      </c>
      <c r="J217" s="301" t="str">
        <f aca="false">IFERROR(G217+I217,"")</f>
        <v/>
      </c>
      <c r="K217" s="435" t="str">
        <f aca="false">IFERROR(J217/F217,"")</f>
        <v/>
      </c>
      <c r="L217" s="341" t="n">
        <f aca="false">$AP$43</f>
        <v>0</v>
      </c>
      <c r="M217" s="316" t="str">
        <f aca="false">'Unit Mix &amp; Comparables'!$AU$6</f>
        <v>B</v>
      </c>
      <c r="N217" s="316" t="n">
        <f aca="false">'Unit Mix &amp; Comparables'!$AP$7</f>
        <v>1993</v>
      </c>
      <c r="O217" s="303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9"/>
    </row>
    <row r="218" customFormat="false" ht="15" hidden="true" customHeight="true" outlineLevel="0" collapsed="false">
      <c r="B218" s="434"/>
      <c r="C218" s="405"/>
      <c r="D218" s="299"/>
      <c r="E218" s="299"/>
      <c r="F218" s="405"/>
      <c r="G218" s="301"/>
      <c r="H218" s="435"/>
      <c r="I218" s="301"/>
      <c r="J218" s="301"/>
      <c r="K218" s="435"/>
      <c r="L218" s="341"/>
      <c r="M218" s="316"/>
      <c r="N218" s="316"/>
      <c r="O218" s="303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9"/>
    </row>
    <row r="219" customFormat="false" ht="15" hidden="true" customHeight="true" outlineLevel="0" collapsed="false">
      <c r="B219" s="434"/>
      <c r="C219" s="405"/>
      <c r="D219" s="299"/>
      <c r="E219" s="299"/>
      <c r="F219" s="405"/>
      <c r="G219" s="301"/>
      <c r="H219" s="435"/>
      <c r="I219" s="301"/>
      <c r="J219" s="301"/>
      <c r="K219" s="435"/>
      <c r="L219" s="341"/>
      <c r="M219" s="316"/>
      <c r="N219" s="316"/>
      <c r="O219" s="303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9"/>
    </row>
    <row r="220" customFormat="false" ht="15" hidden="true" customHeight="true" outlineLevel="0" collapsed="false">
      <c r="B220" s="434"/>
      <c r="C220" s="405"/>
      <c r="D220" s="299"/>
      <c r="E220" s="299"/>
      <c r="F220" s="405"/>
      <c r="G220" s="301"/>
      <c r="H220" s="435"/>
      <c r="I220" s="301"/>
      <c r="J220" s="301"/>
      <c r="K220" s="435"/>
      <c r="L220" s="341"/>
      <c r="M220" s="316"/>
      <c r="N220" s="316"/>
      <c r="O220" s="303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9"/>
    </row>
    <row r="221" customFormat="false" ht="15" hidden="true" customHeight="true" outlineLevel="0" collapsed="false">
      <c r="B221" s="434"/>
      <c r="C221" s="405"/>
      <c r="D221" s="299"/>
      <c r="E221" s="299"/>
      <c r="F221" s="405"/>
      <c r="G221" s="301"/>
      <c r="H221" s="435"/>
      <c r="I221" s="301"/>
      <c r="J221" s="301"/>
      <c r="K221" s="435"/>
      <c r="L221" s="341"/>
      <c r="M221" s="316"/>
      <c r="N221" s="316"/>
      <c r="O221" s="303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9"/>
    </row>
    <row r="222" customFormat="false" ht="15" hidden="true" customHeight="true" outlineLevel="0" collapsed="false">
      <c r="B222" s="434"/>
      <c r="C222" s="405"/>
      <c r="D222" s="299"/>
      <c r="E222" s="299"/>
      <c r="F222" s="405"/>
      <c r="G222" s="301"/>
      <c r="H222" s="435"/>
      <c r="I222" s="301"/>
      <c r="J222" s="301"/>
      <c r="K222" s="435"/>
      <c r="L222" s="341"/>
      <c r="M222" s="316"/>
      <c r="N222" s="316"/>
      <c r="O222" s="303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9"/>
    </row>
    <row r="223" customFormat="false" ht="15" hidden="true" customHeight="true" outlineLevel="0" collapsed="false">
      <c r="B223" s="434"/>
      <c r="C223" s="405"/>
      <c r="D223" s="299"/>
      <c r="E223" s="299"/>
      <c r="F223" s="405"/>
      <c r="G223" s="301"/>
      <c r="H223" s="435"/>
      <c r="I223" s="301"/>
      <c r="J223" s="301"/>
      <c r="K223" s="435"/>
      <c r="L223" s="341"/>
      <c r="M223" s="316"/>
      <c r="N223" s="316"/>
      <c r="O223" s="303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9"/>
    </row>
    <row r="224" customFormat="false" ht="15" hidden="true" customHeight="true" outlineLevel="0" collapsed="false">
      <c r="B224" s="434"/>
      <c r="C224" s="405"/>
      <c r="D224" s="299"/>
      <c r="E224" s="299"/>
      <c r="F224" s="405"/>
      <c r="G224" s="301"/>
      <c r="H224" s="435"/>
      <c r="I224" s="301"/>
      <c r="J224" s="301"/>
      <c r="K224" s="435"/>
      <c r="L224" s="341"/>
      <c r="M224" s="316"/>
      <c r="N224" s="316"/>
      <c r="O224" s="303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9"/>
    </row>
    <row r="225" customFormat="false" ht="15" hidden="false" customHeight="true" outlineLevel="0" collapsed="false">
      <c r="B225" s="437" t="str">
        <f aca="false">CONCATENATE($C$6," Pro Forma")</f>
        <v>Riverhill TH Pro Forma</v>
      </c>
      <c r="C225" s="438" t="str">
        <f aca="false">IF('Unit Mix &amp; Comparables'!$C$30&lt;&gt;"",'Unit Mix &amp; Comparables'!$C$30,"")</f>
        <v/>
      </c>
      <c r="D225" s="439" t="str">
        <f aca="false">IF('Unit Mix &amp; Comparables'!$D$30&lt;&gt;"",'Unit Mix &amp; Comparables'!$D$30,"")</f>
        <v/>
      </c>
      <c r="E225" s="439" t="str">
        <f aca="false">IF('Unit Mix &amp; Comparables'!$E$30&lt;&gt;"",'Unit Mix &amp; Comparables'!$E$30,"")</f>
        <v/>
      </c>
      <c r="F225" s="438" t="str">
        <f aca="false">IF('Unit Mix &amp; Comparables'!$F$30&lt;&gt;"",'Unit Mix &amp; Comparables'!$F$30,"")</f>
        <v/>
      </c>
      <c r="G225" s="440" t="str">
        <f aca="false">IF('Unit Mix &amp; Comparables'!$G$30&lt;&gt;"",'Unit Mix &amp; Comparables'!$G$30,"")</f>
        <v/>
      </c>
      <c r="H225" s="441" t="n">
        <f aca="false">IF('Unit Mix &amp; Comparables'!$H$30&lt;&gt;"",'Unit Mix &amp; Comparables'!$H$30,"")</f>
        <v>0</v>
      </c>
      <c r="I225" s="440" t="n">
        <f aca="false">'Unit Mix &amp; Comparables'!$G$40</f>
        <v>0</v>
      </c>
      <c r="J225" s="440" t="str">
        <f aca="false">IFERROR(G225+I225,"")</f>
        <v/>
      </c>
      <c r="K225" s="441" t="str">
        <f aca="false">IFERROR(J225/F225,"")</f>
        <v/>
      </c>
      <c r="L225" s="442" t="n">
        <f aca="false">C43</f>
        <v>0</v>
      </c>
      <c r="M225" s="443" t="str">
        <f aca="false">'Unit Mix &amp; Comparables'!$H$6</f>
        <v>B</v>
      </c>
      <c r="N225" s="443" t="n">
        <f aca="false">'Unit Mix &amp; Comparables'!$C$7</f>
        <v>1982</v>
      </c>
      <c r="O225" s="303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9"/>
    </row>
    <row r="226" customFormat="false" ht="15" hidden="false" customHeight="true" outlineLevel="0" collapsed="false">
      <c r="B226" s="444" t="str">
        <f aca="false">CONCATENATE($I$6," Current")</f>
        <v>Riverhill TH Current</v>
      </c>
      <c r="C226" s="445" t="str">
        <f aca="false">IF('Unit Mix &amp; Comparables'!$I$30&lt;&gt;"",'Unit Mix &amp; Comparables'!$I$30,"")</f>
        <v/>
      </c>
      <c r="D226" s="446" t="str">
        <f aca="false">IF('Unit Mix &amp; Comparables'!$J$30&lt;&gt;"",'Unit Mix &amp; Comparables'!$J$30,"")</f>
        <v/>
      </c>
      <c r="E226" s="446" t="str">
        <f aca="false">IF('Unit Mix &amp; Comparables'!$K$30&lt;&gt;"",'Unit Mix &amp; Comparables'!$K$30,"")</f>
        <v/>
      </c>
      <c r="F226" s="445" t="str">
        <f aca="false">IF('Unit Mix &amp; Comparables'!$L$30&lt;&gt;"",'Unit Mix &amp; Comparables'!$L$30,"")</f>
        <v/>
      </c>
      <c r="G226" s="447" t="str">
        <f aca="false">IF('Unit Mix &amp; Comparables'!$M$30&lt;&gt;"",'Unit Mix &amp; Comparables'!$M$30,"")</f>
        <v/>
      </c>
      <c r="H226" s="448" t="n">
        <f aca="false">IF('Unit Mix &amp; Comparables'!$N$30&lt;&gt;"",'Unit Mix &amp; Comparables'!$N$30,"")</f>
        <v>0</v>
      </c>
      <c r="I226" s="447" t="n">
        <f aca="false">'Unit Mix &amp; Comparables'!$M$40</f>
        <v>0</v>
      </c>
      <c r="J226" s="447" t="str">
        <f aca="false">IFERROR(G226+I226,"")</f>
        <v/>
      </c>
      <c r="K226" s="448" t="str">
        <f aca="false">IFERROR(J226/F226,"")</f>
        <v/>
      </c>
      <c r="L226" s="449" t="n">
        <f aca="false">$I$43</f>
        <v>0</v>
      </c>
      <c r="M226" s="450" t="str">
        <f aca="false">'Unit Mix &amp; Comparables'!$H$6</f>
        <v>B</v>
      </c>
      <c r="N226" s="450" t="n">
        <f aca="false">'Unit Mix &amp; Comparables'!$C$7</f>
        <v>1982</v>
      </c>
      <c r="O226" s="303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9"/>
    </row>
    <row r="227" customFormat="false" ht="15" hidden="true" customHeight="true" outlineLevel="0" collapsed="false">
      <c r="B227" s="434"/>
      <c r="C227" s="405"/>
      <c r="D227" s="299"/>
      <c r="E227" s="299"/>
      <c r="F227" s="405"/>
      <c r="G227" s="301"/>
      <c r="H227" s="435"/>
      <c r="I227" s="301"/>
      <c r="J227" s="301"/>
      <c r="K227" s="435"/>
      <c r="L227" s="341"/>
      <c r="M227" s="316"/>
      <c r="N227" s="316"/>
      <c r="O227" s="303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9"/>
    </row>
    <row r="228" customFormat="false" ht="15" hidden="true" customHeight="true" outlineLevel="0" collapsed="false">
      <c r="B228" s="434"/>
      <c r="C228" s="405"/>
      <c r="D228" s="299"/>
      <c r="E228" s="299"/>
      <c r="F228" s="405"/>
      <c r="G228" s="301"/>
      <c r="H228" s="435"/>
      <c r="I228" s="301"/>
      <c r="J228" s="301"/>
      <c r="K228" s="435"/>
      <c r="L228" s="341"/>
      <c r="M228" s="316"/>
      <c r="N228" s="316"/>
      <c r="O228" s="303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9"/>
    </row>
    <row r="229" customFormat="false" ht="15" hidden="true" customHeight="true" outlineLevel="0" collapsed="false">
      <c r="B229" s="434"/>
      <c r="C229" s="405"/>
      <c r="D229" s="299"/>
      <c r="E229" s="299"/>
      <c r="F229" s="405"/>
      <c r="G229" s="301"/>
      <c r="H229" s="435"/>
      <c r="I229" s="301"/>
      <c r="J229" s="301"/>
      <c r="K229" s="435"/>
      <c r="L229" s="341"/>
      <c r="M229" s="316"/>
      <c r="N229" s="316"/>
      <c r="O229" s="303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9"/>
    </row>
    <row r="230" customFormat="false" ht="15" hidden="true" customHeight="true" outlineLevel="0" collapsed="false">
      <c r="B230" s="434"/>
      <c r="C230" s="405"/>
      <c r="D230" s="299"/>
      <c r="E230" s="299"/>
      <c r="F230" s="405"/>
      <c r="G230" s="301"/>
      <c r="H230" s="435"/>
      <c r="I230" s="301"/>
      <c r="J230" s="301"/>
      <c r="K230" s="435"/>
      <c r="L230" s="341"/>
      <c r="M230" s="316"/>
      <c r="N230" s="316"/>
      <c r="O230" s="303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9"/>
    </row>
    <row r="231" customFormat="false" ht="15" hidden="true" customHeight="true" outlineLevel="0" collapsed="false">
      <c r="B231" s="434"/>
      <c r="C231" s="405"/>
      <c r="D231" s="299"/>
      <c r="E231" s="299"/>
      <c r="F231" s="405"/>
      <c r="G231" s="301"/>
      <c r="H231" s="435"/>
      <c r="I231" s="301"/>
      <c r="J231" s="301"/>
      <c r="K231" s="435"/>
      <c r="L231" s="341"/>
      <c r="M231" s="316"/>
      <c r="N231" s="316"/>
      <c r="O231" s="303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9"/>
    </row>
    <row r="232" customFormat="false" ht="15" hidden="true" customHeight="true" outlineLevel="0" collapsed="false">
      <c r="B232" s="434"/>
      <c r="C232" s="405"/>
      <c r="D232" s="299"/>
      <c r="E232" s="299"/>
      <c r="F232" s="405"/>
      <c r="G232" s="301"/>
      <c r="H232" s="435"/>
      <c r="I232" s="301"/>
      <c r="J232" s="301"/>
      <c r="K232" s="435"/>
      <c r="L232" s="341"/>
      <c r="M232" s="316"/>
      <c r="N232" s="316"/>
      <c r="O232" s="303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9"/>
    </row>
    <row r="233" customFormat="false" ht="15" hidden="true" customHeight="true" outlineLevel="0" collapsed="false">
      <c r="B233" s="434"/>
      <c r="C233" s="405"/>
      <c r="D233" s="299"/>
      <c r="E233" s="299"/>
      <c r="F233" s="405"/>
      <c r="G233" s="301"/>
      <c r="H233" s="435"/>
      <c r="I233" s="301"/>
      <c r="J233" s="301"/>
      <c r="K233" s="435"/>
      <c r="L233" s="341"/>
      <c r="M233" s="316"/>
      <c r="N233" s="316"/>
      <c r="O233" s="303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9"/>
    </row>
    <row r="234" customFormat="false" ht="15" hidden="true" customHeight="true" outlineLevel="0" collapsed="false">
      <c r="B234" s="434"/>
      <c r="C234" s="405"/>
      <c r="D234" s="299"/>
      <c r="E234" s="299"/>
      <c r="F234" s="405"/>
      <c r="G234" s="301"/>
      <c r="H234" s="435"/>
      <c r="I234" s="301"/>
      <c r="J234" s="301"/>
      <c r="K234" s="435"/>
      <c r="L234" s="341"/>
      <c r="M234" s="316"/>
      <c r="N234" s="316"/>
      <c r="O234" s="303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9"/>
    </row>
    <row r="235" customFormat="false" ht="15" hidden="true" customHeight="true" outlineLevel="0" collapsed="false">
      <c r="B235" s="434"/>
      <c r="C235" s="405"/>
      <c r="D235" s="299"/>
      <c r="E235" s="299"/>
      <c r="F235" s="405"/>
      <c r="G235" s="301"/>
      <c r="H235" s="435"/>
      <c r="I235" s="301"/>
      <c r="J235" s="301"/>
      <c r="K235" s="435"/>
      <c r="L235" s="341"/>
      <c r="M235" s="316"/>
      <c r="N235" s="316"/>
      <c r="O235" s="303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9"/>
    </row>
    <row r="236" customFormat="false" ht="15" hidden="true" customHeight="true" outlineLevel="0" collapsed="false">
      <c r="B236" s="434"/>
      <c r="C236" s="405"/>
      <c r="D236" s="299"/>
      <c r="E236" s="299"/>
      <c r="F236" s="405"/>
      <c r="G236" s="301"/>
      <c r="H236" s="435"/>
      <c r="I236" s="301"/>
      <c r="J236" s="301"/>
      <c r="K236" s="435"/>
      <c r="L236" s="341"/>
      <c r="M236" s="316"/>
      <c r="N236" s="316"/>
      <c r="O236" s="303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9"/>
    </row>
    <row r="237" customFormat="false" ht="15" hidden="true" customHeight="true" outlineLevel="0" collapsed="false">
      <c r="B237" s="434"/>
      <c r="C237" s="405"/>
      <c r="D237" s="299"/>
      <c r="E237" s="299"/>
      <c r="F237" s="405"/>
      <c r="G237" s="301"/>
      <c r="H237" s="435"/>
      <c r="I237" s="301"/>
      <c r="J237" s="301"/>
      <c r="K237" s="435"/>
      <c r="L237" s="341"/>
      <c r="M237" s="316"/>
      <c r="N237" s="316"/>
      <c r="O237" s="303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9"/>
    </row>
    <row r="238" customFormat="false" ht="15" hidden="true" customHeight="true" outlineLevel="0" collapsed="false">
      <c r="B238" s="434"/>
      <c r="C238" s="405"/>
      <c r="D238" s="299"/>
      <c r="E238" s="299"/>
      <c r="F238" s="405"/>
      <c r="G238" s="301"/>
      <c r="H238" s="435"/>
      <c r="I238" s="301"/>
      <c r="J238" s="301"/>
      <c r="K238" s="435"/>
      <c r="L238" s="341"/>
      <c r="M238" s="316"/>
      <c r="N238" s="316"/>
      <c r="O238" s="303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9"/>
    </row>
    <row r="239" customFormat="false" ht="15" hidden="true" customHeight="true" outlineLevel="0" collapsed="false">
      <c r="B239" s="434"/>
      <c r="C239" s="405"/>
      <c r="D239" s="299"/>
      <c r="E239" s="299"/>
      <c r="F239" s="405"/>
      <c r="G239" s="301"/>
      <c r="H239" s="435"/>
      <c r="I239" s="301"/>
      <c r="J239" s="301"/>
      <c r="K239" s="435"/>
      <c r="L239" s="341"/>
      <c r="M239" s="316"/>
      <c r="N239" s="316"/>
      <c r="O239" s="303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9"/>
    </row>
    <row r="240" customFormat="false" ht="15" hidden="true" customHeight="true" outlineLevel="0" collapsed="false">
      <c r="B240" s="434"/>
      <c r="C240" s="405"/>
      <c r="D240" s="299"/>
      <c r="E240" s="299"/>
      <c r="F240" s="405"/>
      <c r="G240" s="301"/>
      <c r="H240" s="435"/>
      <c r="I240" s="301"/>
      <c r="J240" s="301"/>
      <c r="K240" s="435"/>
      <c r="L240" s="341"/>
      <c r="M240" s="316"/>
      <c r="N240" s="316"/>
      <c r="O240" s="303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9"/>
    </row>
    <row r="241" customFormat="false" ht="15" hidden="true" customHeight="true" outlineLevel="0" collapsed="false">
      <c r="B241" s="434"/>
      <c r="C241" s="405"/>
      <c r="D241" s="299"/>
      <c r="E241" s="299"/>
      <c r="F241" s="405"/>
      <c r="G241" s="301"/>
      <c r="H241" s="435"/>
      <c r="I241" s="301"/>
      <c r="J241" s="301"/>
      <c r="K241" s="435"/>
      <c r="L241" s="341"/>
      <c r="M241" s="316"/>
      <c r="N241" s="316"/>
      <c r="O241" s="303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9"/>
    </row>
    <row r="242" customFormat="false" ht="15" hidden="true" customHeight="true" outlineLevel="0" collapsed="false">
      <c r="B242" s="434"/>
      <c r="C242" s="405"/>
      <c r="D242" s="299"/>
      <c r="E242" s="299"/>
      <c r="F242" s="405"/>
      <c r="G242" s="301"/>
      <c r="H242" s="435"/>
      <c r="I242" s="301"/>
      <c r="J242" s="301"/>
      <c r="K242" s="435"/>
      <c r="L242" s="341"/>
      <c r="M242" s="316"/>
      <c r="N242" s="316"/>
      <c r="O242" s="303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9"/>
    </row>
    <row r="243" customFormat="false" ht="15" hidden="true" customHeight="true" outlineLevel="0" collapsed="false">
      <c r="B243" s="434"/>
      <c r="C243" s="405"/>
      <c r="D243" s="299"/>
      <c r="E243" s="299"/>
      <c r="F243" s="405"/>
      <c r="G243" s="301"/>
      <c r="H243" s="435"/>
      <c r="I243" s="301"/>
      <c r="J243" s="301"/>
      <c r="K243" s="435"/>
      <c r="L243" s="341"/>
      <c r="M243" s="316"/>
      <c r="N243" s="316"/>
      <c r="O243" s="303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9"/>
    </row>
    <row r="244" customFormat="false" ht="15" hidden="true" customHeight="true" outlineLevel="0" collapsed="false">
      <c r="B244" s="434"/>
      <c r="C244" s="405"/>
      <c r="D244" s="299"/>
      <c r="E244" s="299"/>
      <c r="F244" s="405"/>
      <c r="G244" s="301"/>
      <c r="H244" s="435"/>
      <c r="I244" s="301"/>
      <c r="J244" s="301"/>
      <c r="K244" s="435"/>
      <c r="L244" s="341"/>
      <c r="M244" s="316"/>
      <c r="N244" s="316"/>
      <c r="O244" s="303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9"/>
    </row>
    <row r="245" customFormat="false" ht="15" hidden="true" customHeight="true" outlineLevel="0" collapsed="false">
      <c r="B245" s="434"/>
      <c r="C245" s="405"/>
      <c r="D245" s="299"/>
      <c r="E245" s="299"/>
      <c r="F245" s="405"/>
      <c r="G245" s="301"/>
      <c r="H245" s="435"/>
      <c r="I245" s="301"/>
      <c r="J245" s="301"/>
      <c r="K245" s="435"/>
      <c r="L245" s="341"/>
      <c r="M245" s="316"/>
      <c r="N245" s="316"/>
      <c r="O245" s="303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9"/>
    </row>
    <row r="246" customFormat="false" ht="15" hidden="true" customHeight="true" outlineLevel="0" collapsed="false">
      <c r="B246" s="434"/>
      <c r="C246" s="405"/>
      <c r="D246" s="299"/>
      <c r="E246" s="299"/>
      <c r="F246" s="405"/>
      <c r="G246" s="301"/>
      <c r="H246" s="435"/>
      <c r="I246" s="301"/>
      <c r="J246" s="301"/>
      <c r="K246" s="435"/>
      <c r="L246" s="341"/>
      <c r="M246" s="316"/>
      <c r="N246" s="316"/>
      <c r="O246" s="303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9"/>
    </row>
    <row r="247" customFormat="false" ht="15" hidden="true" customHeight="true" outlineLevel="0" collapsed="false">
      <c r="B247" s="434"/>
      <c r="C247" s="405"/>
      <c r="D247" s="299"/>
      <c r="E247" s="299"/>
      <c r="F247" s="405"/>
      <c r="G247" s="301"/>
      <c r="H247" s="435"/>
      <c r="I247" s="301"/>
      <c r="J247" s="301"/>
      <c r="K247" s="435"/>
      <c r="L247" s="341"/>
      <c r="M247" s="316"/>
      <c r="N247" s="316"/>
      <c r="O247" s="303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9"/>
    </row>
    <row r="248" customFormat="false" ht="13.5" hidden="true" customHeight="true" outlineLevel="0" collapsed="false">
      <c r="B248" s="451"/>
      <c r="C248" s="413"/>
      <c r="D248" s="359"/>
      <c r="E248" s="359"/>
      <c r="F248" s="413"/>
      <c r="G248" s="363"/>
      <c r="H248" s="452"/>
      <c r="I248" s="363"/>
      <c r="J248" s="363"/>
      <c r="K248" s="452"/>
      <c r="L248" s="453"/>
      <c r="M248" s="454"/>
      <c r="N248" s="454"/>
      <c r="O248" s="365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  <c r="AW248" s="146"/>
      <c r="AX248" s="146"/>
      <c r="AY248" s="146"/>
      <c r="AZ248" s="146"/>
      <c r="BA248" s="146"/>
      <c r="BB248" s="146"/>
      <c r="BC248" s="146"/>
      <c r="BD248" s="146"/>
      <c r="BE248" s="146"/>
      <c r="BF248" s="146"/>
      <c r="BG248" s="153"/>
    </row>
    <row r="249" customFormat="false" ht="13.5" hidden="false" customHeight="true" outlineLevel="0" collapsed="false">
      <c r="B249" s="437" t="str">
        <f aca="false">CONCATENATE($C$6," Pro Forma")</f>
        <v>Riverhill TH Pro Forma</v>
      </c>
      <c r="C249" s="438" t="str">
        <f aca="false">IF('Unit Mix &amp; Comparables'!$C$22&lt;&gt;"",'Unit Mix &amp; Comparables'!$C$22,"")</f>
        <v/>
      </c>
      <c r="D249" s="439" t="str">
        <f aca="false">IF('Unit Mix &amp; Comparables'!$D$22&lt;&gt;"",'Unit Mix &amp; Comparables'!$D$22,"")</f>
        <v/>
      </c>
      <c r="E249" s="439" t="str">
        <f aca="false">IF('Unit Mix &amp; Comparables'!$E$22&lt;&gt;"",'Unit Mix &amp; Comparables'!$E$22,"")</f>
        <v/>
      </c>
      <c r="F249" s="438" t="str">
        <f aca="false">IF('Unit Mix &amp; Comparables'!$F$22&lt;&gt;"",'Unit Mix &amp; Comparables'!$F$22,"")</f>
        <v/>
      </c>
      <c r="G249" s="440" t="str">
        <f aca="false">IF('Unit Mix &amp; Comparables'!$G$22&lt;&gt;"",'Unit Mix &amp; Comparables'!$G$22,"")</f>
        <v/>
      </c>
      <c r="H249" s="441" t="n">
        <f aca="false">IF('Unit Mix &amp; Comparables'!$H$22&lt;&gt;"",'Unit Mix &amp; Comparables'!$H$22,"")</f>
        <v>0</v>
      </c>
      <c r="I249" s="440" t="n">
        <f aca="false">'Unit Mix &amp; Comparables'!$G$40</f>
        <v>0</v>
      </c>
      <c r="J249" s="440" t="str">
        <f aca="false">IFERROR(G249+I249,"")</f>
        <v/>
      </c>
      <c r="K249" s="441" t="str">
        <f aca="false">IFERROR(J249/F249,"")</f>
        <v/>
      </c>
      <c r="L249" s="442" t="n">
        <f aca="false">C43</f>
        <v>0</v>
      </c>
      <c r="M249" s="443" t="str">
        <f aca="false">'Unit Mix &amp; Comparables'!$H$6</f>
        <v>B</v>
      </c>
      <c r="N249" s="443" t="n">
        <f aca="false">'Unit Mix &amp; Comparables'!$C$7</f>
        <v>1982</v>
      </c>
    </row>
    <row r="250" customFormat="false" ht="13.5" hidden="false" customHeight="true" outlineLevel="0" collapsed="false">
      <c r="B250" s="444" t="str">
        <f aca="false">CONCATENATE($I$6," Current")</f>
        <v>Riverhill TH Current</v>
      </c>
      <c r="C250" s="445" t="str">
        <f aca="false">IF('Unit Mix &amp; Comparables'!$I$22&lt;&gt;"",'Unit Mix &amp; Comparables'!$I$22,"")</f>
        <v/>
      </c>
      <c r="D250" s="446" t="str">
        <f aca="false">IF('Unit Mix &amp; Comparables'!$J$22&lt;&gt;"",'Unit Mix &amp; Comparables'!$J$22,"")</f>
        <v/>
      </c>
      <c r="E250" s="446" t="str">
        <f aca="false">IF('Unit Mix &amp; Comparables'!$K$22&lt;&gt;"",'Unit Mix &amp; Comparables'!$K$22,"")</f>
        <v/>
      </c>
      <c r="F250" s="445" t="str">
        <f aca="false">IF('Unit Mix &amp; Comparables'!$L$22&lt;&gt;"",'Unit Mix &amp; Comparables'!$L$22,"")</f>
        <v/>
      </c>
      <c r="G250" s="447" t="str">
        <f aca="false">IF('Unit Mix &amp; Comparables'!$M$22&lt;&gt;"",'Unit Mix &amp; Comparables'!$M$22,"")</f>
        <v/>
      </c>
      <c r="H250" s="448" t="n">
        <f aca="false">IF('Unit Mix &amp; Comparables'!$N$22&lt;&gt;"",'Unit Mix &amp; Comparables'!$N$22,"")</f>
        <v>0</v>
      </c>
      <c r="I250" s="447" t="n">
        <f aca="false">'Unit Mix &amp; Comparables'!$M$40</f>
        <v>0</v>
      </c>
      <c r="J250" s="447" t="str">
        <f aca="false">IFERROR(G250+I250,"")</f>
        <v/>
      </c>
      <c r="K250" s="448" t="str">
        <f aca="false">IFERROR(J250/F250,"")</f>
        <v/>
      </c>
      <c r="L250" s="449" t="n">
        <f aca="false">$I$43</f>
        <v>0</v>
      </c>
      <c r="M250" s="450" t="str">
        <f aca="false">'Unit Mix &amp; Comparables'!$H$6</f>
        <v>B</v>
      </c>
      <c r="N250" s="450" t="n">
        <f aca="false">'Unit Mix &amp; Comparables'!$C$7</f>
        <v>1982</v>
      </c>
    </row>
    <row r="251" customFormat="false" ht="13.5" hidden="false" customHeight="true" outlineLevel="0" collapsed="false">
      <c r="B251" s="434" t="str">
        <f aca="false">$X$6</f>
        <v>Riverside Manor</v>
      </c>
      <c r="C251" s="405" t="n">
        <f aca="false">IF('Unit Mix &amp; Comparables'!$X9&lt;&gt;"",'Unit Mix &amp; Comparables'!$X9,"")</f>
        <v>25</v>
      </c>
      <c r="D251" s="299" t="n">
        <f aca="false">IF('Unit Mix &amp; Comparables'!$Y9&lt;&gt;"",'Unit Mix &amp; Comparables'!$Y9,"")</f>
        <v>1</v>
      </c>
      <c r="E251" s="299" t="n">
        <f aca="false">IF('Unit Mix &amp; Comparables'!$Z9&lt;&gt;"",'Unit Mix &amp; Comparables'!$Z9,"")</f>
        <v>1</v>
      </c>
      <c r="F251" s="405" t="n">
        <f aca="false">IF('Unit Mix &amp; Comparables'!$AA9&lt;&gt;"",'Unit Mix &amp; Comparables'!$AA9,"")</f>
        <v>570</v>
      </c>
      <c r="G251" s="301" t="n">
        <f aca="false">IF('Unit Mix &amp; Comparables'!$AB9&lt;&gt;"",'Unit Mix &amp; Comparables'!$AB9,"")</f>
        <v>345</v>
      </c>
      <c r="H251" s="435" t="n">
        <f aca="false">IF('Unit Mix &amp; Comparables'!$AC9&lt;&gt;"",'Unit Mix &amp; Comparables'!$AC9,"")</f>
        <v>0.605263157894737</v>
      </c>
      <c r="I251" s="301" t="n">
        <f aca="false">'Unit Mix &amp; Comparables'!$AB$40</f>
        <v>0</v>
      </c>
      <c r="J251" s="301" t="n">
        <f aca="false">IFERROR(G251+I251,"")</f>
        <v>345</v>
      </c>
      <c r="K251" s="435" t="n">
        <f aca="false">IFERROR(J251/F251,"")</f>
        <v>0.605263157894737</v>
      </c>
      <c r="L251" s="341" t="n">
        <f aca="false">X222</f>
        <v>0</v>
      </c>
      <c r="M251" s="316" t="str">
        <f aca="false">'Unit Mix &amp; Comparables'!$W$6</f>
        <v>B</v>
      </c>
      <c r="N251" s="316" t="n">
        <f aca="false">$X$7</f>
        <v>1985</v>
      </c>
    </row>
    <row r="252" customFormat="false" ht="13.5" hidden="false" customHeight="true" outlineLevel="0" collapsed="false">
      <c r="B252" s="434" t="str">
        <f aca="false">$AJ$6</f>
        <v>Riverside South</v>
      </c>
      <c r="C252" s="405" t="n">
        <f aca="false">IF('Unit Mix &amp; Comparables'!$AJ11&lt;&gt;"",'Unit Mix &amp; Comparables'!$AJ11,"")</f>
        <v>25</v>
      </c>
      <c r="D252" s="299" t="n">
        <f aca="false">IF('Unit Mix &amp; Comparables'!$AK11&lt;&gt;"",'Unit Mix &amp; Comparables'!$AK11,"")</f>
        <v>2</v>
      </c>
      <c r="E252" s="299" t="n">
        <f aca="false">IF('Unit Mix &amp; Comparables'!$AL11&lt;&gt;"",'Unit Mix &amp; Comparables'!$AL11,"")</f>
        <v>1</v>
      </c>
      <c r="F252" s="405" t="n">
        <f aca="false">IF('Unit Mix &amp; Comparables'!$AM11&lt;&gt;"",'Unit Mix &amp; Comparables'!$AM11,"")</f>
        <v>750</v>
      </c>
      <c r="G252" s="301" t="n">
        <f aca="false">IF('Unit Mix &amp; Comparables'!$AN11&lt;&gt;"",'Unit Mix &amp; Comparables'!$AN11,"")</f>
        <v>457</v>
      </c>
      <c r="H252" s="435" t="n">
        <f aca="false">IF('Unit Mix &amp; Comparables'!$AO11&lt;&gt;"",'Unit Mix &amp; Comparables'!$AO11,"")</f>
        <v>0.609333333333333</v>
      </c>
      <c r="I252" s="301" t="n">
        <f aca="false">'Unit Mix &amp; Comparables'!$V$40</f>
        <v>0</v>
      </c>
      <c r="J252" s="301" t="n">
        <f aca="false">IFERROR(G252+I252,"")</f>
        <v>457</v>
      </c>
      <c r="K252" s="435" t="n">
        <f aca="false">IFERROR(J252/F252,"")</f>
        <v>0.609333333333333</v>
      </c>
      <c r="L252" s="341" t="n">
        <f aca="false">AJ12</f>
        <v>25</v>
      </c>
      <c r="M252" s="316" t="str">
        <f aca="false">'Unit Mix &amp; Comparables'!$AO$6</f>
        <v>B</v>
      </c>
      <c r="N252" s="316" t="n">
        <f aca="false">$AJ$7</f>
        <v>1988</v>
      </c>
    </row>
    <row r="253" customFormat="false" ht="13.5" hidden="false" customHeight="true" outlineLevel="0" collapsed="false">
      <c r="B253" s="434" t="str">
        <f aca="false">$AP$6</f>
        <v>Country View</v>
      </c>
      <c r="C253" s="405" t="str">
        <f aca="false">IF('Unit Mix &amp; Comparables'!$AP13&lt;&gt;"",'Unit Mix &amp; Comparables'!$AP13,"")</f>
        <v/>
      </c>
      <c r="D253" s="299" t="str">
        <f aca="false">IF('Unit Mix &amp; Comparables'!$AQ$13&lt;&gt;"",'Unit Mix &amp; Comparables'!$AQ$13,"")</f>
        <v/>
      </c>
      <c r="E253" s="299" t="str">
        <f aca="false">IF('Unit Mix &amp; Comparables'!$AR$13&lt;&gt;"",'Unit Mix &amp; Comparables'!$AR$13,"")</f>
        <v/>
      </c>
      <c r="F253" s="405" t="str">
        <f aca="false">IF('Unit Mix &amp; Comparables'!$AS$13&lt;&gt;"",'Unit Mix &amp; Comparables'!$AS$13,"")</f>
        <v/>
      </c>
      <c r="G253" s="301" t="str">
        <f aca="false">IF('Unit Mix &amp; Comparables'!$AT$13&lt;&gt;"",'Unit Mix &amp; Comparables'!$AT$13,"")</f>
        <v/>
      </c>
      <c r="H253" s="435" t="n">
        <f aca="false">IF('Unit Mix &amp; Comparables'!$AU$13&lt;&gt;"",'Unit Mix &amp; Comparables'!$AU$13,"")</f>
        <v>0</v>
      </c>
      <c r="I253" s="301" t="n">
        <f aca="false">'Unit Mix &amp; Comparables'!$AT$40</f>
        <v>0</v>
      </c>
      <c r="J253" s="301" t="str">
        <f aca="false">IFERROR(G253+I253,"")</f>
        <v/>
      </c>
      <c r="K253" s="435" t="str">
        <f aca="false">IFERROR(J253/F253,"")</f>
        <v/>
      </c>
      <c r="L253" s="341" t="n">
        <f aca="false">$AP$43</f>
        <v>0</v>
      </c>
      <c r="M253" s="316" t="str">
        <f aca="false">'Unit Mix &amp; Comparables'!$AU$6</f>
        <v>B</v>
      </c>
      <c r="N253" s="316" t="n">
        <f aca="false">'Unit Mix &amp; Comparables'!$AP$7</f>
        <v>1993</v>
      </c>
    </row>
    <row r="254" customFormat="false" ht="13.5" hidden="false" customHeight="true" outlineLevel="0" collapsed="false">
      <c r="B254" s="437" t="str">
        <f aca="false">CONCATENATE($C$6," Pro Forma")</f>
        <v>Riverhill TH Pro Forma</v>
      </c>
      <c r="C254" s="438" t="str">
        <f aca="false">IF('Unit Mix &amp; Comparables'!$C$32&lt;&gt;"",'Unit Mix &amp; Comparables'!$C$32,"")</f>
        <v/>
      </c>
      <c r="D254" s="439" t="str">
        <f aca="false">IF('Unit Mix &amp; Comparables'!$D$32&lt;&gt;"",'Unit Mix &amp; Comparables'!$D$32,"")</f>
        <v/>
      </c>
      <c r="E254" s="439" t="str">
        <f aca="false">IF('Unit Mix &amp; Comparables'!$E$32&lt;&gt;"",'Unit Mix &amp; Comparables'!$E$32,"")</f>
        <v/>
      </c>
      <c r="F254" s="438" t="str">
        <f aca="false">IF('Unit Mix &amp; Comparables'!$F$32&lt;&gt;"",'Unit Mix &amp; Comparables'!$F$32,"")</f>
        <v/>
      </c>
      <c r="G254" s="440" t="str">
        <f aca="false">IF('Unit Mix &amp; Comparables'!$G$32&lt;&gt;"",'Unit Mix &amp; Comparables'!$G$32,"")</f>
        <v/>
      </c>
      <c r="H254" s="441" t="n">
        <f aca="false">IF('Unit Mix &amp; Comparables'!$H$32&lt;&gt;"",'Unit Mix &amp; Comparables'!$H$32,"")</f>
        <v>0</v>
      </c>
      <c r="I254" s="440" t="n">
        <v>0</v>
      </c>
      <c r="J254" s="440" t="str">
        <f aca="false">IFERROR(G254+I254,"")</f>
        <v/>
      </c>
      <c r="K254" s="441" t="str">
        <f aca="false">IFERROR(J254/F254,"")</f>
        <v/>
      </c>
      <c r="L254" s="442" t="n">
        <f aca="false">C43</f>
        <v>0</v>
      </c>
      <c r="M254" s="443" t="str">
        <f aca="false">'Unit Mix &amp; Comparables'!$H$6</f>
        <v>B</v>
      </c>
      <c r="N254" s="443" t="n">
        <f aca="false">'Unit Mix &amp; Comparables'!$C$7</f>
        <v>1982</v>
      </c>
    </row>
    <row r="255" customFormat="false" ht="13.5" hidden="false" customHeight="true" outlineLevel="0" collapsed="false">
      <c r="B255" s="444" t="str">
        <f aca="false">CONCATENATE($I$6," Current")</f>
        <v>Riverhill TH Current</v>
      </c>
      <c r="C255" s="445" t="str">
        <f aca="false">IF('Unit Mix &amp; Comparables'!$I$32&lt;&gt;"",'Unit Mix &amp; Comparables'!$I$32,"")</f>
        <v/>
      </c>
      <c r="D255" s="446" t="str">
        <f aca="false">IF('Unit Mix &amp; Comparables'!$J$32&lt;&gt;"",'Unit Mix &amp; Comparables'!$J$32,"")</f>
        <v/>
      </c>
      <c r="E255" s="446" t="str">
        <f aca="false">IF('Unit Mix &amp; Comparables'!$K$32&lt;&gt;"",'Unit Mix &amp; Comparables'!$K$32,"")</f>
        <v/>
      </c>
      <c r="F255" s="445" t="str">
        <f aca="false">IF('Unit Mix &amp; Comparables'!$L$32&lt;&gt;"",'Unit Mix &amp; Comparables'!$L$32,"")</f>
        <v/>
      </c>
      <c r="G255" s="447" t="str">
        <f aca="false">IF('Unit Mix &amp; Comparables'!$M$32&lt;&gt;"",'Unit Mix &amp; Comparables'!$M$32,"")</f>
        <v/>
      </c>
      <c r="H255" s="448" t="n">
        <f aca="false">IF('Unit Mix &amp; Comparables'!$N$32&lt;&gt;"",'Unit Mix &amp; Comparables'!$N$32,"")</f>
        <v>0</v>
      </c>
      <c r="I255" s="447" t="n">
        <f aca="false">'Unit Mix &amp; Comparables'!$M$40</f>
        <v>0</v>
      </c>
      <c r="J255" s="447" t="str">
        <f aca="false">IFERROR(G255+I255,"")</f>
        <v/>
      </c>
      <c r="K255" s="448" t="str">
        <f aca="false">IFERROR(J255/F255,"")</f>
        <v/>
      </c>
      <c r="L255" s="449" t="n">
        <f aca="false">$I$43</f>
        <v>0</v>
      </c>
      <c r="M255" s="450" t="str">
        <f aca="false">'Unit Mix &amp; Comparables'!$H$6</f>
        <v>B</v>
      </c>
      <c r="N255" s="450" t="n">
        <f aca="false">'Unit Mix &amp; Comparables'!$C$7</f>
        <v>1982</v>
      </c>
    </row>
    <row r="256" customFormat="false" ht="13.5" hidden="false" customHeight="true" outlineLevel="0" collapsed="false">
      <c r="B256" s="437" t="str">
        <f aca="false">CONCATENATE($C$6," Pro Forma")</f>
        <v>Riverhill TH Pro Forma</v>
      </c>
      <c r="C256" s="438" t="str">
        <f aca="false">IF('Unit Mix &amp; Comparables'!$C$24&lt;&gt;"",'Unit Mix &amp; Comparables'!$C$24,"")</f>
        <v/>
      </c>
      <c r="D256" s="439" t="str">
        <f aca="false">IF('Unit Mix &amp; Comparables'!$D$24&lt;&gt;"",'Unit Mix &amp; Comparables'!$D$24,"")</f>
        <v/>
      </c>
      <c r="E256" s="439" t="str">
        <f aca="false">IF('Unit Mix &amp; Comparables'!$E$24&lt;&gt;"",'Unit Mix &amp; Comparables'!$E$24,"")</f>
        <v/>
      </c>
      <c r="F256" s="438" t="str">
        <f aca="false">IF('Unit Mix &amp; Comparables'!$F$24&lt;&gt;"",'Unit Mix &amp; Comparables'!$F$24,"")</f>
        <v/>
      </c>
      <c r="G256" s="440" t="str">
        <f aca="false">IF('Unit Mix &amp; Comparables'!$G$24&lt;&gt;"",'Unit Mix &amp; Comparables'!$G$24,"")</f>
        <v/>
      </c>
      <c r="H256" s="441" t="n">
        <f aca="false">IF('Unit Mix &amp; Comparables'!$H$24&lt;&gt;"",'Unit Mix &amp; Comparables'!$H$24,"")</f>
        <v>0</v>
      </c>
      <c r="I256" s="440" t="n">
        <f aca="false">'Unit Mix &amp; Comparables'!$G$40</f>
        <v>0</v>
      </c>
      <c r="J256" s="440" t="str">
        <f aca="false">IFERROR(G256+I256,"")</f>
        <v/>
      </c>
      <c r="K256" s="441" t="str">
        <f aca="false">IFERROR(J256/F256,"")</f>
        <v/>
      </c>
      <c r="L256" s="442" t="n">
        <f aca="false">C43</f>
        <v>0</v>
      </c>
      <c r="M256" s="443" t="str">
        <f aca="false">'Unit Mix &amp; Comparables'!$H$6</f>
        <v>B</v>
      </c>
      <c r="N256" s="443" t="n">
        <f aca="false">'Unit Mix &amp; Comparables'!$C$7</f>
        <v>1982</v>
      </c>
    </row>
    <row r="257" customFormat="false" ht="13.5" hidden="false" customHeight="true" outlineLevel="0" collapsed="false">
      <c r="B257" s="444" t="str">
        <f aca="false">CONCATENATE($I$6," Current")</f>
        <v>Riverhill TH Current</v>
      </c>
      <c r="C257" s="445" t="str">
        <f aca="false">IF('Unit Mix &amp; Comparables'!$I$24&lt;&gt;"",'Unit Mix &amp; Comparables'!$I$24,"")</f>
        <v/>
      </c>
      <c r="D257" s="446" t="str">
        <f aca="false">IF('Unit Mix &amp; Comparables'!$J$24&lt;&gt;"",'Unit Mix &amp; Comparables'!$J$24,"")</f>
        <v/>
      </c>
      <c r="E257" s="446" t="str">
        <f aca="false">IF('Unit Mix &amp; Comparables'!$K$24&lt;&gt;"",'Unit Mix &amp; Comparables'!$K$24,"")</f>
        <v/>
      </c>
      <c r="F257" s="445" t="str">
        <f aca="false">IF('Unit Mix &amp; Comparables'!$L$24&lt;&gt;"",'Unit Mix &amp; Comparables'!$L$24,"")</f>
        <v/>
      </c>
      <c r="G257" s="447" t="str">
        <f aca="false">IF('Unit Mix &amp; Comparables'!$M$24&lt;&gt;"",'Unit Mix &amp; Comparables'!$M$24,"")</f>
        <v/>
      </c>
      <c r="H257" s="448" t="n">
        <f aca="false">IF('Unit Mix &amp; Comparables'!$N$24&lt;&gt;"",'Unit Mix &amp; Comparables'!$N$24,"")</f>
        <v>0</v>
      </c>
      <c r="I257" s="447" t="n">
        <f aca="false">'Unit Mix &amp; Comparables'!$M$40</f>
        <v>0</v>
      </c>
      <c r="J257" s="447" t="str">
        <f aca="false">IFERROR(G257+I257,"")</f>
        <v/>
      </c>
      <c r="K257" s="448" t="str">
        <f aca="false">IFERROR(J257/F257,"")</f>
        <v/>
      </c>
      <c r="L257" s="449" t="n">
        <f aca="false">$I$43</f>
        <v>0</v>
      </c>
      <c r="M257" s="450" t="str">
        <f aca="false">'Unit Mix &amp; Comparables'!$H$6</f>
        <v>B</v>
      </c>
      <c r="N257" s="450" t="n">
        <f aca="false">'Unit Mix &amp; Comparables'!$C$7</f>
        <v>1982</v>
      </c>
    </row>
    <row r="258" customFormat="false" ht="13.5" hidden="false" customHeight="true" outlineLevel="0" collapsed="false">
      <c r="B258" s="437" t="str">
        <f aca="false">CONCATENATE($C$6," Pro Forma")</f>
        <v>Riverhill TH Pro Forma</v>
      </c>
      <c r="C258" s="438" t="str">
        <f aca="false">IF('Unit Mix &amp; Comparables'!$C$21&lt;&gt;"",'Unit Mix &amp; Comparables'!$C$21,"")</f>
        <v/>
      </c>
      <c r="D258" s="439" t="str">
        <f aca="false">IF('Unit Mix &amp; Comparables'!$D$21&lt;&gt;"",'Unit Mix &amp; Comparables'!$D$21,"")</f>
        <v/>
      </c>
      <c r="E258" s="439" t="str">
        <f aca="false">IF('Unit Mix &amp; Comparables'!$E$21&lt;&gt;"",'Unit Mix &amp; Comparables'!$E$21,"")</f>
        <v/>
      </c>
      <c r="F258" s="438" t="str">
        <f aca="false">IF('Unit Mix &amp; Comparables'!$F$21&lt;&gt;"",'Unit Mix &amp; Comparables'!$F$21,"")</f>
        <v/>
      </c>
      <c r="G258" s="440" t="str">
        <f aca="false">IF('Unit Mix &amp; Comparables'!$G$21&lt;&gt;"",'Unit Mix &amp; Comparables'!$G$21,"")</f>
        <v/>
      </c>
      <c r="H258" s="441" t="n">
        <f aca="false">IF('Unit Mix &amp; Comparables'!$H$21&lt;&gt;"",'Unit Mix &amp; Comparables'!$H$21,"")</f>
        <v>0</v>
      </c>
      <c r="I258" s="440" t="n">
        <f aca="false">'Unit Mix &amp; Comparables'!$G$40</f>
        <v>0</v>
      </c>
      <c r="J258" s="440" t="str">
        <f aca="false">IFERROR(G258+I258,"")</f>
        <v/>
      </c>
      <c r="K258" s="441" t="str">
        <f aca="false">IFERROR(J258/F258,"")</f>
        <v/>
      </c>
      <c r="L258" s="442" t="n">
        <f aca="false">C43</f>
        <v>0</v>
      </c>
      <c r="M258" s="443" t="str">
        <f aca="false">'Unit Mix &amp; Comparables'!$H$6</f>
        <v>B</v>
      </c>
      <c r="N258" s="443" t="n">
        <f aca="false">'Unit Mix &amp; Comparables'!$C$7</f>
        <v>1982</v>
      </c>
    </row>
    <row r="259" customFormat="false" ht="13.5" hidden="false" customHeight="true" outlineLevel="0" collapsed="false">
      <c r="B259" s="444" t="str">
        <f aca="false">CONCATENATE($I$6," Current")</f>
        <v>Riverhill TH Current</v>
      </c>
      <c r="C259" s="445" t="str">
        <f aca="false">IF('Unit Mix &amp; Comparables'!$I$21&lt;&gt;"",'Unit Mix &amp; Comparables'!$I$21,"")</f>
        <v/>
      </c>
      <c r="D259" s="446" t="str">
        <f aca="false">IF('Unit Mix &amp; Comparables'!$J$21&lt;&gt;"",'Unit Mix &amp; Comparables'!$J$21,"")</f>
        <v/>
      </c>
      <c r="E259" s="446" t="str">
        <f aca="false">IF('Unit Mix &amp; Comparables'!$K$21&lt;&gt;"",'Unit Mix &amp; Comparables'!$K$21,"")</f>
        <v/>
      </c>
      <c r="F259" s="445" t="str">
        <f aca="false">IF('Unit Mix &amp; Comparables'!$L$21&lt;&gt;"",'Unit Mix &amp; Comparables'!$L$21,"")</f>
        <v/>
      </c>
      <c r="G259" s="447" t="str">
        <f aca="false">IF('Unit Mix &amp; Comparables'!$M$21&lt;&gt;"",'Unit Mix &amp; Comparables'!$M$21,"")</f>
        <v/>
      </c>
      <c r="H259" s="448" t="n">
        <f aca="false">IF('Unit Mix &amp; Comparables'!$N$21&lt;&gt;"",'Unit Mix &amp; Comparables'!$N$21,"")</f>
        <v>0</v>
      </c>
      <c r="I259" s="447" t="n">
        <f aca="false">'Unit Mix &amp; Comparables'!$M$40</f>
        <v>0</v>
      </c>
      <c r="J259" s="447" t="str">
        <f aca="false">IFERROR(G259+I259,"")</f>
        <v/>
      </c>
      <c r="K259" s="448" t="str">
        <f aca="false">IFERROR(J259/F259,"")</f>
        <v/>
      </c>
      <c r="L259" s="449" t="n">
        <f aca="false">$I$43</f>
        <v>0</v>
      </c>
      <c r="M259" s="450" t="str">
        <f aca="false">'Unit Mix &amp; Comparables'!$H$6</f>
        <v>B</v>
      </c>
      <c r="N259" s="450" t="n">
        <f aca="false">'Unit Mix &amp; Comparables'!$C$7</f>
        <v>1982</v>
      </c>
    </row>
    <row r="260" customFormat="false" ht="13.5" hidden="false" customHeight="true" outlineLevel="0" collapsed="false">
      <c r="B260" s="437" t="str">
        <f aca="false">CONCATENATE($C$6," Pro Forma")</f>
        <v>Riverhill TH Pro Forma</v>
      </c>
      <c r="C260" s="438" t="str">
        <f aca="false">IF('Unit Mix &amp; Comparables'!$C$27&lt;&gt;"",'Unit Mix &amp; Comparables'!$C$27,"")</f>
        <v/>
      </c>
      <c r="D260" s="439" t="str">
        <f aca="false">IF('Unit Mix &amp; Comparables'!$D$27&lt;&gt;"",'Unit Mix &amp; Comparables'!$D$27,"")</f>
        <v/>
      </c>
      <c r="E260" s="439" t="str">
        <f aca="false">IF('Unit Mix &amp; Comparables'!$E$27&lt;&gt;"",'Unit Mix &amp; Comparables'!$E$27,"")</f>
        <v/>
      </c>
      <c r="F260" s="438" t="str">
        <f aca="false">IF('Unit Mix &amp; Comparables'!$F$27&lt;&gt;"",'Unit Mix &amp; Comparables'!$F$27,"")</f>
        <v/>
      </c>
      <c r="G260" s="440" t="str">
        <f aca="false">IF('Unit Mix &amp; Comparables'!$G$27&lt;&gt;"",'Unit Mix &amp; Comparables'!$G$27,"")</f>
        <v/>
      </c>
      <c r="H260" s="441" t="n">
        <f aca="false">IF('Unit Mix &amp; Comparables'!$H$27&lt;&gt;"",'Unit Mix &amp; Comparables'!$H$27,"")</f>
        <v>0</v>
      </c>
      <c r="I260" s="440" t="n">
        <f aca="false">'Unit Mix &amp; Comparables'!$G$40</f>
        <v>0</v>
      </c>
      <c r="J260" s="440" t="str">
        <f aca="false">IFERROR(G260+I260,"")</f>
        <v/>
      </c>
      <c r="K260" s="441" t="str">
        <f aca="false">IFERROR(J260/F260,"")</f>
        <v/>
      </c>
      <c r="L260" s="442" t="n">
        <f aca="false">C43</f>
        <v>0</v>
      </c>
      <c r="M260" s="443" t="str">
        <f aca="false">'Unit Mix &amp; Comparables'!$H$6</f>
        <v>B</v>
      </c>
      <c r="N260" s="443" t="n">
        <f aca="false">'Unit Mix &amp; Comparables'!$C$7</f>
        <v>1982</v>
      </c>
    </row>
    <row r="261" customFormat="false" ht="13.5" hidden="false" customHeight="true" outlineLevel="0" collapsed="false">
      <c r="B261" s="444" t="str">
        <f aca="false">CONCATENATE($I$6," Current")</f>
        <v>Riverhill TH Current</v>
      </c>
      <c r="C261" s="445" t="str">
        <f aca="false">IF('Unit Mix &amp; Comparables'!$I$27&lt;&gt;"",'Unit Mix &amp; Comparables'!$I$27,"")</f>
        <v/>
      </c>
      <c r="D261" s="446" t="str">
        <f aca="false">IF('Unit Mix &amp; Comparables'!$J$27&lt;&gt;"",'Unit Mix &amp; Comparables'!$J$27,"")</f>
        <v/>
      </c>
      <c r="E261" s="446" t="str">
        <f aca="false">IF('Unit Mix &amp; Comparables'!$K$27&lt;&gt;"",'Unit Mix &amp; Comparables'!$K$27,"")</f>
        <v/>
      </c>
      <c r="F261" s="445" t="str">
        <f aca="false">IF('Unit Mix &amp; Comparables'!$L$27&lt;&gt;"",'Unit Mix &amp; Comparables'!$L$27,"")</f>
        <v/>
      </c>
      <c r="G261" s="447" t="str">
        <f aca="false">IF('Unit Mix &amp; Comparables'!$M$27&lt;&gt;"",'Unit Mix &amp; Comparables'!$M$27,"")</f>
        <v/>
      </c>
      <c r="H261" s="448" t="n">
        <f aca="false">IF('Unit Mix &amp; Comparables'!$N$27&lt;&gt;"",'Unit Mix &amp; Comparables'!$N$27,"")</f>
        <v>0</v>
      </c>
      <c r="I261" s="447" t="n">
        <f aca="false">'Unit Mix &amp; Comparables'!$M$40</f>
        <v>0</v>
      </c>
      <c r="J261" s="447" t="str">
        <f aca="false">IFERROR(G261+I261,"")</f>
        <v/>
      </c>
      <c r="K261" s="448" t="str">
        <f aca="false">IFERROR(J261/F261,"")</f>
        <v/>
      </c>
      <c r="L261" s="449" t="n">
        <f aca="false">$I$43</f>
        <v>0</v>
      </c>
      <c r="M261" s="450" t="str">
        <f aca="false">'Unit Mix &amp; Comparables'!$H$6</f>
        <v>B</v>
      </c>
      <c r="N261" s="450" t="n">
        <f aca="false">'Unit Mix &amp; Comparables'!$C$7</f>
        <v>1982</v>
      </c>
    </row>
    <row r="262" customFormat="false" ht="13.5" hidden="false" customHeight="true" outlineLevel="0" collapsed="false">
      <c r="B262" s="437" t="str">
        <f aca="false">CONCATENATE($C$6," Pro Forma")</f>
        <v>Riverhill TH Pro Forma</v>
      </c>
      <c r="C262" s="438" t="str">
        <f aca="false">IF('Unit Mix &amp; Comparables'!$C$20&lt;&gt;"",'Unit Mix &amp; Comparables'!$C$20,"")</f>
        <v/>
      </c>
      <c r="D262" s="439" t="str">
        <f aca="false">IF('Unit Mix &amp; Comparables'!$D$20&lt;&gt;"",'Unit Mix &amp; Comparables'!$D$20,"")</f>
        <v/>
      </c>
      <c r="E262" s="439" t="str">
        <f aca="false">IF('Unit Mix &amp; Comparables'!$E$20&lt;&gt;"",'Unit Mix &amp; Comparables'!$E$20,"")</f>
        <v/>
      </c>
      <c r="F262" s="438" t="str">
        <f aca="false">IF('Unit Mix &amp; Comparables'!$F$20&lt;&gt;"",'Unit Mix &amp; Comparables'!$F$20,"")</f>
        <v/>
      </c>
      <c r="G262" s="440" t="str">
        <f aca="false">IF('Unit Mix &amp; Comparables'!$G$20&lt;&gt;"",'Unit Mix &amp; Comparables'!$G$20,"")</f>
        <v/>
      </c>
      <c r="H262" s="441" t="n">
        <f aca="false">IF('Unit Mix &amp; Comparables'!$H$20&lt;&gt;"",'Unit Mix &amp; Comparables'!$H$20,"")</f>
        <v>0</v>
      </c>
      <c r="I262" s="440" t="n">
        <f aca="false">'Unit Mix &amp; Comparables'!$G$40</f>
        <v>0</v>
      </c>
      <c r="J262" s="440" t="str">
        <f aca="false">IFERROR(G262+I262,"")</f>
        <v/>
      </c>
      <c r="K262" s="441" t="str">
        <f aca="false">IFERROR(J262/F262,"")</f>
        <v/>
      </c>
      <c r="L262" s="442" t="n">
        <f aca="false">C43</f>
        <v>0</v>
      </c>
      <c r="M262" s="443" t="str">
        <f aca="false">'Unit Mix &amp; Comparables'!$H$6</f>
        <v>B</v>
      </c>
      <c r="N262" s="443" t="n">
        <f aca="false">'Unit Mix &amp; Comparables'!$C$7</f>
        <v>1982</v>
      </c>
    </row>
    <row r="263" customFormat="false" ht="13.5" hidden="false" customHeight="true" outlineLevel="0" collapsed="false">
      <c r="B263" s="444" t="str">
        <f aca="false">CONCATENATE($I$6," Current")</f>
        <v>Riverhill TH Current</v>
      </c>
      <c r="C263" s="445" t="str">
        <f aca="false">IF('Unit Mix &amp; Comparables'!$I$20&lt;&gt;"",'Unit Mix &amp; Comparables'!$I$20,"")</f>
        <v/>
      </c>
      <c r="D263" s="446" t="str">
        <f aca="false">IF('Unit Mix &amp; Comparables'!$J$20&lt;&gt;"",'Unit Mix &amp; Comparables'!$J$20,"")</f>
        <v/>
      </c>
      <c r="E263" s="446" t="str">
        <f aca="false">IF('Unit Mix &amp; Comparables'!$K$20&lt;&gt;"",'Unit Mix &amp; Comparables'!$K$20,"")</f>
        <v/>
      </c>
      <c r="F263" s="445" t="str">
        <f aca="false">IF('Unit Mix &amp; Comparables'!$L$20&lt;&gt;"",'Unit Mix &amp; Comparables'!$L$20,"")</f>
        <v/>
      </c>
      <c r="G263" s="447" t="str">
        <f aca="false">IF('Unit Mix &amp; Comparables'!$M$20&lt;&gt;"",'Unit Mix &amp; Comparables'!$M$20,"")</f>
        <v/>
      </c>
      <c r="H263" s="448" t="n">
        <f aca="false">IF('Unit Mix &amp; Comparables'!$N$20&lt;&gt;"",'Unit Mix &amp; Comparables'!$N$20,"")</f>
        <v>0</v>
      </c>
      <c r="I263" s="447" t="n">
        <f aca="false">'Unit Mix &amp; Comparables'!$M$40</f>
        <v>0</v>
      </c>
      <c r="J263" s="447" t="str">
        <f aca="false">IFERROR(G263+I263,"")</f>
        <v/>
      </c>
      <c r="K263" s="448" t="str">
        <f aca="false">IFERROR(J263/F263,"")</f>
        <v/>
      </c>
      <c r="L263" s="449" t="n">
        <f aca="false">$I$43</f>
        <v>0</v>
      </c>
      <c r="M263" s="450" t="str">
        <f aca="false">'Unit Mix &amp; Comparables'!$H$6</f>
        <v>B</v>
      </c>
      <c r="N263" s="450" t="n">
        <f aca="false">'Unit Mix &amp; Comparables'!$C$7</f>
        <v>1982</v>
      </c>
    </row>
    <row r="264" customFormat="false" ht="13.5" hidden="false" customHeight="true" outlineLevel="0" collapsed="false">
      <c r="B264" s="437" t="str">
        <f aca="false">CONCATENATE($C$6," Pro Forma")</f>
        <v>Riverhill TH Pro Forma</v>
      </c>
      <c r="C264" s="438" t="str">
        <f aca="false">IF('Unit Mix &amp; Comparables'!$C$19&lt;&gt;"",'Unit Mix &amp; Comparables'!$C$19,"")</f>
        <v/>
      </c>
      <c r="D264" s="439" t="str">
        <f aca="false">IF('Unit Mix &amp; Comparables'!$D$19&lt;&gt;"",'Unit Mix &amp; Comparables'!$D$19,"")</f>
        <v/>
      </c>
      <c r="E264" s="439" t="str">
        <f aca="false">IF('Unit Mix &amp; Comparables'!$E$19&lt;&gt;"",'Unit Mix &amp; Comparables'!$E$19,"")</f>
        <v/>
      </c>
      <c r="F264" s="438" t="str">
        <f aca="false">IF('Unit Mix &amp; Comparables'!$F$19&lt;&gt;"",'Unit Mix &amp; Comparables'!$F$19,"")</f>
        <v/>
      </c>
      <c r="G264" s="440" t="str">
        <f aca="false">IF('Unit Mix &amp; Comparables'!$G$19&lt;&gt;"",'Unit Mix &amp; Comparables'!$G$19,"")</f>
        <v/>
      </c>
      <c r="H264" s="441" t="n">
        <f aca="false">IF('Unit Mix &amp; Comparables'!$H$19&lt;&gt;"",'Unit Mix &amp; Comparables'!$H$19,"")</f>
        <v>0</v>
      </c>
      <c r="I264" s="440" t="n">
        <f aca="false">'Unit Mix &amp; Comparables'!$G$40</f>
        <v>0</v>
      </c>
      <c r="J264" s="440" t="str">
        <f aca="false">IFERROR(G264+I264,"")</f>
        <v/>
      </c>
      <c r="K264" s="441" t="str">
        <f aca="false">IFERROR(J264/F264,"")</f>
        <v/>
      </c>
      <c r="L264" s="442" t="n">
        <f aca="false">C43</f>
        <v>0</v>
      </c>
      <c r="M264" s="443" t="str">
        <f aca="false">'Unit Mix &amp; Comparables'!$H$6</f>
        <v>B</v>
      </c>
      <c r="N264" s="443" t="n">
        <f aca="false">'Unit Mix &amp; Comparables'!$C$7</f>
        <v>1982</v>
      </c>
    </row>
    <row r="265" customFormat="false" ht="13.5" hidden="false" customHeight="true" outlineLevel="0" collapsed="false">
      <c r="B265" s="434" t="str">
        <f aca="false">$AP$6</f>
        <v>Country View</v>
      </c>
      <c r="C265" s="405" t="n">
        <f aca="false">IF('Unit Mix &amp; Comparables'!$AP11&lt;&gt;"",'Unit Mix &amp; Comparables'!$AP11,"")</f>
        <v>25</v>
      </c>
      <c r="D265" s="299" t="str">
        <f aca="false">IF('Unit Mix &amp; Comparables'!$AQ$12&lt;&gt;"",'Unit Mix &amp; Comparables'!$AQ$12,"")</f>
        <v/>
      </c>
      <c r="E265" s="299" t="str">
        <f aca="false">IF('Unit Mix &amp; Comparables'!$AR$12&lt;&gt;"",'Unit Mix &amp; Comparables'!$AR$12,"")</f>
        <v/>
      </c>
      <c r="F265" s="405" t="str">
        <f aca="false">IF('Unit Mix &amp; Comparables'!$AS$12&lt;&gt;"",'Unit Mix &amp; Comparables'!$AS$12,"")</f>
        <v/>
      </c>
      <c r="G265" s="301" t="str">
        <f aca="false">IF('Unit Mix &amp; Comparables'!$AT$12&lt;&gt;"",'Unit Mix &amp; Comparables'!$AT$12,"")</f>
        <v/>
      </c>
      <c r="H265" s="435" t="n">
        <f aca="false">IF('Unit Mix &amp; Comparables'!$AU$12&lt;&gt;"",'Unit Mix &amp; Comparables'!$AU$12,"")</f>
        <v>0</v>
      </c>
      <c r="I265" s="301" t="n">
        <f aca="false">'Unit Mix &amp; Comparables'!$AT$40</f>
        <v>0</v>
      </c>
      <c r="J265" s="301" t="str">
        <f aca="false">IFERROR(G265+I265,"")</f>
        <v/>
      </c>
      <c r="K265" s="435" t="str">
        <f aca="false">IFERROR(J265/F265,"")</f>
        <v/>
      </c>
      <c r="L265" s="341" t="n">
        <f aca="false">$AP$43</f>
        <v>0</v>
      </c>
      <c r="M265" s="316" t="str">
        <f aca="false">'Unit Mix &amp; Comparables'!$AU$6</f>
        <v>B</v>
      </c>
      <c r="N265" s="316" t="n">
        <f aca="false">'Unit Mix &amp; Comparables'!$AP$7</f>
        <v>1993</v>
      </c>
    </row>
    <row r="266" customFormat="false" ht="13.5" hidden="false" customHeight="true" outlineLevel="0" collapsed="false">
      <c r="B266" s="434" t="str">
        <f aca="false">$AJ$6</f>
        <v>Riverside South</v>
      </c>
      <c r="C266" s="405" t="n">
        <f aca="false">IF('Unit Mix &amp; Comparables'!$AJ10&lt;&gt;"",'Unit Mix &amp; Comparables'!$AJ10,"")</f>
        <v>25</v>
      </c>
      <c r="D266" s="299" t="n">
        <f aca="false">IF('Unit Mix &amp; Comparables'!$AK10&lt;&gt;"",'Unit Mix &amp; Comparables'!$AK10,"")</f>
        <v>1</v>
      </c>
      <c r="E266" s="299" t="n">
        <f aca="false">IF('Unit Mix &amp; Comparables'!$AL10&lt;&gt;"",'Unit Mix &amp; Comparables'!$AL10,"")</f>
        <v>1</v>
      </c>
      <c r="F266" s="405" t="n">
        <f aca="false">IF('Unit Mix &amp; Comparables'!$AM10&lt;&gt;"",'Unit Mix &amp; Comparables'!$AM10,"")</f>
        <v>583</v>
      </c>
      <c r="G266" s="301" t="n">
        <f aca="false">IF('Unit Mix &amp; Comparables'!$AN10&lt;&gt;"",'Unit Mix &amp; Comparables'!$AN10,"")</f>
        <v>404</v>
      </c>
      <c r="H266" s="435" t="n">
        <f aca="false">IF('Unit Mix &amp; Comparables'!$AO10&lt;&gt;"",'Unit Mix &amp; Comparables'!$AO10,"")</f>
        <v>0.692967409948542</v>
      </c>
      <c r="I266" s="301" t="n">
        <f aca="false">'Unit Mix &amp; Comparables'!$V$40</f>
        <v>0</v>
      </c>
      <c r="J266" s="301" t="n">
        <f aca="false">IFERROR(G266+I266,"")</f>
        <v>404</v>
      </c>
      <c r="K266" s="435" t="n">
        <f aca="false">IFERROR(J266/F266,"")</f>
        <v>0.692967409948542</v>
      </c>
      <c r="L266" s="341" t="n">
        <f aca="false">AJ25</f>
        <v>0</v>
      </c>
      <c r="M266" s="316" t="str">
        <f aca="false">'Unit Mix &amp; Comparables'!$AO$6</f>
        <v>B</v>
      </c>
      <c r="N266" s="316" t="n">
        <f aca="false">$AJ$7</f>
        <v>1988</v>
      </c>
    </row>
    <row r="267" customFormat="false" ht="13.5" hidden="false" customHeight="true" outlineLevel="0" collapsed="false">
      <c r="B267" s="437" t="str">
        <f aca="false">CONCATENATE($C$6," Pro Forma")</f>
        <v>Riverhill TH Pro Forma</v>
      </c>
      <c r="C267" s="438" t="str">
        <f aca="false">IF('Unit Mix &amp; Comparables'!$C$15&lt;&gt;"",'Unit Mix &amp; Comparables'!$C$15,"")</f>
        <v/>
      </c>
      <c r="D267" s="439" t="str">
        <f aca="false">IF('Unit Mix &amp; Comparables'!$D$15&lt;&gt;"",'Unit Mix &amp; Comparables'!$D$15,"")</f>
        <v/>
      </c>
      <c r="E267" s="439" t="str">
        <f aca="false">IF('Unit Mix &amp; Comparables'!$E$15&lt;&gt;"",'Unit Mix &amp; Comparables'!$E$15,"")</f>
        <v/>
      </c>
      <c r="F267" s="438" t="str">
        <f aca="false">IF('Unit Mix &amp; Comparables'!$F$15&lt;&gt;"",'Unit Mix &amp; Comparables'!$F$15,"")</f>
        <v/>
      </c>
      <c r="G267" s="440" t="str">
        <f aca="false">IF('Unit Mix &amp; Comparables'!$G$15&lt;&gt;"",'Unit Mix &amp; Comparables'!$G$15,"")</f>
        <v/>
      </c>
      <c r="H267" s="441" t="n">
        <f aca="false">IF('Unit Mix &amp; Comparables'!$H$15&lt;&gt;"",'Unit Mix &amp; Comparables'!$H$15,"")</f>
        <v>0</v>
      </c>
      <c r="I267" s="440" t="n">
        <f aca="false">'Unit Mix &amp; Comparables'!$G$40</f>
        <v>0</v>
      </c>
      <c r="J267" s="440" t="str">
        <f aca="false">IFERROR(G267+I267,"")</f>
        <v/>
      </c>
      <c r="K267" s="441" t="str">
        <f aca="false">IFERROR(J267/F267,"")</f>
        <v/>
      </c>
      <c r="L267" s="442" t="n">
        <f aca="false">C43</f>
        <v>0</v>
      </c>
      <c r="M267" s="443" t="str">
        <f aca="false">'Unit Mix &amp; Comparables'!$H$6</f>
        <v>B</v>
      </c>
      <c r="N267" s="443" t="n">
        <f aca="false">'Unit Mix &amp; Comparables'!$C$7</f>
        <v>1982</v>
      </c>
    </row>
    <row r="268" customFormat="false" ht="13.5" hidden="false" customHeight="true" outlineLevel="0" collapsed="false">
      <c r="B268" s="437" t="str">
        <f aca="false">CONCATENATE($C$6," Pro Forma")</f>
        <v>Riverhill TH Pro Forma</v>
      </c>
      <c r="C268" s="438" t="str">
        <f aca="false">IF('Unit Mix &amp; Comparables'!$C$26&lt;&gt;"",'Unit Mix &amp; Comparables'!$C$26,"")</f>
        <v/>
      </c>
      <c r="D268" s="439" t="str">
        <f aca="false">IF('Unit Mix &amp; Comparables'!$D$26&lt;&gt;"",'Unit Mix &amp; Comparables'!$D$26,"")</f>
        <v/>
      </c>
      <c r="E268" s="439" t="str">
        <f aca="false">IF('Unit Mix &amp; Comparables'!$E$26&lt;&gt;"",'Unit Mix &amp; Comparables'!$E$26,"")</f>
        <v/>
      </c>
      <c r="F268" s="438" t="str">
        <f aca="false">IF('Unit Mix &amp; Comparables'!$F$26&lt;&gt;"",'Unit Mix &amp; Comparables'!$F$26,"")</f>
        <v/>
      </c>
      <c r="G268" s="440" t="str">
        <f aca="false">IF('Unit Mix &amp; Comparables'!$G$26&lt;&gt;"",'Unit Mix &amp; Comparables'!$G$26,"")</f>
        <v/>
      </c>
      <c r="H268" s="441" t="n">
        <f aca="false">IF('Unit Mix &amp; Comparables'!$H$26&lt;&gt;"",'Unit Mix &amp; Comparables'!$H$26,"")</f>
        <v>0</v>
      </c>
      <c r="I268" s="440" t="n">
        <f aca="false">'Unit Mix &amp; Comparables'!$G$40</f>
        <v>0</v>
      </c>
      <c r="J268" s="440" t="str">
        <f aca="false">IFERROR(G268+I268,"")</f>
        <v/>
      </c>
      <c r="K268" s="441" t="str">
        <f aca="false">IFERROR(J268/F268,"")</f>
        <v/>
      </c>
      <c r="L268" s="442" t="n">
        <f aca="false">C43</f>
        <v>0</v>
      </c>
      <c r="M268" s="443" t="str">
        <f aca="false">'Unit Mix &amp; Comparables'!$H$6</f>
        <v>B</v>
      </c>
      <c r="N268" s="443" t="n">
        <f aca="false">'Unit Mix &amp; Comparables'!$C$7</f>
        <v>1982</v>
      </c>
    </row>
    <row r="269" customFormat="false" ht="13.5" hidden="false" customHeight="true" outlineLevel="0" collapsed="false">
      <c r="B269" s="444" t="str">
        <f aca="false">CONCATENATE($I$6," Current")</f>
        <v>Riverhill TH Current</v>
      </c>
      <c r="C269" s="445" t="str">
        <f aca="false">IF('Unit Mix &amp; Comparables'!$I$26&lt;&gt;"",'Unit Mix &amp; Comparables'!$I$26,"")</f>
        <v/>
      </c>
      <c r="D269" s="446" t="str">
        <f aca="false">IF('Unit Mix &amp; Comparables'!$J$26&lt;&gt;"",'Unit Mix &amp; Comparables'!$J$26,"")</f>
        <v/>
      </c>
      <c r="E269" s="446" t="str">
        <f aca="false">IF('Unit Mix &amp; Comparables'!$K$26&lt;&gt;"",'Unit Mix &amp; Comparables'!$K$26,"")</f>
        <v/>
      </c>
      <c r="F269" s="445" t="str">
        <f aca="false">IF('Unit Mix &amp; Comparables'!$L$26&lt;&gt;"",'Unit Mix &amp; Comparables'!$L$26,"")</f>
        <v/>
      </c>
      <c r="G269" s="447" t="str">
        <f aca="false">IF('Unit Mix &amp; Comparables'!$M$26&lt;&gt;"",'Unit Mix &amp; Comparables'!$M$26,"")</f>
        <v/>
      </c>
      <c r="H269" s="448" t="n">
        <f aca="false">IF('Unit Mix &amp; Comparables'!$N$26&lt;&gt;"",'Unit Mix &amp; Comparables'!$N$26,"")</f>
        <v>0</v>
      </c>
      <c r="I269" s="447" t="n">
        <f aca="false">'Unit Mix &amp; Comparables'!$M$40</f>
        <v>0</v>
      </c>
      <c r="J269" s="447" t="str">
        <f aca="false">IFERROR(G269+I269,"")</f>
        <v/>
      </c>
      <c r="K269" s="448" t="str">
        <f aca="false">IFERROR(J269/F269,"")</f>
        <v/>
      </c>
      <c r="L269" s="449" t="n">
        <f aca="false">$I$43</f>
        <v>0</v>
      </c>
      <c r="M269" s="450" t="str">
        <f aca="false">'Unit Mix &amp; Comparables'!$H$6</f>
        <v>B</v>
      </c>
      <c r="N269" s="450" t="n">
        <f aca="false">'Unit Mix &amp; Comparables'!$C$7</f>
        <v>1982</v>
      </c>
    </row>
    <row r="270" customFormat="false" ht="13.5" hidden="false" customHeight="true" outlineLevel="0" collapsed="false">
      <c r="B270" s="434" t="str">
        <f aca="false">$AP$6</f>
        <v>Country View</v>
      </c>
      <c r="C270" s="405" t="n">
        <f aca="false">IF('Unit Mix &amp; Comparables'!$AP10&lt;&gt;"",'Unit Mix &amp; Comparables'!$AP10,"")</f>
        <v>25</v>
      </c>
      <c r="D270" s="299" t="n">
        <f aca="false">IF('Unit Mix &amp; Comparables'!$AQ$10&lt;&gt;"",'Unit Mix &amp; Comparables'!$AQ$10,"")</f>
        <v>2</v>
      </c>
      <c r="E270" s="299" t="n">
        <f aca="false">IF('Unit Mix &amp; Comparables'!$AR$10&lt;&gt;"",'Unit Mix &amp; Comparables'!$AR$10,"")</f>
        <v>1</v>
      </c>
      <c r="F270" s="405" t="n">
        <f aca="false">IF('Unit Mix &amp; Comparables'!$AS$10&lt;&gt;"",'Unit Mix &amp; Comparables'!$AS$10,"")</f>
        <v>720</v>
      </c>
      <c r="G270" s="301" t="n">
        <f aca="false">IF('Unit Mix &amp; Comparables'!$AT$10&lt;&gt;"",'Unit Mix &amp; Comparables'!$AT$10,"")</f>
        <v>495</v>
      </c>
      <c r="H270" s="435" t="n">
        <f aca="false">IF('Unit Mix &amp; Comparables'!$AU$10&lt;&gt;"",'Unit Mix &amp; Comparables'!$AU$10,"")</f>
        <v>0.6875</v>
      </c>
      <c r="I270" s="301" t="n">
        <f aca="false">'Unit Mix &amp; Comparables'!$AT$40</f>
        <v>0</v>
      </c>
      <c r="J270" s="301" t="n">
        <f aca="false">IFERROR(G270+I270,"")</f>
        <v>495</v>
      </c>
      <c r="K270" s="435" t="n">
        <f aca="false">IFERROR(J270/F270,"")</f>
        <v>0.6875</v>
      </c>
      <c r="L270" s="341" t="n">
        <f aca="false">$AP$43</f>
        <v>0</v>
      </c>
      <c r="M270" s="316" t="str">
        <f aca="false">'Unit Mix &amp; Comparables'!$AU$6</f>
        <v>B</v>
      </c>
      <c r="N270" s="316" t="n">
        <f aca="false">'Unit Mix &amp; Comparables'!$AP$7</f>
        <v>1993</v>
      </c>
    </row>
    <row r="271" customFormat="false" ht="13.5" hidden="false" customHeight="true" outlineLevel="0" collapsed="false">
      <c r="B271" s="437" t="str">
        <f aca="false">CONCATENATE($C$6," Pro Forma")</f>
        <v>Riverhill TH Pro Forma</v>
      </c>
      <c r="C271" s="438" t="str">
        <f aca="false">IF('Unit Mix &amp; Comparables'!$C$16&lt;&gt;"",'Unit Mix &amp; Comparables'!$C$16,"")</f>
        <v/>
      </c>
      <c r="D271" s="439" t="str">
        <f aca="false">IF('Unit Mix &amp; Comparables'!$D$16&lt;&gt;"",'Unit Mix &amp; Comparables'!$D$16,"")</f>
        <v/>
      </c>
      <c r="E271" s="439" t="str">
        <f aca="false">IF('Unit Mix &amp; Comparables'!$E$16&lt;&gt;"",'Unit Mix &amp; Comparables'!$E$16,"")</f>
        <v/>
      </c>
      <c r="F271" s="438" t="str">
        <f aca="false">IF('Unit Mix &amp; Comparables'!$F$16&lt;&gt;"",'Unit Mix &amp; Comparables'!$F$16,"")</f>
        <v/>
      </c>
      <c r="G271" s="440" t="str">
        <f aca="false">IF('Unit Mix &amp; Comparables'!$G$16&lt;&gt;"",'Unit Mix &amp; Comparables'!$G$16,"")</f>
        <v/>
      </c>
      <c r="H271" s="441" t="n">
        <f aca="false">IF('Unit Mix &amp; Comparables'!$H$16&lt;&gt;"",'Unit Mix &amp; Comparables'!$H$16,"")</f>
        <v>0</v>
      </c>
      <c r="I271" s="440" t="n">
        <f aca="false">'Unit Mix &amp; Comparables'!$G$40</f>
        <v>0</v>
      </c>
      <c r="J271" s="440" t="str">
        <f aca="false">IFERROR(G271+I271,"")</f>
        <v/>
      </c>
      <c r="K271" s="441" t="str">
        <f aca="false">IFERROR(J271/F271,"")</f>
        <v/>
      </c>
      <c r="L271" s="442" t="n">
        <f aca="false">C43</f>
        <v>0</v>
      </c>
      <c r="M271" s="443" t="str">
        <f aca="false">'Unit Mix &amp; Comparables'!$H$6</f>
        <v>B</v>
      </c>
      <c r="N271" s="443" t="n">
        <f aca="false">'Unit Mix &amp; Comparables'!$C$7</f>
        <v>1982</v>
      </c>
    </row>
    <row r="272" customFormat="false" ht="13.5" hidden="false" customHeight="true" outlineLevel="0" collapsed="false">
      <c r="B272" s="444" t="str">
        <f aca="false">CONCATENATE($I$6," Current")</f>
        <v>Riverhill TH Current</v>
      </c>
      <c r="C272" s="445" t="str">
        <f aca="false">IF('Unit Mix &amp; Comparables'!$I$16&lt;&gt;"",'Unit Mix &amp; Comparables'!$I$16,"")</f>
        <v/>
      </c>
      <c r="D272" s="446" t="str">
        <f aca="false">IF('Unit Mix &amp; Comparables'!$J$16&lt;&gt;"",'Unit Mix &amp; Comparables'!$J$16,"")</f>
        <v/>
      </c>
      <c r="E272" s="446" t="str">
        <f aca="false">IF('Unit Mix &amp; Comparables'!$K$16&lt;&gt;"",'Unit Mix &amp; Comparables'!$K$16,"")</f>
        <v/>
      </c>
      <c r="F272" s="445" t="str">
        <f aca="false">IF('Unit Mix &amp; Comparables'!$L$16&lt;&gt;"",'Unit Mix &amp; Comparables'!$L$16,"")</f>
        <v/>
      </c>
      <c r="G272" s="447" t="str">
        <f aca="false">IF('Unit Mix &amp; Comparables'!$M$16&lt;&gt;"",'Unit Mix &amp; Comparables'!$M$16,"")</f>
        <v/>
      </c>
      <c r="H272" s="448" t="n">
        <f aca="false">IF('Unit Mix &amp; Comparables'!$N$16&lt;&gt;"",'Unit Mix &amp; Comparables'!$N$16,"")</f>
        <v>0</v>
      </c>
      <c r="I272" s="447" t="n">
        <f aca="false">'Unit Mix &amp; Comparables'!$M$40</f>
        <v>0</v>
      </c>
      <c r="J272" s="447" t="str">
        <f aca="false">IFERROR(G272+I272,"")</f>
        <v/>
      </c>
      <c r="K272" s="448" t="str">
        <f aca="false">IFERROR(J272/F272,"")</f>
        <v/>
      </c>
      <c r="L272" s="449" t="n">
        <f aca="false">$I$43</f>
        <v>0</v>
      </c>
      <c r="M272" s="450" t="str">
        <f aca="false">'Unit Mix &amp; Comparables'!$H$6</f>
        <v>B</v>
      </c>
      <c r="N272" s="450" t="n">
        <f aca="false">'Unit Mix &amp; Comparables'!$C$7</f>
        <v>1982</v>
      </c>
    </row>
    <row r="273" customFormat="false" ht="13.5" hidden="true" customHeight="true" outlineLevel="0" collapsed="false">
      <c r="B273" s="434" t="n">
        <f aca="false">AJ237</f>
        <v>0</v>
      </c>
      <c r="C273" s="405" t="str">
        <f aca="false">IF('Unit Mix &amp; Comparables'!$AJ51&lt;&gt;"",'Unit Mix &amp; Comparables'!$AJ51,"")</f>
        <v/>
      </c>
      <c r="D273" s="299" t="str">
        <f aca="false">IF('Unit Mix &amp; Comparables'!$AK$51&lt;&gt;"",'Unit Mix &amp; Comparables'!$AK$51,"")</f>
        <v/>
      </c>
      <c r="E273" s="299" t="str">
        <f aca="false">IF('Unit Mix &amp; Comparables'!$AL$51&lt;&gt;"",'Unit Mix &amp; Comparables'!$AL$51,"")</f>
        <v/>
      </c>
      <c r="F273" s="405" t="str">
        <f aca="false">IF('Unit Mix &amp; Comparables'!$AM$51&lt;&gt;"",'Unit Mix &amp; Comparables'!$AM$51,"")</f>
        <v/>
      </c>
      <c r="G273" s="301" t="str">
        <f aca="false">IF('Unit Mix &amp; Comparables'!$AN$51&lt;&gt;"",'Unit Mix &amp; Comparables'!$AN$51,"")</f>
        <v/>
      </c>
      <c r="H273" s="435" t="n">
        <f aca="false">IF('Unit Mix &amp; Comparables'!$AO$51&lt;&gt;"",'Unit Mix &amp; Comparables'!$AO$51,"")</f>
        <v>0</v>
      </c>
      <c r="I273" s="301" t="n">
        <f aca="false">'Unit Mix &amp; Comparables'!$AT$40</f>
        <v>0</v>
      </c>
      <c r="J273" s="301" t="str">
        <f aca="false">IFERROR(G273+I273,"")</f>
        <v/>
      </c>
      <c r="K273" s="435" t="str">
        <f aca="false">IFERROR(J273/F273,"")</f>
        <v/>
      </c>
      <c r="L273" s="341" t="n">
        <f aca="false">$AJ$86</f>
        <v>0</v>
      </c>
      <c r="M273" s="316" t="str">
        <f aca="false">'Unit Mix &amp; Comparables'!$AO$48</f>
        <v>B</v>
      </c>
      <c r="N273" s="316" t="n">
        <f aca="false">'Unit Mix &amp; Comparables'!$AJ$49</f>
        <v>0</v>
      </c>
    </row>
    <row r="274" customFormat="false" ht="13.5" hidden="true" customHeight="true" outlineLevel="0" collapsed="false">
      <c r="B274" s="434" t="n">
        <f aca="false">AJ237</f>
        <v>0</v>
      </c>
      <c r="C274" s="405" t="str">
        <f aca="false">IF('Unit Mix &amp; Comparables'!$AJ52&lt;&gt;"",'Unit Mix &amp; Comparables'!$AJ52,"")</f>
        <v/>
      </c>
      <c r="D274" s="299" t="str">
        <f aca="false">IF('Unit Mix &amp; Comparables'!$AK$52&lt;&gt;"",'Unit Mix &amp; Comparables'!$AK$52,"")</f>
        <v/>
      </c>
      <c r="E274" s="299" t="str">
        <f aca="false">IF('Unit Mix &amp; Comparables'!$AL$52&lt;&gt;"",'Unit Mix &amp; Comparables'!$AL$52,"")</f>
        <v/>
      </c>
      <c r="F274" s="405" t="str">
        <f aca="false">IF('Unit Mix &amp; Comparables'!$AM$52&lt;&gt;"",'Unit Mix &amp; Comparables'!$AM$52,"")</f>
        <v/>
      </c>
      <c r="G274" s="301" t="str">
        <f aca="false">IF('Unit Mix &amp; Comparables'!$AN$52&lt;&gt;"",'Unit Mix &amp; Comparables'!$AN$52,"")</f>
        <v/>
      </c>
      <c r="H274" s="435" t="n">
        <f aca="false">IF('Unit Mix &amp; Comparables'!$AO$52&lt;&gt;"",'Unit Mix &amp; Comparables'!$AO$52,"")</f>
        <v>0</v>
      </c>
      <c r="I274" s="301" t="n">
        <f aca="false">'Unit Mix &amp; Comparables'!$AT$40</f>
        <v>0</v>
      </c>
      <c r="J274" s="301" t="str">
        <f aca="false">IFERROR(G274+I274,"")</f>
        <v/>
      </c>
      <c r="K274" s="435" t="str">
        <f aca="false">IFERROR(J274/F274,"")</f>
        <v/>
      </c>
      <c r="L274" s="341" t="n">
        <f aca="false">$AJ$86</f>
        <v>0</v>
      </c>
      <c r="M274" s="316" t="str">
        <f aca="false">'Unit Mix &amp; Comparables'!$AO$48</f>
        <v>B</v>
      </c>
      <c r="N274" s="316" t="n">
        <f aca="false">'Unit Mix &amp; Comparables'!$AJ$49</f>
        <v>0</v>
      </c>
    </row>
    <row r="275" customFormat="false" ht="13.5" hidden="false" customHeight="true" outlineLevel="0" collapsed="false">
      <c r="B275" s="437" t="str">
        <f aca="false">CONCATENATE($C$6," Pro Forma")</f>
        <v>Riverhill TH Pro Forma</v>
      </c>
      <c r="C275" s="438" t="str">
        <f aca="false">IF('Unit Mix &amp; Comparables'!$C$12&lt;&gt;"",'Unit Mix &amp; Comparables'!$C$12,"")</f>
        <v/>
      </c>
      <c r="D275" s="439" t="str">
        <f aca="false">IF('Unit Mix &amp; Comparables'!$D$12&lt;&gt;"",'Unit Mix &amp; Comparables'!$D$12,"")</f>
        <v/>
      </c>
      <c r="E275" s="439" t="str">
        <f aca="false">IF('Unit Mix &amp; Comparables'!$E$12&lt;&gt;"",'Unit Mix &amp; Comparables'!$E$12,"")</f>
        <v/>
      </c>
      <c r="F275" s="438" t="str">
        <f aca="false">IF('Unit Mix &amp; Comparables'!$F$12&lt;&gt;"",'Unit Mix &amp; Comparables'!$F$12,"")</f>
        <v/>
      </c>
      <c r="G275" s="440" t="str">
        <f aca="false">IF('Unit Mix &amp; Comparables'!$G$12&lt;&gt;"",'Unit Mix &amp; Comparables'!$G$12,"")</f>
        <v/>
      </c>
      <c r="H275" s="441" t="n">
        <f aca="false">IF('Unit Mix &amp; Comparables'!$H$12&lt;&gt;"",'Unit Mix &amp; Comparables'!$H$12,"")</f>
        <v>0</v>
      </c>
      <c r="I275" s="440" t="n">
        <f aca="false">'Unit Mix &amp; Comparables'!$G$40</f>
        <v>0</v>
      </c>
      <c r="J275" s="440" t="str">
        <f aca="false">IFERROR(G275+I275,"")</f>
        <v/>
      </c>
      <c r="K275" s="441" t="str">
        <f aca="false">IFERROR(J275/F275,"")</f>
        <v/>
      </c>
      <c r="L275" s="442" t="n">
        <f aca="false">$C$43</f>
        <v>0</v>
      </c>
      <c r="M275" s="443" t="str">
        <f aca="false">'Unit Mix &amp; Comparables'!$H$6</f>
        <v>B</v>
      </c>
      <c r="N275" s="443" t="n">
        <f aca="false">'Unit Mix &amp; Comparables'!$C$7</f>
        <v>1982</v>
      </c>
    </row>
    <row r="276" customFormat="false" ht="13.5" hidden="false" customHeight="true" outlineLevel="0" collapsed="false">
      <c r="B276" s="434" t="str">
        <f aca="false">$AD$6</f>
        <v>Windy Lakes</v>
      </c>
      <c r="C276" s="405" t="n">
        <f aca="false">IF('Unit Mix &amp; Comparables'!$AD9&lt;&gt;"",'Unit Mix &amp; Comparables'!$AD9,"")</f>
        <v>50</v>
      </c>
      <c r="D276" s="299" t="n">
        <f aca="false">IF('Unit Mix &amp; Comparables'!$AE9&lt;&gt;"",'Unit Mix &amp; Comparables'!$AE9,"")</f>
        <v>1</v>
      </c>
      <c r="E276" s="299" t="n">
        <f aca="false">IF('Unit Mix &amp; Comparables'!$AF9&lt;&gt;"",'Unit Mix &amp; Comparables'!$AF9,"")</f>
        <v>1</v>
      </c>
      <c r="F276" s="405" t="n">
        <f aca="false">IF('Unit Mix &amp; Comparables'!$AG9&lt;&gt;"",'Unit Mix &amp; Comparables'!$AG9,"")</f>
        <v>700</v>
      </c>
      <c r="G276" s="301" t="n">
        <f aca="false">IF('Unit Mix &amp; Comparables'!$AH9&lt;&gt;"",'Unit Mix &amp; Comparables'!$AH9,"")</f>
        <v>430</v>
      </c>
      <c r="H276" s="435" t="n">
        <f aca="false">IF('Unit Mix &amp; Comparables'!$AI9&lt;&gt;"",'Unit Mix &amp; Comparables'!$AI9,"")</f>
        <v>0.614285714285714</v>
      </c>
      <c r="I276" s="301" t="n">
        <f aca="false">'Unit Mix &amp; Comparables'!$AH$40</f>
        <v>0</v>
      </c>
      <c r="J276" s="301" t="n">
        <f aca="false">IFERROR(G276+I276,"")</f>
        <v>430</v>
      </c>
      <c r="K276" s="435" t="n">
        <f aca="false">IFERROR(J276/F276,"")</f>
        <v>0.614285714285714</v>
      </c>
      <c r="L276" s="341" t="n">
        <f aca="false">$AD$43</f>
        <v>0</v>
      </c>
      <c r="M276" s="316" t="str">
        <f aca="false">'Unit Mix &amp; Comparables'!$AI$6</f>
        <v>B</v>
      </c>
      <c r="N276" s="316" t="n">
        <f aca="false">$AD$7</f>
        <v>1979</v>
      </c>
    </row>
    <row r="277" customFormat="false" ht="13.5" hidden="false" customHeight="true" outlineLevel="0" collapsed="false">
      <c r="B277" s="444" t="str">
        <f aca="false">CONCATENATE($I$6," Current")</f>
        <v>Riverhill TH Current</v>
      </c>
      <c r="C277" s="445" t="str">
        <f aca="false">IF('Unit Mix &amp; Comparables'!$I$19&lt;&gt;"",'Unit Mix &amp; Comparables'!$I$19,"")</f>
        <v/>
      </c>
      <c r="D277" s="446" t="str">
        <f aca="false">IF('Unit Mix &amp; Comparables'!$J$19&lt;&gt;"",'Unit Mix &amp; Comparables'!$J$19,"")</f>
        <v/>
      </c>
      <c r="E277" s="446" t="str">
        <f aca="false">IF('Unit Mix &amp; Comparables'!$K$19&lt;&gt;"",'Unit Mix &amp; Comparables'!$K$19,"")</f>
        <v/>
      </c>
      <c r="F277" s="445" t="str">
        <f aca="false">IF('Unit Mix &amp; Comparables'!$L$19&lt;&gt;"",'Unit Mix &amp; Comparables'!$L$19,"")</f>
        <v/>
      </c>
      <c r="G277" s="447" t="str">
        <f aca="false">IF('Unit Mix &amp; Comparables'!$M$19&lt;&gt;"",'Unit Mix &amp; Comparables'!$M$19,"")</f>
        <v/>
      </c>
      <c r="H277" s="448" t="n">
        <f aca="false">IF('Unit Mix &amp; Comparables'!$N$19&lt;&gt;"",'Unit Mix &amp; Comparables'!$N$19,"")</f>
        <v>0</v>
      </c>
      <c r="I277" s="447" t="n">
        <f aca="false">'Unit Mix &amp; Comparables'!$M$40</f>
        <v>0</v>
      </c>
      <c r="J277" s="447" t="str">
        <f aca="false">IFERROR(G277+I277,"")</f>
        <v/>
      </c>
      <c r="K277" s="448" t="str">
        <f aca="false">IFERROR(J277/F277,"")</f>
        <v/>
      </c>
      <c r="L277" s="449" t="n">
        <f aca="false">$I$43</f>
        <v>0</v>
      </c>
      <c r="M277" s="450" t="str">
        <f aca="false">'Unit Mix &amp; Comparables'!$H$6</f>
        <v>B</v>
      </c>
      <c r="N277" s="450" t="n">
        <f aca="false">'Unit Mix &amp; Comparables'!$C$7</f>
        <v>1982</v>
      </c>
    </row>
    <row r="278" customFormat="false" ht="13.5" hidden="false" customHeight="true" outlineLevel="0" collapsed="false">
      <c r="B278" s="444" t="str">
        <f aca="false">CONCATENATE($I$6," Current")</f>
        <v>Riverhill TH Current</v>
      </c>
      <c r="C278" s="445" t="str">
        <f aca="false">IF('Unit Mix &amp; Comparables'!$I$15&lt;&gt;"",'Unit Mix &amp; Comparables'!$I$15,"")</f>
        <v/>
      </c>
      <c r="D278" s="446" t="str">
        <f aca="false">IF('Unit Mix &amp; Comparables'!$J$15&lt;&gt;"",'Unit Mix &amp; Comparables'!$J$15,"")</f>
        <v/>
      </c>
      <c r="E278" s="446" t="str">
        <f aca="false">IF('Unit Mix &amp; Comparables'!$K$15&lt;&gt;"",'Unit Mix &amp; Comparables'!$K$15,"")</f>
        <v/>
      </c>
      <c r="F278" s="445" t="str">
        <f aca="false">IF('Unit Mix &amp; Comparables'!$L$15&lt;&gt;"",'Unit Mix &amp; Comparables'!$L$15,"")</f>
        <v/>
      </c>
      <c r="G278" s="447" t="str">
        <f aca="false">IF('Unit Mix &amp; Comparables'!$M$15&lt;&gt;"",'Unit Mix &amp; Comparables'!$M$15,"")</f>
        <v/>
      </c>
      <c r="H278" s="448" t="n">
        <f aca="false">IF('Unit Mix &amp; Comparables'!$N$15&lt;&gt;"",'Unit Mix &amp; Comparables'!$N$15,"")</f>
        <v>0</v>
      </c>
      <c r="I278" s="447" t="n">
        <f aca="false">'Unit Mix &amp; Comparables'!$M$40</f>
        <v>0</v>
      </c>
      <c r="J278" s="447" t="str">
        <f aca="false">IFERROR(G278+I278,"")</f>
        <v/>
      </c>
      <c r="K278" s="448" t="str">
        <f aca="false">IFERROR(J278/F278,"")</f>
        <v/>
      </c>
      <c r="L278" s="449" t="n">
        <f aca="false">$I$43</f>
        <v>0</v>
      </c>
      <c r="M278" s="450" t="str">
        <f aca="false">'Unit Mix &amp; Comparables'!$H$6</f>
        <v>B</v>
      </c>
      <c r="N278" s="450" t="n">
        <f aca="false">'Unit Mix &amp; Comparables'!$C$7</f>
        <v>1982</v>
      </c>
    </row>
    <row r="279" customFormat="false" ht="13.5" hidden="false" customHeight="true" outlineLevel="0" collapsed="false">
      <c r="B279" s="434" t="str">
        <f aca="false">$AP$6</f>
        <v>Country View</v>
      </c>
      <c r="C279" s="405" t="str">
        <f aca="false">IF('Unit Mix &amp; Comparables'!$AP12&lt;&gt;"",'Unit Mix &amp; Comparables'!$AP12,"")</f>
        <v/>
      </c>
      <c r="D279" s="299" t="n">
        <f aca="false">IF('Unit Mix &amp; Comparables'!$AQ$11&lt;&gt;"",'Unit Mix &amp; Comparables'!$AQ$11,"")</f>
        <v>2</v>
      </c>
      <c r="E279" s="299" t="n">
        <f aca="false">IF('Unit Mix &amp; Comparables'!$AR$11&lt;&gt;"",'Unit Mix &amp; Comparables'!$AR$11,"")</f>
        <v>1</v>
      </c>
      <c r="F279" s="405" t="n">
        <f aca="false">IF('Unit Mix &amp; Comparables'!$AS$11&lt;&gt;"",'Unit Mix &amp; Comparables'!$AS$11,"")</f>
        <v>828</v>
      </c>
      <c r="G279" s="301" t="n">
        <f aca="false">IF('Unit Mix &amp; Comparables'!$AT$11&lt;&gt;"",'Unit Mix &amp; Comparables'!$AT$11,"")</f>
        <v>525</v>
      </c>
      <c r="H279" s="435" t="n">
        <f aca="false">IF('Unit Mix &amp; Comparables'!$AU$11&lt;&gt;"",'Unit Mix &amp; Comparables'!$AU$11,"")</f>
        <v>0.634057971014493</v>
      </c>
      <c r="I279" s="301" t="n">
        <f aca="false">'Unit Mix &amp; Comparables'!$AT$40</f>
        <v>0</v>
      </c>
      <c r="J279" s="301" t="n">
        <f aca="false">IFERROR(G279+I279,"")</f>
        <v>525</v>
      </c>
      <c r="K279" s="435" t="n">
        <f aca="false">IFERROR(J279/F279,"")</f>
        <v>0.634057971014493</v>
      </c>
      <c r="L279" s="341" t="n">
        <f aca="false">$AP$43</f>
        <v>0</v>
      </c>
      <c r="M279" s="316" t="str">
        <f aca="false">'Unit Mix &amp; Comparables'!$AU$6</f>
        <v>B</v>
      </c>
      <c r="N279" s="316" t="n">
        <f aca="false">'Unit Mix &amp; Comparables'!$AP$7</f>
        <v>1993</v>
      </c>
    </row>
    <row r="280" customFormat="false" ht="13.5" hidden="false" customHeight="true" outlineLevel="0" collapsed="false">
      <c r="B280" s="434" t="str">
        <f aca="false">$AP$6</f>
        <v>Country View</v>
      </c>
      <c r="C280" s="405" t="n">
        <f aca="false">IF('Unit Mix &amp; Comparables'!$AP9&lt;&gt;"",'Unit Mix &amp; Comparables'!$AP9,"")</f>
        <v>25</v>
      </c>
      <c r="D280" s="299" t="n">
        <f aca="false">IF('Unit Mix &amp; Comparables'!$AQ$9&lt;&gt;"",'Unit Mix &amp; Comparables'!$AQ$9,"")</f>
        <v>1</v>
      </c>
      <c r="E280" s="299" t="n">
        <f aca="false">IF('Unit Mix &amp; Comparables'!$AR$9&lt;&gt;"",'Unit Mix &amp; Comparables'!$AR$9,"")</f>
        <v>1</v>
      </c>
      <c r="F280" s="405" t="n">
        <f aca="false">IF('Unit Mix &amp; Comparables'!$AS$9&lt;&gt;"",'Unit Mix &amp; Comparables'!$AS$9,"")</f>
        <v>450</v>
      </c>
      <c r="G280" s="301" t="n">
        <f aca="false">IF('Unit Mix &amp; Comparables'!$AT$9&lt;&gt;"",'Unit Mix &amp; Comparables'!$AT$9,"")</f>
        <v>395</v>
      </c>
      <c r="H280" s="435" t="n">
        <f aca="false">IF('Unit Mix &amp; Comparables'!$AU$9&lt;&gt;"",'Unit Mix &amp; Comparables'!$AU$9,"")</f>
        <v>0.877777777777778</v>
      </c>
      <c r="I280" s="301" t="n">
        <f aca="false">'Unit Mix &amp; Comparables'!$AT$40</f>
        <v>0</v>
      </c>
      <c r="J280" s="301" t="n">
        <f aca="false">IFERROR(G280+I280,"")</f>
        <v>395</v>
      </c>
      <c r="K280" s="435" t="n">
        <f aca="false">IFERROR(J280/F280,"")</f>
        <v>0.877777777777778</v>
      </c>
      <c r="L280" s="341" t="n">
        <f aca="false">$AP$43</f>
        <v>0</v>
      </c>
      <c r="M280" s="316" t="str">
        <f aca="false">'Unit Mix &amp; Comparables'!$AU$6</f>
        <v>B</v>
      </c>
      <c r="N280" s="316" t="n">
        <f aca="false">'Unit Mix &amp; Comparables'!$AP$7</f>
        <v>1993</v>
      </c>
    </row>
    <row r="281" customFormat="false" ht="13.5" hidden="false" customHeight="true" outlineLevel="0" collapsed="false">
      <c r="B281" s="444" t="str">
        <f aca="false">CONCATENATE($I$6," Current")</f>
        <v>Riverhill TH Current</v>
      </c>
      <c r="C281" s="445" t="str">
        <f aca="false">IF('Unit Mix &amp; Comparables'!$I$12&lt;&gt;"",'Unit Mix &amp; Comparables'!$I$12,"")</f>
        <v/>
      </c>
      <c r="D281" s="446" t="str">
        <f aca="false">IF('Unit Mix &amp; Comparables'!$J$12&lt;&gt;"",'Unit Mix &amp; Comparables'!$J$12,"")</f>
        <v/>
      </c>
      <c r="E281" s="446" t="str">
        <f aca="false">IF('Unit Mix &amp; Comparables'!$K$12&lt;&gt;"",'Unit Mix &amp; Comparables'!$K$12,"")</f>
        <v/>
      </c>
      <c r="F281" s="445" t="str">
        <f aca="false">IF('Unit Mix &amp; Comparables'!$L$12&lt;&gt;"",'Unit Mix &amp; Comparables'!$L$12,"")</f>
        <v/>
      </c>
      <c r="G281" s="447" t="str">
        <f aca="false">IF('Unit Mix &amp; Comparables'!$M$12&lt;&gt;"",'Unit Mix &amp; Comparables'!$M$12,"")</f>
        <v/>
      </c>
      <c r="H281" s="448" t="n">
        <f aca="false">IF('Unit Mix &amp; Comparables'!$N$12&lt;&gt;"",'Unit Mix &amp; Comparables'!$N$12,"")</f>
        <v>0</v>
      </c>
      <c r="I281" s="447" t="n">
        <f aca="false">'Unit Mix &amp; Comparables'!$M$40</f>
        <v>0</v>
      </c>
      <c r="J281" s="447" t="str">
        <f aca="false">IFERROR(G281+I281,"")</f>
        <v/>
      </c>
      <c r="K281" s="448" t="str">
        <f aca="false">IFERROR(J281/F281,"")</f>
        <v/>
      </c>
      <c r="L281" s="449" t="n">
        <f aca="false">$I$43</f>
        <v>0</v>
      </c>
      <c r="M281" s="450" t="str">
        <f aca="false">'Unit Mix &amp; Comparables'!$H$6</f>
        <v>B</v>
      </c>
      <c r="N281" s="450" t="n">
        <f aca="false">'Unit Mix &amp; Comparables'!$C$7</f>
        <v>1982</v>
      </c>
    </row>
    <row r="282" customFormat="false" ht="13.5" hidden="false" customHeight="true" outlineLevel="0" collapsed="false">
      <c r="B282" s="437" t="str">
        <f aca="false">CONCATENATE($C$6," Pro Forma")</f>
        <v>Riverhill TH Pro Forma</v>
      </c>
      <c r="C282" s="438" t="str">
        <f aca="false">IF('Unit Mix &amp; Comparables'!$C$18&lt;&gt;"",'Unit Mix &amp; Comparables'!$C$18,"")</f>
        <v/>
      </c>
      <c r="D282" s="439" t="str">
        <f aca="false">IF('Unit Mix &amp; Comparables'!$D$18&lt;&gt;"",'Unit Mix &amp; Comparables'!$D$18,"")</f>
        <v/>
      </c>
      <c r="E282" s="439" t="str">
        <f aca="false">IF('Unit Mix &amp; Comparables'!$E$18&lt;&gt;"",'Unit Mix &amp; Comparables'!$E$18,"")</f>
        <v/>
      </c>
      <c r="F282" s="438" t="str">
        <f aca="false">IF('Unit Mix &amp; Comparables'!$F$18&lt;&gt;"",'Unit Mix &amp; Comparables'!$F$18,"")</f>
        <v/>
      </c>
      <c r="G282" s="440" t="str">
        <f aca="false">IF('Unit Mix &amp; Comparables'!$G$18&lt;&gt;"",'Unit Mix &amp; Comparables'!$G$18,"")</f>
        <v/>
      </c>
      <c r="H282" s="441" t="n">
        <f aca="false">IF('Unit Mix &amp; Comparables'!$H$18&lt;&gt;"",'Unit Mix &amp; Comparables'!$H$18,"")</f>
        <v>0</v>
      </c>
      <c r="I282" s="440" t="n">
        <f aca="false">'Unit Mix &amp; Comparables'!$G$40</f>
        <v>0</v>
      </c>
      <c r="J282" s="440" t="str">
        <f aca="false">IFERROR(G282+I282,"")</f>
        <v/>
      </c>
      <c r="K282" s="441" t="str">
        <f aca="false">IFERROR(J282/F282,"")</f>
        <v/>
      </c>
      <c r="L282" s="442" t="n">
        <f aca="false">C43</f>
        <v>0</v>
      </c>
      <c r="M282" s="443" t="str">
        <f aca="false">'Unit Mix &amp; Comparables'!$H$6</f>
        <v>B</v>
      </c>
      <c r="N282" s="443" t="n">
        <f aca="false">'Unit Mix &amp; Comparables'!$C$7</f>
        <v>1982</v>
      </c>
    </row>
    <row r="283" customFormat="false" ht="13.5" hidden="false" customHeight="true" outlineLevel="0" collapsed="false">
      <c r="B283" s="444" t="str">
        <f aca="false">CONCATENATE($I$6," Current")</f>
        <v>Riverhill TH Current</v>
      </c>
      <c r="C283" s="445" t="str">
        <f aca="false">IF('Unit Mix &amp; Comparables'!$I$18&lt;&gt;"",'Unit Mix &amp; Comparables'!$I$18,"")</f>
        <v/>
      </c>
      <c r="D283" s="446" t="str">
        <f aca="false">IF('Unit Mix &amp; Comparables'!$J$18&lt;&gt;"",'Unit Mix &amp; Comparables'!$J$18,"")</f>
        <v/>
      </c>
      <c r="E283" s="446" t="str">
        <f aca="false">IF('Unit Mix &amp; Comparables'!$K$18&lt;&gt;"",'Unit Mix &amp; Comparables'!$K$18,"")</f>
        <v/>
      </c>
      <c r="F283" s="445" t="str">
        <f aca="false">IF('Unit Mix &amp; Comparables'!$L$18&lt;&gt;"",'Unit Mix &amp; Comparables'!$L$18,"")</f>
        <v/>
      </c>
      <c r="G283" s="447" t="str">
        <f aca="false">IF('Unit Mix &amp; Comparables'!$M$18&lt;&gt;"",'Unit Mix &amp; Comparables'!$M$18,"")</f>
        <v/>
      </c>
      <c r="H283" s="448" t="n">
        <f aca="false">IF('Unit Mix &amp; Comparables'!$N$18&lt;&gt;"",'Unit Mix &amp; Comparables'!$N$18,"")</f>
        <v>0</v>
      </c>
      <c r="I283" s="447" t="n">
        <f aca="false">'Unit Mix &amp; Comparables'!$M$40</f>
        <v>0</v>
      </c>
      <c r="J283" s="447" t="str">
        <f aca="false">IFERROR(G283+I283,"")</f>
        <v/>
      </c>
      <c r="K283" s="448" t="str">
        <f aca="false">IFERROR(J283/F283,"")</f>
        <v/>
      </c>
      <c r="L283" s="449" t="n">
        <f aca="false">$I$43</f>
        <v>0</v>
      </c>
      <c r="M283" s="450" t="str">
        <f aca="false">'Unit Mix &amp; Comparables'!$H$6</f>
        <v>B</v>
      </c>
      <c r="N283" s="450" t="n">
        <f aca="false">'Unit Mix &amp; Comparables'!$C$7</f>
        <v>1982</v>
      </c>
    </row>
    <row r="284" customFormat="false" ht="13.5" hidden="false" customHeight="true" outlineLevel="0" collapsed="false">
      <c r="B284" s="437" t="str">
        <f aca="false">CONCATENATE($C$6," Pro Forma")</f>
        <v>Riverhill TH Pro Forma</v>
      </c>
      <c r="C284" s="438" t="n">
        <f aca="false">IF('Unit Mix &amp; Comparables'!$C$11&lt;&gt;"",'Unit Mix &amp; Comparables'!$C$11,"")</f>
        <v>63</v>
      </c>
      <c r="D284" s="439" t="n">
        <f aca="false">IF('Unit Mix &amp; Comparables'!$D$11&lt;&gt;"",'Unit Mix &amp; Comparables'!$D$11,"")</f>
        <v>2</v>
      </c>
      <c r="E284" s="439" t="n">
        <f aca="false">IF('Unit Mix &amp; Comparables'!$E$11&lt;&gt;"",'Unit Mix &amp; Comparables'!$E$11,"")</f>
        <v>1.5</v>
      </c>
      <c r="F284" s="438" t="n">
        <f aca="false">IF('Unit Mix &amp; Comparables'!$F$11&lt;&gt;"",'Unit Mix &amp; Comparables'!$F$11,"")</f>
        <v>1008</v>
      </c>
      <c r="G284" s="440" t="n">
        <f aca="false">IF('Unit Mix &amp; Comparables'!$G$11&lt;&gt;"",'Unit Mix &amp; Comparables'!$G$11,"")</f>
        <v>780</v>
      </c>
      <c r="H284" s="441" t="n">
        <f aca="false">IF('Unit Mix &amp; Comparables'!$H$11&lt;&gt;"",'Unit Mix &amp; Comparables'!$H$11,"")</f>
        <v>0.773809523809524</v>
      </c>
      <c r="I284" s="440" t="n">
        <f aca="false">'Unit Mix &amp; Comparables'!$G$40</f>
        <v>0</v>
      </c>
      <c r="J284" s="440" t="n">
        <f aca="false">IFERROR(G284+I284,"")</f>
        <v>780</v>
      </c>
      <c r="K284" s="441" t="n">
        <f aca="false">IFERROR(J284/F284,"")</f>
        <v>0.773809523809524</v>
      </c>
      <c r="L284" s="442" t="n">
        <f aca="false">$C$43</f>
        <v>0</v>
      </c>
      <c r="M284" s="443" t="str">
        <f aca="false">'Unit Mix &amp; Comparables'!$H$6</f>
        <v>B</v>
      </c>
      <c r="N284" s="443" t="n">
        <f aca="false">'Unit Mix &amp; Comparables'!$C$7</f>
        <v>1982</v>
      </c>
    </row>
    <row r="285" customFormat="false" ht="13.5" hidden="false" customHeight="true" outlineLevel="0" collapsed="false">
      <c r="B285" s="444" t="str">
        <f aca="false">CONCATENATE($I$6," Current")</f>
        <v>Riverhill TH Current</v>
      </c>
      <c r="C285" s="445" t="n">
        <f aca="false">IF('Unit Mix &amp; Comparables'!$I$11&lt;&gt;"",'Unit Mix &amp; Comparables'!$I$11,"")</f>
        <v>63</v>
      </c>
      <c r="D285" s="446" t="n">
        <f aca="false">IF('Unit Mix &amp; Comparables'!$J$11&lt;&gt;"",'Unit Mix &amp; Comparables'!$J$11,"")</f>
        <v>2</v>
      </c>
      <c r="E285" s="446" t="n">
        <f aca="false">IF('Unit Mix &amp; Comparables'!$K$11&lt;&gt;"",'Unit Mix &amp; Comparables'!$K$11,"")</f>
        <v>1.5</v>
      </c>
      <c r="F285" s="445" t="n">
        <f aca="false">IF('Unit Mix &amp; Comparables'!$L$11&lt;&gt;"",'Unit Mix &amp; Comparables'!$L$11,"")</f>
        <v>1008</v>
      </c>
      <c r="G285" s="447" t="n">
        <f aca="false">IF('Unit Mix &amp; Comparables'!$M$11&lt;&gt;"",'Unit Mix &amp; Comparables'!$M$11,"")</f>
        <v>778</v>
      </c>
      <c r="H285" s="448" t="n">
        <f aca="false">IF('Unit Mix &amp; Comparables'!$N$11&lt;&gt;"",'Unit Mix &amp; Comparables'!$N$11,"")</f>
        <v>0.771825396825397</v>
      </c>
      <c r="I285" s="447" t="n">
        <f aca="false">'Unit Mix &amp; Comparables'!$M$40</f>
        <v>0</v>
      </c>
      <c r="J285" s="447" t="n">
        <f aca="false">IFERROR(G285+I285,"")</f>
        <v>778</v>
      </c>
      <c r="K285" s="448" t="n">
        <f aca="false">IFERROR(J285/F285,"")</f>
        <v>0.771825396825397</v>
      </c>
      <c r="L285" s="449" t="n">
        <f aca="false">$I$43</f>
        <v>0</v>
      </c>
      <c r="M285" s="450" t="str">
        <f aca="false">'Unit Mix &amp; Comparables'!$H$6</f>
        <v>B</v>
      </c>
      <c r="N285" s="450" t="n">
        <f aca="false">'Unit Mix &amp; Comparables'!$C$7</f>
        <v>1982</v>
      </c>
    </row>
    <row r="286" customFormat="false" ht="13.5" hidden="false" customHeight="true" outlineLevel="0" collapsed="false">
      <c r="B286" s="434" t="str">
        <f aca="false">$AJ$6</f>
        <v>Riverside South</v>
      </c>
      <c r="C286" s="405" t="n">
        <f aca="false">IF('Unit Mix &amp; Comparables'!$AJ9&lt;&gt;"",'Unit Mix &amp; Comparables'!$AJ9,"")</f>
        <v>25</v>
      </c>
      <c r="D286" s="299" t="n">
        <f aca="false">IF('Unit Mix &amp; Comparables'!$AK9&lt;&gt;"",'Unit Mix &amp; Comparables'!$AK9,"")</f>
        <v>0</v>
      </c>
      <c r="E286" s="299" t="n">
        <f aca="false">IF('Unit Mix &amp; Comparables'!$AL9&lt;&gt;"",'Unit Mix &amp; Comparables'!$AL9,"")</f>
        <v>1</v>
      </c>
      <c r="F286" s="405" t="n">
        <f aca="false">IF('Unit Mix &amp; Comparables'!$AM9&lt;&gt;"",'Unit Mix &amp; Comparables'!$AM9,"")</f>
        <v>500</v>
      </c>
      <c r="G286" s="301" t="n">
        <f aca="false">IF('Unit Mix &amp; Comparables'!$AN9&lt;&gt;"",'Unit Mix &amp; Comparables'!$AN9,"")</f>
        <v>375</v>
      </c>
      <c r="H286" s="435" t="n">
        <f aca="false">IF('Unit Mix &amp; Comparables'!$AO9&lt;&gt;"",'Unit Mix &amp; Comparables'!$AO9,"")</f>
        <v>0.75</v>
      </c>
      <c r="I286" s="301" t="n">
        <f aca="false">'Unit Mix &amp; Comparables'!$V$40</f>
        <v>0</v>
      </c>
      <c r="J286" s="301" t="n">
        <f aca="false">IFERROR(G286+I286,"")</f>
        <v>375</v>
      </c>
      <c r="K286" s="435" t="n">
        <f aca="false">IFERROR(J286/F286,"")</f>
        <v>0.75</v>
      </c>
      <c r="L286" s="341" t="n">
        <f aca="false">AJ44</f>
        <v>0</v>
      </c>
      <c r="M286" s="316" t="str">
        <f aca="false">'Unit Mix &amp; Comparables'!$AO$6</f>
        <v>B</v>
      </c>
      <c r="N286" s="316" t="n">
        <f aca="false">$AJ$7</f>
        <v>1988</v>
      </c>
    </row>
    <row r="287" customFormat="false" ht="13.5" hidden="false" customHeight="true" outlineLevel="0" collapsed="false">
      <c r="B287" s="437" t="str">
        <f aca="false">CONCATENATE($C$6," Pro Forma")</f>
        <v>Riverhill TH Pro Forma</v>
      </c>
      <c r="C287" s="438" t="n">
        <f aca="false">IF('Unit Mix &amp; Comparables'!$C$10&lt;&gt;"",'Unit Mix &amp; Comparables'!$C$10,"")</f>
        <v>15</v>
      </c>
      <c r="D287" s="439" t="n">
        <f aca="false">IF('Unit Mix &amp; Comparables'!$D$10&lt;&gt;"",'Unit Mix &amp; Comparables'!$D$10,"")</f>
        <v>2</v>
      </c>
      <c r="E287" s="439" t="n">
        <f aca="false">IF('Unit Mix &amp; Comparables'!$E$10&lt;&gt;"",'Unit Mix &amp; Comparables'!$E$10,"")</f>
        <v>1.5</v>
      </c>
      <c r="F287" s="438" t="n">
        <f aca="false">IF('Unit Mix &amp; Comparables'!$F$10&lt;&gt;"",'Unit Mix &amp; Comparables'!$F$10,"")</f>
        <v>1008</v>
      </c>
      <c r="G287" s="440" t="n">
        <f aca="false">IF('Unit Mix &amp; Comparables'!$G$10&lt;&gt;"",'Unit Mix &amp; Comparables'!$G$10,"")</f>
        <v>772</v>
      </c>
      <c r="H287" s="441" t="n">
        <f aca="false">IF('Unit Mix &amp; Comparables'!$H$10&lt;&gt;"",'Unit Mix &amp; Comparables'!$H$10,"")</f>
        <v>0.765873015873016</v>
      </c>
      <c r="I287" s="440" t="n">
        <v>0</v>
      </c>
      <c r="J287" s="440" t="n">
        <f aca="false">IFERROR(G287+I287,"")</f>
        <v>772</v>
      </c>
      <c r="K287" s="441" t="n">
        <f aca="false">IFERROR(J287/F287,"")</f>
        <v>0.765873015873016</v>
      </c>
      <c r="L287" s="442" t="n">
        <f aca="false">$C$43</f>
        <v>0</v>
      </c>
      <c r="M287" s="443" t="str">
        <f aca="false">'Unit Mix &amp; Comparables'!$H$6</f>
        <v>B</v>
      </c>
      <c r="N287" s="443" t="n">
        <f aca="false">'Unit Mix &amp; Comparables'!$C$7</f>
        <v>1982</v>
      </c>
    </row>
    <row r="288" customFormat="false" ht="13.5" hidden="false" customHeight="true" outlineLevel="0" collapsed="false">
      <c r="B288" s="444" t="str">
        <f aca="false">CONCATENATE($I$6," Current")</f>
        <v>Riverhill TH Current</v>
      </c>
      <c r="C288" s="445" t="n">
        <f aca="false">IF('Unit Mix &amp; Comparables'!$I$10&lt;&gt;"",'Unit Mix &amp; Comparables'!$I$10,"")</f>
        <v>15</v>
      </c>
      <c r="D288" s="446" t="n">
        <f aca="false">IF('Unit Mix &amp; Comparables'!$J$10&lt;&gt;"",'Unit Mix &amp; Comparables'!$J$10,"")</f>
        <v>2</v>
      </c>
      <c r="E288" s="446" t="n">
        <f aca="false">IF('Unit Mix &amp; Comparables'!$K$10&lt;&gt;"",'Unit Mix &amp; Comparables'!$K$10,"")</f>
        <v>1.5</v>
      </c>
      <c r="F288" s="445" t="n">
        <f aca="false">IF('Unit Mix &amp; Comparables'!$L$10&lt;&gt;"",'Unit Mix &amp; Comparables'!$L$10,"")</f>
        <v>1008</v>
      </c>
      <c r="G288" s="447" t="n">
        <f aca="false">IF('Unit Mix &amp; Comparables'!$M$10&lt;&gt;"",'Unit Mix &amp; Comparables'!$M$10,"")</f>
        <v>772</v>
      </c>
      <c r="H288" s="448" t="n">
        <f aca="false">IF('Unit Mix &amp; Comparables'!$N$10&lt;&gt;"",'Unit Mix &amp; Comparables'!$N$10,"")</f>
        <v>0.765873015873016</v>
      </c>
      <c r="I288" s="447" t="n">
        <f aca="false">'Unit Mix &amp; Comparables'!$M$40</f>
        <v>0</v>
      </c>
      <c r="J288" s="447" t="n">
        <f aca="false">IFERROR(G288+I288,"")</f>
        <v>772</v>
      </c>
      <c r="K288" s="448" t="n">
        <f aca="false">IFERROR(J288/F288,"")</f>
        <v>0.765873015873016</v>
      </c>
      <c r="L288" s="449" t="n">
        <f aca="false">$I$43</f>
        <v>0</v>
      </c>
      <c r="M288" s="450" t="str">
        <f aca="false">'Unit Mix &amp; Comparables'!$H$6</f>
        <v>B</v>
      </c>
      <c r="N288" s="450" t="n">
        <f aca="false">'Unit Mix &amp; Comparables'!$C$7</f>
        <v>1982</v>
      </c>
    </row>
    <row r="289" customFormat="false" ht="13.5" hidden="false" customHeight="true" outlineLevel="0" collapsed="false">
      <c r="B289" s="437" t="str">
        <f aca="false">CONCATENATE($C$6," Pro Forma")</f>
        <v>Riverhill TH Pro Forma</v>
      </c>
      <c r="C289" s="438" t="str">
        <f aca="false">IF('Unit Mix &amp; Comparables'!$C$14&lt;&gt;"",'Unit Mix &amp; Comparables'!$C$14,"")</f>
        <v/>
      </c>
      <c r="D289" s="439" t="str">
        <f aca="false">IF('Unit Mix &amp; Comparables'!$D$14&lt;&gt;"",'Unit Mix &amp; Comparables'!$D$14,"")</f>
        <v/>
      </c>
      <c r="E289" s="439" t="str">
        <f aca="false">IF('Unit Mix &amp; Comparables'!$E$14&lt;&gt;"",'Unit Mix &amp; Comparables'!$E$14,"")</f>
        <v/>
      </c>
      <c r="F289" s="438" t="str">
        <f aca="false">IF('Unit Mix &amp; Comparables'!$F$14&lt;&gt;"",'Unit Mix &amp; Comparables'!$F$14,"")</f>
        <v/>
      </c>
      <c r="G289" s="440" t="str">
        <f aca="false">IF('Unit Mix &amp; Comparables'!$G$14&lt;&gt;"",'Unit Mix &amp; Comparables'!$G$14,"")</f>
        <v/>
      </c>
      <c r="H289" s="441" t="n">
        <f aca="false">IF('Unit Mix &amp; Comparables'!$H$14&lt;&gt;"",'Unit Mix &amp; Comparables'!$H$14,"")</f>
        <v>0</v>
      </c>
      <c r="I289" s="440" t="n">
        <v>0</v>
      </c>
      <c r="J289" s="440" t="str">
        <f aca="false">IFERROR(G289+I289,"")</f>
        <v/>
      </c>
      <c r="K289" s="441" t="str">
        <f aca="false">IFERROR(J289/F289,"")</f>
        <v/>
      </c>
      <c r="L289" s="442" t="n">
        <f aca="false">C43</f>
        <v>0</v>
      </c>
      <c r="M289" s="443" t="str">
        <f aca="false">'Unit Mix &amp; Comparables'!$H$6</f>
        <v>B</v>
      </c>
      <c r="N289" s="443" t="n">
        <f aca="false">'Unit Mix &amp; Comparables'!$C$7</f>
        <v>1982</v>
      </c>
    </row>
    <row r="290" customFormat="false" ht="13.5" hidden="false" customHeight="true" outlineLevel="0" collapsed="false">
      <c r="B290" s="444" t="str">
        <f aca="false">CONCATENATE($I$6," Current")</f>
        <v>Riverhill TH Current</v>
      </c>
      <c r="C290" s="445" t="str">
        <f aca="false">IF('Unit Mix &amp; Comparables'!$I$14&lt;&gt;"",'Unit Mix &amp; Comparables'!$I$14,"")</f>
        <v/>
      </c>
      <c r="D290" s="446" t="str">
        <f aca="false">IF('Unit Mix &amp; Comparables'!$J$14&lt;&gt;"",'Unit Mix &amp; Comparables'!$J$14,"")</f>
        <v/>
      </c>
      <c r="E290" s="446" t="str">
        <f aca="false">IF('Unit Mix &amp; Comparables'!$K$14&lt;&gt;"",'Unit Mix &amp; Comparables'!$K$14,"")</f>
        <v/>
      </c>
      <c r="F290" s="445" t="str">
        <f aca="false">IF('Unit Mix &amp; Comparables'!$L$14&lt;&gt;"",'Unit Mix &amp; Comparables'!$L$14,"")</f>
        <v/>
      </c>
      <c r="G290" s="447" t="str">
        <f aca="false">IF('Unit Mix &amp; Comparables'!$M$14&lt;&gt;"",'Unit Mix &amp; Comparables'!$M$14,"")</f>
        <v/>
      </c>
      <c r="H290" s="448" t="n">
        <f aca="false">IF('Unit Mix &amp; Comparables'!$N$14&lt;&gt;"",'Unit Mix &amp; Comparables'!$N$14,"")</f>
        <v>0</v>
      </c>
      <c r="I290" s="447" t="n">
        <f aca="false">'Unit Mix &amp; Comparables'!$M$40</f>
        <v>0</v>
      </c>
      <c r="J290" s="447" t="str">
        <f aca="false">IFERROR(G290+I290,"")</f>
        <v/>
      </c>
      <c r="K290" s="448" t="str">
        <f aca="false">IFERROR(J290/F290,"")</f>
        <v/>
      </c>
      <c r="L290" s="449" t="n">
        <f aca="false">$I$43</f>
        <v>0</v>
      </c>
      <c r="M290" s="450" t="str">
        <f aca="false">'Unit Mix &amp; Comparables'!$H$6</f>
        <v>B</v>
      </c>
      <c r="N290" s="450" t="n">
        <f aca="false">'Unit Mix &amp; Comparables'!$C$7</f>
        <v>1982</v>
      </c>
    </row>
    <row r="291" customFormat="false" ht="13.5" hidden="false" customHeight="true" outlineLevel="0" collapsed="false">
      <c r="B291" s="437" t="str">
        <f aca="false">CONCATENATE($C$6," Pro Forma")</f>
        <v>Riverhill TH Pro Forma</v>
      </c>
      <c r="C291" s="438" t="str">
        <f aca="false">IF('Unit Mix &amp; Comparables'!$C$17&lt;&gt;"",'Unit Mix &amp; Comparables'!$C$17,"")</f>
        <v/>
      </c>
      <c r="D291" s="439" t="str">
        <f aca="false">IF('Unit Mix &amp; Comparables'!$D$17&lt;&gt;"",'Unit Mix &amp; Comparables'!$D$17,"")</f>
        <v/>
      </c>
      <c r="E291" s="439" t="str">
        <f aca="false">IF('Unit Mix &amp; Comparables'!$E$17&lt;&gt;"",'Unit Mix &amp; Comparables'!$E$17,"")</f>
        <v/>
      </c>
      <c r="F291" s="438" t="str">
        <f aca="false">IF('Unit Mix &amp; Comparables'!$F$17&lt;&gt;"",'Unit Mix &amp; Comparables'!$F$17,"")</f>
        <v/>
      </c>
      <c r="G291" s="440" t="str">
        <f aca="false">IF('Unit Mix &amp; Comparables'!$G$17&lt;&gt;"",'Unit Mix &amp; Comparables'!$G$17,"")</f>
        <v/>
      </c>
      <c r="H291" s="441" t="n">
        <f aca="false">IF('Unit Mix &amp; Comparables'!$H$17&lt;&gt;"",'Unit Mix &amp; Comparables'!$H$17,"")</f>
        <v>0</v>
      </c>
      <c r="I291" s="440" t="n">
        <f aca="false">'Unit Mix &amp; Comparables'!$G$40</f>
        <v>0</v>
      </c>
      <c r="J291" s="440" t="str">
        <f aca="false">IFERROR(G291+I291,"")</f>
        <v/>
      </c>
      <c r="K291" s="441" t="str">
        <f aca="false">IFERROR(J291/F291,"")</f>
        <v/>
      </c>
      <c r="L291" s="442" t="n">
        <f aca="false">C43</f>
        <v>0</v>
      </c>
      <c r="M291" s="443" t="str">
        <f aca="false">'Unit Mix &amp; Comparables'!$H$6</f>
        <v>B</v>
      </c>
      <c r="N291" s="443" t="n">
        <f aca="false">'Unit Mix &amp; Comparables'!$C$7</f>
        <v>1982</v>
      </c>
    </row>
    <row r="292" customFormat="false" ht="13.5" hidden="false" customHeight="true" outlineLevel="0" collapsed="false">
      <c r="B292" s="444" t="str">
        <f aca="false">CONCATENATE($I$6," Current")</f>
        <v>Riverhill TH Current</v>
      </c>
      <c r="C292" s="445" t="str">
        <f aca="false">IF('Unit Mix &amp; Comparables'!$I$17&lt;&gt;"",'Unit Mix &amp; Comparables'!$I$17,"")</f>
        <v/>
      </c>
      <c r="D292" s="446" t="str">
        <f aca="false">IF('Unit Mix &amp; Comparables'!$J$17&lt;&gt;"",'Unit Mix &amp; Comparables'!$J$17,"")</f>
        <v/>
      </c>
      <c r="E292" s="446" t="str">
        <f aca="false">IF('Unit Mix &amp; Comparables'!$K$17&lt;&gt;"",'Unit Mix &amp; Comparables'!$K$17,"")</f>
        <v/>
      </c>
      <c r="F292" s="445" t="str">
        <f aca="false">IF('Unit Mix &amp; Comparables'!$L$17&lt;&gt;"",'Unit Mix &amp; Comparables'!$L$17,"")</f>
        <v/>
      </c>
      <c r="G292" s="447" t="str">
        <f aca="false">IF('Unit Mix &amp; Comparables'!$M$17&lt;&gt;"",'Unit Mix &amp; Comparables'!$M$17,"")</f>
        <v/>
      </c>
      <c r="H292" s="448" t="n">
        <f aca="false">IF('Unit Mix &amp; Comparables'!$N$17&lt;&gt;"",'Unit Mix &amp; Comparables'!$N$17,"")</f>
        <v>0</v>
      </c>
      <c r="I292" s="447" t="n">
        <f aca="false">'Unit Mix &amp; Comparables'!$M$40</f>
        <v>0</v>
      </c>
      <c r="J292" s="447" t="str">
        <f aca="false">IFERROR(G292+I292,"")</f>
        <v/>
      </c>
      <c r="K292" s="448" t="str">
        <f aca="false">IFERROR(J292/F292,"")</f>
        <v/>
      </c>
      <c r="L292" s="449" t="n">
        <f aca="false">$I$43</f>
        <v>0</v>
      </c>
      <c r="M292" s="450" t="str">
        <f aca="false">'Unit Mix &amp; Comparables'!$H$6</f>
        <v>B</v>
      </c>
      <c r="N292" s="450" t="n">
        <f aca="false">'Unit Mix &amp; Comparables'!$C$7</f>
        <v>1982</v>
      </c>
    </row>
    <row r="293" customFormat="false" ht="13.5" hidden="false" customHeight="true" outlineLevel="0" collapsed="false">
      <c r="B293" s="437" t="str">
        <f aca="false">CONCATENATE($C$6," Pro Forma")</f>
        <v>Riverhill TH Pro Forma</v>
      </c>
      <c r="C293" s="438" t="n">
        <f aca="false">IF('Unit Mix &amp; Comparables'!$C$9&lt;&gt;"",'Unit Mix &amp; Comparables'!$C$9,"")</f>
        <v>2</v>
      </c>
      <c r="D293" s="439" t="n">
        <f aca="false">IF('Unit Mix &amp; Comparables'!$D$9&lt;&gt;"",'Unit Mix &amp; Comparables'!$D$9,"")</f>
        <v>2</v>
      </c>
      <c r="E293" s="439" t="n">
        <f aca="false">IF('Unit Mix &amp; Comparables'!$E$9&lt;&gt;"",'Unit Mix &amp; Comparables'!$E$9,"")</f>
        <v>1.5</v>
      </c>
      <c r="F293" s="438" t="n">
        <f aca="false">IF('Unit Mix &amp; Comparables'!$F$9&lt;&gt;"",'Unit Mix &amp; Comparables'!$F$9,"")</f>
        <v>1008</v>
      </c>
      <c r="G293" s="440" t="n">
        <f aca="false">IF('Unit Mix &amp; Comparables'!$G$9&lt;&gt;"",'Unit Mix &amp; Comparables'!$G$9,"")</f>
        <v>729</v>
      </c>
      <c r="H293" s="441" t="n">
        <f aca="false">IF('Unit Mix &amp; Comparables'!$H$9&lt;&gt;"",'Unit Mix &amp; Comparables'!$H$9,"")</f>
        <v>0.723214285714286</v>
      </c>
      <c r="I293" s="440" t="n">
        <v>0</v>
      </c>
      <c r="J293" s="440" t="n">
        <f aca="false">IFERROR(G293+I293,"")</f>
        <v>729</v>
      </c>
      <c r="K293" s="441" t="n">
        <f aca="false">IFERROR(J293/F293,"")</f>
        <v>0.723214285714286</v>
      </c>
      <c r="L293" s="442" t="n">
        <f aca="false">$C$43</f>
        <v>0</v>
      </c>
      <c r="M293" s="443" t="str">
        <f aca="false">'Unit Mix &amp; Comparables'!$H$6</f>
        <v>B</v>
      </c>
      <c r="N293" s="443" t="n">
        <f aca="false">'Unit Mix &amp; Comparables'!$C$7</f>
        <v>1982</v>
      </c>
    </row>
    <row r="294" customFormat="false" ht="13.5" hidden="false" customHeight="true" outlineLevel="0" collapsed="false">
      <c r="B294" s="444" t="str">
        <f aca="false">CONCATENATE($I$6," Current")</f>
        <v>Riverhill TH Current</v>
      </c>
      <c r="C294" s="445" t="n">
        <f aca="false">IF('Unit Mix &amp; Comparables'!$I$9&lt;&gt;"",'Unit Mix &amp; Comparables'!$I$9,"")</f>
        <v>2</v>
      </c>
      <c r="D294" s="446" t="n">
        <f aca="false">IF('Unit Mix &amp; Comparables'!$J$9&lt;&gt;"",'Unit Mix &amp; Comparables'!$J$9,"")</f>
        <v>2</v>
      </c>
      <c r="E294" s="446" t="n">
        <f aca="false">IF('Unit Mix &amp; Comparables'!$K$9&lt;&gt;"",'Unit Mix &amp; Comparables'!$K$9,"")</f>
        <v>1.5</v>
      </c>
      <c r="F294" s="445" t="n">
        <f aca="false">IF('Unit Mix &amp; Comparables'!$L$9&lt;&gt;"",'Unit Mix &amp; Comparables'!$L$9,"")</f>
        <v>1008</v>
      </c>
      <c r="G294" s="447" t="n">
        <f aca="false">IF('Unit Mix &amp; Comparables'!$M$9&lt;&gt;"",'Unit Mix &amp; Comparables'!$M$9,"")</f>
        <v>703</v>
      </c>
      <c r="H294" s="448" t="n">
        <f aca="false">IF('Unit Mix &amp; Comparables'!$N$9&lt;&gt;"",'Unit Mix &amp; Comparables'!$N$9,"")</f>
        <v>0.697420634920635</v>
      </c>
      <c r="I294" s="447" t="n">
        <f aca="false">'Unit Mix &amp; Comparables'!$M$40</f>
        <v>0</v>
      </c>
      <c r="J294" s="447" t="n">
        <f aca="false">IFERROR(G294+I294,"")</f>
        <v>703</v>
      </c>
      <c r="K294" s="448" t="n">
        <f aca="false">IFERROR(J294/F294,"")</f>
        <v>0.697420634920635</v>
      </c>
      <c r="L294" s="449" t="n">
        <f aca="false">$I$43</f>
        <v>0</v>
      </c>
      <c r="M294" s="450" t="str">
        <f aca="false">'Unit Mix &amp; Comparables'!$H$6</f>
        <v>B</v>
      </c>
      <c r="N294" s="450" t="n">
        <f aca="false">'Unit Mix &amp; Comparables'!$C$7</f>
        <v>1982</v>
      </c>
    </row>
    <row r="295" customFormat="false" ht="13.5" hidden="false" customHeight="true" outlineLevel="0" collapsed="false">
      <c r="B295" s="437" t="str">
        <f aca="false">CONCATENATE($C$6," Pro Forma")</f>
        <v>Riverhill TH Pro Forma</v>
      </c>
      <c r="C295" s="438" t="str">
        <f aca="false">IF('Unit Mix &amp; Comparables'!$C$13&lt;&gt;"",'Unit Mix &amp; Comparables'!$C$13,"")</f>
        <v/>
      </c>
      <c r="D295" s="439" t="str">
        <f aca="false">IF('Unit Mix &amp; Comparables'!$D$13&lt;&gt;"",'Unit Mix &amp; Comparables'!$D$13,"")</f>
        <v/>
      </c>
      <c r="E295" s="439" t="str">
        <f aca="false">IF('Unit Mix &amp; Comparables'!$E$13&lt;&gt;"",'Unit Mix &amp; Comparables'!$E$13,"")</f>
        <v/>
      </c>
      <c r="F295" s="438" t="str">
        <f aca="false">IF('Unit Mix &amp; Comparables'!$F$13&lt;&gt;"",'Unit Mix &amp; Comparables'!$F$13,"")</f>
        <v/>
      </c>
      <c r="G295" s="440" t="str">
        <f aca="false">IF('Unit Mix &amp; Comparables'!$G$13&lt;&gt;"",'Unit Mix &amp; Comparables'!$G$13,"")</f>
        <v/>
      </c>
      <c r="H295" s="441" t="n">
        <f aca="false">IF('Unit Mix &amp; Comparables'!$H$13&lt;&gt;"",'Unit Mix &amp; Comparables'!$H$13,"")</f>
        <v>0</v>
      </c>
      <c r="I295" s="440" t="n">
        <v>0</v>
      </c>
      <c r="J295" s="440" t="str">
        <f aca="false">IFERROR(G295+I295,"")</f>
        <v/>
      </c>
      <c r="K295" s="441" t="str">
        <f aca="false">IFERROR(J295/F295,"")</f>
        <v/>
      </c>
      <c r="L295" s="442" t="n">
        <f aca="false">C43</f>
        <v>0</v>
      </c>
      <c r="M295" s="443" t="str">
        <f aca="false">'Unit Mix &amp; Comparables'!$H$6</f>
        <v>B</v>
      </c>
      <c r="N295" s="443" t="n">
        <f aca="false">'Unit Mix &amp; Comparables'!$C$7</f>
        <v>1982</v>
      </c>
    </row>
    <row r="296" customFormat="false" ht="13.5" hidden="false" customHeight="true" outlineLevel="0" collapsed="false">
      <c r="B296" s="444" t="str">
        <f aca="false">CONCATENATE($I$6," Current")</f>
        <v>Riverhill TH Current</v>
      </c>
      <c r="C296" s="445" t="str">
        <f aca="false">IF('Unit Mix &amp; Comparables'!$I$13&lt;&gt;"",'Unit Mix &amp; Comparables'!$I$13,"")</f>
        <v/>
      </c>
      <c r="D296" s="446" t="str">
        <f aca="false">IF('Unit Mix &amp; Comparables'!$J$13&lt;&gt;"",'Unit Mix &amp; Comparables'!$J$13,"")</f>
        <v/>
      </c>
      <c r="E296" s="446" t="str">
        <f aca="false">IF('Unit Mix &amp; Comparables'!$K$13&lt;&gt;"",'Unit Mix &amp; Comparables'!$K$13,"")</f>
        <v/>
      </c>
      <c r="F296" s="445" t="str">
        <f aca="false">IF('Unit Mix &amp; Comparables'!$L$13&lt;&gt;"",'Unit Mix &amp; Comparables'!$L$13,"")</f>
        <v/>
      </c>
      <c r="G296" s="447" t="str">
        <f aca="false">IF('Unit Mix &amp; Comparables'!$M$13&lt;&gt;"",'Unit Mix &amp; Comparables'!$M$13,"")</f>
        <v/>
      </c>
      <c r="H296" s="448" t="n">
        <f aca="false">IF('Unit Mix &amp; Comparables'!$N$13&lt;&gt;"",'Unit Mix &amp; Comparables'!$N$13,"")</f>
        <v>0</v>
      </c>
      <c r="I296" s="447" t="n">
        <f aca="false">'Unit Mix &amp; Comparables'!$M$40</f>
        <v>0</v>
      </c>
      <c r="J296" s="447" t="str">
        <f aca="false">IFERROR(G296+I296,"")</f>
        <v/>
      </c>
      <c r="K296" s="448" t="str">
        <f aca="false">IFERROR(J296/F296,"")</f>
        <v/>
      </c>
      <c r="L296" s="449" t="n">
        <f aca="false">$I$43</f>
        <v>0</v>
      </c>
      <c r="M296" s="450" t="str">
        <f aca="false">'Unit Mix &amp; Comparables'!$H$6</f>
        <v>B</v>
      </c>
      <c r="N296" s="450" t="n">
        <f aca="false">'Unit Mix &amp; Comparables'!$C$7</f>
        <v>1982</v>
      </c>
    </row>
  </sheetData>
  <mergeCells count="70">
    <mergeCell ref="C5:H5"/>
    <mergeCell ref="I5:Q5"/>
    <mergeCell ref="R5:W5"/>
    <mergeCell ref="X5:AC5"/>
    <mergeCell ref="AD5:AI5"/>
    <mergeCell ref="AJ5:AO5"/>
    <mergeCell ref="AP5:AU5"/>
    <mergeCell ref="AV5:BA5"/>
    <mergeCell ref="BB5:BG5"/>
    <mergeCell ref="P7:Q7"/>
    <mergeCell ref="C41:H41"/>
    <mergeCell ref="I41:N41"/>
    <mergeCell ref="O41:Q41"/>
    <mergeCell ref="R41:W41"/>
    <mergeCell ref="X41:AC41"/>
    <mergeCell ref="AD41:AI41"/>
    <mergeCell ref="AJ41:AO41"/>
    <mergeCell ref="AP41:AU41"/>
    <mergeCell ref="AV41:BA41"/>
    <mergeCell ref="BB41:BG41"/>
    <mergeCell ref="C42:H42"/>
    <mergeCell ref="I42:N42"/>
    <mergeCell ref="O42:Q42"/>
    <mergeCell ref="R42:W42"/>
    <mergeCell ref="X42:AC42"/>
    <mergeCell ref="AD42:AI42"/>
    <mergeCell ref="AJ42:AO42"/>
    <mergeCell ref="AP42:AU42"/>
    <mergeCell ref="AV42:BA42"/>
    <mergeCell ref="BB42:BG42"/>
    <mergeCell ref="C43:H43"/>
    <mergeCell ref="I43:N43"/>
    <mergeCell ref="O43:Q43"/>
    <mergeCell ref="R43:W43"/>
    <mergeCell ref="X43:AC43"/>
    <mergeCell ref="AD43:AI43"/>
    <mergeCell ref="AJ43:AO43"/>
    <mergeCell ref="AP43:AU43"/>
    <mergeCell ref="AV43:BA43"/>
    <mergeCell ref="BB43:BG43"/>
    <mergeCell ref="C44:H45"/>
    <mergeCell ref="I44:N45"/>
    <mergeCell ref="O44:Q45"/>
    <mergeCell ref="R44:W45"/>
    <mergeCell ref="X44:AC45"/>
    <mergeCell ref="AD44:AI45"/>
    <mergeCell ref="AJ44:AO45"/>
    <mergeCell ref="AP44:AU45"/>
    <mergeCell ref="AV44:BA45"/>
    <mergeCell ref="BB44:BG45"/>
    <mergeCell ref="AD47:AI47"/>
    <mergeCell ref="AJ47:AO47"/>
    <mergeCell ref="AP47:AU47"/>
    <mergeCell ref="AV47:BA47"/>
    <mergeCell ref="B48:G48"/>
    <mergeCell ref="I48:Q48"/>
    <mergeCell ref="S48:Z48"/>
    <mergeCell ref="B55:G62"/>
    <mergeCell ref="AD85:AI85"/>
    <mergeCell ref="AJ85:AO85"/>
    <mergeCell ref="AP85:AU85"/>
    <mergeCell ref="AV85:BA85"/>
    <mergeCell ref="AD86:AI86"/>
    <mergeCell ref="AJ86:AO86"/>
    <mergeCell ref="AP86:AU86"/>
    <mergeCell ref="AV86:BA86"/>
    <mergeCell ref="AD87:AI88"/>
    <mergeCell ref="AJ87:AO88"/>
    <mergeCell ref="AP87:AU88"/>
    <mergeCell ref="AV87:BA88"/>
  </mergeCells>
  <printOptions headings="false" gridLines="false" gridLinesSet="true" horizontalCentered="true" verticalCentered="false"/>
  <pageMargins left="0.7" right="0.7" top="0.75" bottom="0.75" header="0.3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&amp;R&amp;"Calibri,Italic"Confidential and For Discussion Purposes Only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54"/>
  <sheetViews>
    <sheetView showFormulas="false" showGridLines="true" showRowColHeaders="true" showZeros="true" rightToLeft="false" tabSelected="false" showOutlineSymbols="true" defaultGridColor="true" view="normal" topLeftCell="H1" colorId="64" zoomScale="92" zoomScaleNormal="92" zoomScalePageLayoutView="100" workbookViewId="0">
      <selection pane="topLeft" activeCell="C12" activeCellId="0" sqref="C12"/>
    </sheetView>
  </sheetViews>
  <sheetFormatPr defaultColWidth="8.83203125" defaultRowHeight="13.5" zeroHeight="false" outlineLevelRow="0" outlineLevelCol="0"/>
  <cols>
    <col collapsed="false" customWidth="true" hidden="false" outlineLevel="0" max="1" min="1" style="10" width="2.67"/>
    <col collapsed="false" customWidth="true" hidden="false" outlineLevel="0" max="2" min="2" style="10" width="40"/>
    <col collapsed="false" customWidth="true" hidden="false" outlineLevel="0" max="3" min="3" style="10" width="16.16"/>
    <col collapsed="false" customWidth="true" hidden="false" outlineLevel="0" max="5" min="4" style="10" width="14.16"/>
    <col collapsed="false" customWidth="true" hidden="false" outlineLevel="0" max="6" min="6" style="236" width="14.16"/>
    <col collapsed="false" customWidth="true" hidden="false" outlineLevel="0" max="15" min="7" style="10" width="14.16"/>
    <col collapsed="false" customWidth="true" hidden="false" outlineLevel="0" max="16" min="16" style="10" width="14.52"/>
    <col collapsed="false" customWidth="false" hidden="false" outlineLevel="0" max="16384" min="17" style="10" width="8.83"/>
  </cols>
  <sheetData>
    <row r="2" customFormat="false" ht="13.5" hidden="false" customHeight="true" outlineLevel="0" collapsed="false">
      <c r="B2" s="455" t="str">
        <f aca="false">'Executive Summary'!B2</f>
        <v>Riverhill TH</v>
      </c>
      <c r="C2" s="14"/>
      <c r="D2" s="14"/>
      <c r="E2" s="14"/>
      <c r="F2" s="239"/>
      <c r="G2" s="14"/>
      <c r="H2" s="14"/>
      <c r="I2" s="14"/>
      <c r="J2" s="14"/>
      <c r="K2" s="14"/>
      <c r="L2" s="14"/>
      <c r="M2" s="14"/>
      <c r="N2" s="14"/>
      <c r="O2" s="14"/>
      <c r="P2" s="15"/>
    </row>
    <row r="3" customFormat="false" ht="13.5" hidden="false" customHeight="true" outlineLevel="0" collapsed="false">
      <c r="B3" s="114" t="s">
        <v>481</v>
      </c>
      <c r="C3" s="17"/>
      <c r="D3" s="17"/>
      <c r="E3" s="17"/>
      <c r="F3" s="242"/>
      <c r="G3" s="17"/>
      <c r="H3" s="17"/>
      <c r="I3" s="17"/>
      <c r="J3" s="17"/>
      <c r="K3" s="17"/>
      <c r="L3" s="17"/>
      <c r="M3" s="17"/>
      <c r="N3" s="17"/>
      <c r="O3" s="17"/>
      <c r="P3" s="19"/>
    </row>
    <row r="4" customFormat="false" ht="13.5" hidden="false" customHeight="true" outlineLevel="0" collapsed="false">
      <c r="B4" s="114"/>
      <c r="C4" s="17"/>
      <c r="D4" s="17"/>
      <c r="E4" s="17"/>
      <c r="F4" s="242"/>
      <c r="G4" s="17"/>
      <c r="H4" s="17"/>
      <c r="I4" s="17"/>
      <c r="J4" s="17"/>
      <c r="K4" s="17"/>
      <c r="L4" s="17"/>
      <c r="M4" s="17"/>
      <c r="N4" s="17"/>
      <c r="O4" s="17"/>
      <c r="P4" s="19"/>
    </row>
    <row r="5" customFormat="false" ht="13.5" hidden="false" customHeight="true" outlineLevel="0" collapsed="false">
      <c r="B5" s="16"/>
      <c r="C5" s="330" t="s">
        <v>482</v>
      </c>
      <c r="D5" s="456" t="n">
        <v>1</v>
      </c>
      <c r="E5" s="456" t="n">
        <v>2</v>
      </c>
      <c r="F5" s="457" t="n">
        <v>3</v>
      </c>
      <c r="G5" s="456" t="n">
        <v>4</v>
      </c>
      <c r="H5" s="456" t="n">
        <v>5</v>
      </c>
      <c r="I5" s="456" t="n">
        <v>6</v>
      </c>
      <c r="J5" s="456" t="n">
        <v>7</v>
      </c>
      <c r="K5" s="456" t="n">
        <v>8</v>
      </c>
      <c r="L5" s="456" t="n">
        <v>9</v>
      </c>
      <c r="M5" s="456" t="n">
        <v>10</v>
      </c>
      <c r="N5" s="456" t="n">
        <v>11</v>
      </c>
      <c r="O5" s="456" t="n">
        <v>12</v>
      </c>
      <c r="P5" s="458" t="n">
        <v>2</v>
      </c>
    </row>
    <row r="6" customFormat="false" ht="13.5" hidden="false" customHeight="true" outlineLevel="0" collapsed="false">
      <c r="B6" s="16" t="s">
        <v>483</v>
      </c>
      <c r="C6" s="60"/>
      <c r="D6" s="459" t="n">
        <v>0</v>
      </c>
      <c r="E6" s="459" t="n">
        <v>0</v>
      </c>
      <c r="F6" s="460" t="n">
        <v>0</v>
      </c>
      <c r="G6" s="459" t="n">
        <v>0</v>
      </c>
      <c r="H6" s="459" t="n">
        <v>0</v>
      </c>
      <c r="I6" s="459" t="n">
        <v>0</v>
      </c>
      <c r="J6" s="459" t="n">
        <v>0</v>
      </c>
      <c r="K6" s="459" t="n">
        <v>0</v>
      </c>
      <c r="L6" s="459" t="n">
        <v>0</v>
      </c>
      <c r="M6" s="459" t="n">
        <v>0</v>
      </c>
      <c r="N6" s="459" t="n">
        <v>0</v>
      </c>
      <c r="O6" s="459" t="n">
        <v>0</v>
      </c>
      <c r="P6" s="461" t="n">
        <v>0</v>
      </c>
    </row>
    <row r="7" customFormat="false" ht="13.5" hidden="false" customHeight="true" outlineLevel="0" collapsed="false">
      <c r="B7" s="16" t="s">
        <v>484</v>
      </c>
      <c r="C7" s="60"/>
      <c r="D7" s="459" t="n">
        <v>0</v>
      </c>
      <c r="E7" s="459" t="n">
        <v>0</v>
      </c>
      <c r="F7" s="460" t="n">
        <v>0</v>
      </c>
      <c r="G7" s="459" t="n">
        <v>0</v>
      </c>
      <c r="H7" s="459" t="n">
        <v>0</v>
      </c>
      <c r="I7" s="459" t="n">
        <v>0</v>
      </c>
      <c r="J7" s="459" t="n">
        <v>0</v>
      </c>
      <c r="K7" s="459" t="n">
        <v>0</v>
      </c>
      <c r="L7" s="459" t="n">
        <v>0</v>
      </c>
      <c r="M7" s="459" t="n">
        <v>0</v>
      </c>
      <c r="N7" s="459" t="n">
        <v>0</v>
      </c>
      <c r="O7" s="459" t="n">
        <v>0</v>
      </c>
      <c r="P7" s="461" t="n">
        <v>0</v>
      </c>
    </row>
    <row r="8" customFormat="false" ht="13.5" hidden="false" customHeight="true" outlineLevel="0" collapsed="false">
      <c r="B8" s="16" t="s">
        <v>485</v>
      </c>
      <c r="C8" s="60"/>
      <c r="D8" s="459" t="n">
        <v>0</v>
      </c>
      <c r="E8" s="459" t="n">
        <v>0</v>
      </c>
      <c r="F8" s="460" t="n">
        <v>0</v>
      </c>
      <c r="G8" s="459" t="n">
        <v>0</v>
      </c>
      <c r="H8" s="459" t="n">
        <v>0</v>
      </c>
      <c r="I8" s="459" t="n">
        <v>0</v>
      </c>
      <c r="J8" s="459" t="n">
        <v>0</v>
      </c>
      <c r="K8" s="459" t="n">
        <v>0</v>
      </c>
      <c r="L8" s="459" t="n">
        <v>0</v>
      </c>
      <c r="M8" s="459" t="n">
        <v>0</v>
      </c>
      <c r="N8" s="459" t="n">
        <v>0</v>
      </c>
      <c r="O8" s="459" t="n">
        <v>0</v>
      </c>
      <c r="P8" s="461" t="n">
        <v>0</v>
      </c>
    </row>
    <row r="9" customFormat="false" ht="13.5" hidden="false" customHeight="true" outlineLevel="0" collapsed="false">
      <c r="B9" s="16" t="s">
        <v>486</v>
      </c>
      <c r="C9" s="60"/>
      <c r="D9" s="462" t="n">
        <v>0</v>
      </c>
      <c r="E9" s="462" t="n">
        <v>3</v>
      </c>
      <c r="F9" s="463" t="n">
        <v>5</v>
      </c>
      <c r="G9" s="462" t="n">
        <v>3</v>
      </c>
      <c r="H9" s="462" t="n">
        <v>5</v>
      </c>
      <c r="I9" s="462" t="n">
        <v>3</v>
      </c>
      <c r="J9" s="462" t="n">
        <v>5</v>
      </c>
      <c r="K9" s="462" t="n">
        <v>3</v>
      </c>
      <c r="L9" s="462" t="n">
        <v>5</v>
      </c>
      <c r="M9" s="462" t="n">
        <v>3</v>
      </c>
      <c r="N9" s="462" t="n">
        <v>5</v>
      </c>
      <c r="O9" s="462" t="n">
        <v>3</v>
      </c>
      <c r="P9" s="24" t="n">
        <v>5</v>
      </c>
    </row>
    <row r="10" customFormat="false" ht="13.5" hidden="false" customHeight="true" outlineLevel="0" collapsed="false">
      <c r="B10" s="16" t="s">
        <v>487</v>
      </c>
      <c r="C10" s="60"/>
      <c r="D10" s="464" t="n">
        <f aca="false">'Operating Inputs'!$P$11+'Renovation Plan'!D6</f>
        <v>-0.003</v>
      </c>
      <c r="E10" s="464" t="n">
        <f aca="false">'Operating Inputs'!$P$11+'Renovation Plan'!E6</f>
        <v>-0.003</v>
      </c>
      <c r="F10" s="82" t="n">
        <f aca="false">'Operating Inputs'!$P$11+'Renovation Plan'!F6</f>
        <v>-0.003</v>
      </c>
      <c r="G10" s="464" t="n">
        <f aca="false">'Operating Inputs'!$P$11+'Renovation Plan'!G6</f>
        <v>-0.003</v>
      </c>
      <c r="H10" s="464" t="n">
        <f aca="false">'Operating Inputs'!$P$11+'Renovation Plan'!H6</f>
        <v>-0.003</v>
      </c>
      <c r="I10" s="464" t="n">
        <f aca="false">'Operating Inputs'!$P$11+'Renovation Plan'!I6</f>
        <v>-0.003</v>
      </c>
      <c r="J10" s="464" t="n">
        <f aca="false">'Operating Inputs'!$P$11+'Renovation Plan'!J6</f>
        <v>-0.003</v>
      </c>
      <c r="K10" s="464" t="n">
        <f aca="false">'Operating Inputs'!$P$11+'Renovation Plan'!K6</f>
        <v>-0.003</v>
      </c>
      <c r="L10" s="464" t="n">
        <f aca="false">'Operating Inputs'!$P$11+'Renovation Plan'!L6</f>
        <v>-0.003</v>
      </c>
      <c r="M10" s="464" t="n">
        <f aca="false">'Operating Inputs'!$P$11+'Renovation Plan'!M6</f>
        <v>-0.003</v>
      </c>
      <c r="N10" s="464" t="n">
        <f aca="false">'Operating Inputs'!$P$11+'Renovation Plan'!N6</f>
        <v>-0.003</v>
      </c>
      <c r="O10" s="464" t="n">
        <f aca="false">'Operating Inputs'!$P$11+'Renovation Plan'!O6</f>
        <v>-0.003</v>
      </c>
      <c r="P10" s="102" t="n">
        <f aca="false">'Operating Inputs'!$P$11+'Renovation Plan'!P6</f>
        <v>-0.003</v>
      </c>
    </row>
    <row r="11" customFormat="false" ht="13.5" hidden="false" customHeight="true" outlineLevel="0" collapsed="false">
      <c r="B11" s="16" t="s">
        <v>488</v>
      </c>
      <c r="C11" s="465" t="n">
        <v>0.97</v>
      </c>
      <c r="D11" s="464" t="n">
        <f aca="false">(1+'Operating Inputs'!$P$12)+'Renovation Plan'!D7</f>
        <v>0.944</v>
      </c>
      <c r="E11" s="464" t="n">
        <f aca="false">(1+'Operating Inputs'!$P$12)+'Renovation Plan'!E7</f>
        <v>0.944</v>
      </c>
      <c r="F11" s="82" t="n">
        <f aca="false">(1+'Operating Inputs'!$P$12)+'Renovation Plan'!F7</f>
        <v>0.944</v>
      </c>
      <c r="G11" s="464" t="n">
        <f aca="false">(1+'Operating Inputs'!$P$12)+'Renovation Plan'!G7</f>
        <v>0.944</v>
      </c>
      <c r="H11" s="464" t="n">
        <f aca="false">(1+'Operating Inputs'!$P$12)+'Renovation Plan'!H7</f>
        <v>0.944</v>
      </c>
      <c r="I11" s="464" t="n">
        <f aca="false">(1+'Operating Inputs'!$P$12)+'Renovation Plan'!I7</f>
        <v>0.944</v>
      </c>
      <c r="J11" s="464" t="n">
        <f aca="false">(1+'Operating Inputs'!$P$12)+'Renovation Plan'!J7</f>
        <v>0.944</v>
      </c>
      <c r="K11" s="464" t="n">
        <f aca="false">(1+'Operating Inputs'!$P$12)+'Renovation Plan'!K7</f>
        <v>0.944</v>
      </c>
      <c r="L11" s="464" t="n">
        <f aca="false">(1+'Operating Inputs'!$P$12)+'Renovation Plan'!L7</f>
        <v>0.944</v>
      </c>
      <c r="M11" s="464" t="n">
        <f aca="false">(1+'Operating Inputs'!$P$12)+'Renovation Plan'!M7</f>
        <v>0.944</v>
      </c>
      <c r="N11" s="464" t="n">
        <f aca="false">(1+'Operating Inputs'!$P$12)+'Renovation Plan'!N7</f>
        <v>0.944</v>
      </c>
      <c r="O11" s="464" t="n">
        <f aca="false">(1+'Operating Inputs'!$P$12)+'Renovation Plan'!O7</f>
        <v>0.944</v>
      </c>
      <c r="P11" s="102" t="n">
        <f aca="false">(1+'Operating Inputs'!$P$12)+'Renovation Plan'!P7</f>
        <v>0.944</v>
      </c>
    </row>
    <row r="12" customFormat="false" ht="13.5" hidden="false" customHeight="true" outlineLevel="0" collapsed="false">
      <c r="B12" s="16" t="s">
        <v>375</v>
      </c>
      <c r="C12" s="60"/>
      <c r="D12" s="464" t="n">
        <f aca="false">'Operating Inputs'!$P$13+'Renovation Plan'!D8</f>
        <v>-0.003</v>
      </c>
      <c r="E12" s="464" t="n">
        <f aca="false">'Operating Inputs'!$P$13+'Renovation Plan'!E8</f>
        <v>-0.003</v>
      </c>
      <c r="F12" s="82" t="n">
        <f aca="false">'Operating Inputs'!$P$13+'Renovation Plan'!F8</f>
        <v>-0.003</v>
      </c>
      <c r="G12" s="464" t="n">
        <f aca="false">'Operating Inputs'!$P$13+'Renovation Plan'!G8</f>
        <v>-0.003</v>
      </c>
      <c r="H12" s="464" t="n">
        <f aca="false">'Operating Inputs'!$P$13+'Renovation Plan'!H8</f>
        <v>-0.003</v>
      </c>
      <c r="I12" s="464" t="n">
        <f aca="false">'Operating Inputs'!$P$13+'Renovation Plan'!I8</f>
        <v>-0.003</v>
      </c>
      <c r="J12" s="464" t="n">
        <f aca="false">'Operating Inputs'!$P$13+'Renovation Plan'!J8</f>
        <v>-0.003</v>
      </c>
      <c r="K12" s="464" t="n">
        <f aca="false">'Operating Inputs'!$P$13+'Renovation Plan'!K8</f>
        <v>-0.003</v>
      </c>
      <c r="L12" s="464" t="n">
        <f aca="false">'Operating Inputs'!$P$13+'Renovation Plan'!L8</f>
        <v>-0.003</v>
      </c>
      <c r="M12" s="464" t="n">
        <f aca="false">'Operating Inputs'!$P$13+'Renovation Plan'!M8</f>
        <v>-0.003</v>
      </c>
      <c r="N12" s="464" t="n">
        <f aca="false">'Operating Inputs'!$P$13+'Renovation Plan'!N8</f>
        <v>-0.003</v>
      </c>
      <c r="O12" s="464" t="n">
        <f aca="false">'Operating Inputs'!$P$13+'Renovation Plan'!O8</f>
        <v>-0.003</v>
      </c>
      <c r="P12" s="102" t="n">
        <f aca="false">'Operating Inputs'!$P$13+'Renovation Plan'!P8</f>
        <v>-0.003</v>
      </c>
    </row>
    <row r="13" customFormat="false" ht="13.5" hidden="false" customHeight="true" outlineLevel="0" collapsed="false">
      <c r="B13" s="16" t="s">
        <v>489</v>
      </c>
      <c r="C13" s="466" t="n">
        <v>0</v>
      </c>
      <c r="D13" s="467" t="n">
        <f aca="false">IF(C13+D9&lt;='Executive Summary'!$C$12,'Renovation Plan'!C13+'Renovation Plan'!D9,'Executive Summary'!$C$12)</f>
        <v>0</v>
      </c>
      <c r="E13" s="467" t="n">
        <f aca="false">IF(D13+E9&lt;='Executive Summary'!$C$12,'Renovation Plan'!D13+'Renovation Plan'!E9,'Executive Summary'!$C$12)</f>
        <v>3</v>
      </c>
      <c r="F13" s="275" t="n">
        <f aca="false">IF(E13+F9&lt;='Executive Summary'!$C$12,'Renovation Plan'!E13+'Renovation Plan'!F9,'Executive Summary'!$C$12)</f>
        <v>8</v>
      </c>
      <c r="G13" s="467" t="n">
        <f aca="false">IF(F13+G9&lt;='Executive Summary'!$C$12,'Renovation Plan'!F13+'Renovation Plan'!G9,'Executive Summary'!$C$12)</f>
        <v>11</v>
      </c>
      <c r="H13" s="467" t="n">
        <f aca="false">IF(G13+H9&lt;='Executive Summary'!$C$12,'Renovation Plan'!G13+'Renovation Plan'!H9,'Executive Summary'!$C$12)</f>
        <v>16</v>
      </c>
      <c r="I13" s="467" t="n">
        <f aca="false">IF(H13+I9&lt;='Executive Summary'!$C$12,'Renovation Plan'!H13+'Renovation Plan'!I9,'Executive Summary'!$C$12)</f>
        <v>19</v>
      </c>
      <c r="J13" s="467" t="n">
        <f aca="false">IF(I13+J9&lt;='Executive Summary'!$C$12,'Renovation Plan'!I13+'Renovation Plan'!J9,'Executive Summary'!$C$12)</f>
        <v>24</v>
      </c>
      <c r="K13" s="467" t="n">
        <f aca="false">IF(J13+K9&lt;='Executive Summary'!$C$12,'Renovation Plan'!J13+'Renovation Plan'!K9,'Executive Summary'!$C$12)</f>
        <v>27</v>
      </c>
      <c r="L13" s="467" t="n">
        <f aca="false">IF(K13+L9&lt;='Executive Summary'!$C$12,'Renovation Plan'!K13+'Renovation Plan'!L9,'Executive Summary'!$C$12)</f>
        <v>32</v>
      </c>
      <c r="M13" s="467" t="n">
        <f aca="false">IF(L13+M9&lt;='Executive Summary'!$C$12,'Renovation Plan'!L13+'Renovation Plan'!M9,'Executive Summary'!$C$12)</f>
        <v>35</v>
      </c>
      <c r="N13" s="467" t="n">
        <f aca="false">IF(M13+N9&lt;='Executive Summary'!$C$12,'Renovation Plan'!M13+'Renovation Plan'!N9,'Executive Summary'!$C$12)</f>
        <v>40</v>
      </c>
      <c r="O13" s="467" t="n">
        <f aca="false">IF(N13+O9&lt;='Executive Summary'!$C$12,'Renovation Plan'!N13+'Renovation Plan'!O9,'Executive Summary'!$C$12)</f>
        <v>43</v>
      </c>
      <c r="P13" s="468" t="n">
        <f aca="false">IF(O13+P9&lt;='Executive Summary'!$C$12,'Renovation Plan'!O13+'Renovation Plan'!P9,'Executive Summary'!$C$12)</f>
        <v>48</v>
      </c>
    </row>
    <row r="14" customFormat="false" ht="13.5" hidden="false" customHeight="true" outlineLevel="0" collapsed="false">
      <c r="B14" s="16"/>
      <c r="C14" s="17"/>
      <c r="D14" s="17"/>
      <c r="E14" s="17"/>
      <c r="F14" s="242"/>
      <c r="G14" s="17"/>
      <c r="H14" s="17"/>
      <c r="I14" s="17"/>
      <c r="J14" s="17"/>
      <c r="K14" s="17"/>
      <c r="L14" s="17"/>
      <c r="M14" s="17"/>
      <c r="N14" s="17"/>
      <c r="O14" s="17"/>
      <c r="P14" s="19"/>
    </row>
    <row r="15" customFormat="false" ht="13.5" hidden="false" customHeight="true" outlineLevel="0" collapsed="false">
      <c r="B15" s="16"/>
      <c r="C15" s="17"/>
      <c r="D15" s="17"/>
      <c r="E15" s="17"/>
      <c r="F15" s="242"/>
      <c r="G15" s="17"/>
      <c r="H15" s="17"/>
      <c r="I15" s="17"/>
      <c r="J15" s="17"/>
      <c r="K15" s="17"/>
      <c r="L15" s="17"/>
      <c r="M15" s="17"/>
      <c r="N15" s="17"/>
      <c r="O15" s="17"/>
      <c r="P15" s="19"/>
    </row>
    <row r="16" customFormat="false" ht="13.5" hidden="false" customHeight="true" outlineLevel="0" collapsed="false">
      <c r="B16" s="35" t="s">
        <v>490</v>
      </c>
      <c r="C16" s="17"/>
      <c r="D16" s="17"/>
      <c r="E16" s="17"/>
      <c r="F16" s="469" t="s">
        <v>491</v>
      </c>
      <c r="G16" s="146"/>
      <c r="H16" s="146"/>
      <c r="I16" s="56" t="s">
        <v>492</v>
      </c>
      <c r="J16" s="470" t="n">
        <v>1</v>
      </c>
      <c r="K16" s="470" t="n">
        <v>2</v>
      </c>
      <c r="L16" s="470" t="n">
        <v>3</v>
      </c>
      <c r="M16" s="470" t="n">
        <v>4</v>
      </c>
      <c r="N16" s="470" t="n">
        <v>5</v>
      </c>
      <c r="O16" s="56" t="s">
        <v>369</v>
      </c>
      <c r="P16" s="19"/>
    </row>
    <row r="17" customFormat="false" ht="13.5" hidden="false" customHeight="true" outlineLevel="0" collapsed="false">
      <c r="B17" s="16" t="s">
        <v>493</v>
      </c>
      <c r="C17" s="17"/>
      <c r="D17" s="471" t="n">
        <v>0.05</v>
      </c>
      <c r="E17" s="17"/>
      <c r="F17" s="70" t="s">
        <v>494</v>
      </c>
      <c r="G17" s="17"/>
      <c r="H17" s="17"/>
      <c r="I17" s="421" t="n">
        <f aca="false">SUM(I18,I19)</f>
        <v>383250</v>
      </c>
      <c r="J17" s="421" t="n">
        <f aca="false">SUM(J18,J19)</f>
        <v>0</v>
      </c>
      <c r="K17" s="421" t="n">
        <f aca="false">SUM(K18,K19)</f>
        <v>0</v>
      </c>
      <c r="L17" s="421" t="n">
        <f aca="false">SUM(L18,L19)</f>
        <v>0</v>
      </c>
      <c r="M17" s="421" t="n">
        <f aca="false">SUM(M18,M19)</f>
        <v>0</v>
      </c>
      <c r="N17" s="421" t="n">
        <f aca="false">SUM(N18,N19)</f>
        <v>0</v>
      </c>
      <c r="O17" s="421" t="n">
        <f aca="false">SUM(O18,O19)</f>
        <v>383250</v>
      </c>
      <c r="P17" s="472"/>
    </row>
    <row r="18" customFormat="false" ht="13.5" hidden="false" customHeight="true" outlineLevel="0" collapsed="false">
      <c r="B18" s="16" t="s">
        <v>495</v>
      </c>
      <c r="C18" s="17"/>
      <c r="D18" s="471" t="n">
        <v>0</v>
      </c>
      <c r="E18" s="17"/>
      <c r="F18" s="70" t="s">
        <v>496</v>
      </c>
      <c r="G18" s="17"/>
      <c r="H18" s="17"/>
      <c r="I18" s="421"/>
      <c r="J18" s="421" t="n">
        <f aca="true">$D$24*SUM(OFFSET('Cash Flow - Monthly'!G9,0,J16*12-11,1,12))</f>
        <v>0</v>
      </c>
      <c r="K18" s="421" t="n">
        <f aca="true">$D$24*SUM(OFFSET('Cash Flow - Monthly'!H9,0,K16*12-11,1,12))</f>
        <v>0</v>
      </c>
      <c r="L18" s="421" t="n">
        <f aca="true">$D$24*SUM(OFFSET('Cash Flow - Monthly'!I9,0,L16*12-11,1,12))</f>
        <v>0</v>
      </c>
      <c r="M18" s="421" t="n">
        <f aca="true">$D$24*SUM(OFFSET('Cash Flow - Monthly'!J9,0,M16*12-11,1,12))</f>
        <v>0</v>
      </c>
      <c r="N18" s="421" t="n">
        <f aca="true">$D$24*SUM(OFFSET('Cash Flow - Monthly'!K9,0,N16*12-11,1,12))</f>
        <v>0</v>
      </c>
      <c r="O18" s="473" t="n">
        <f aca="false">SUM(I18:N18)</f>
        <v>0</v>
      </c>
      <c r="P18" s="472"/>
    </row>
    <row r="19" customFormat="false" ht="13.5" hidden="false" customHeight="true" outlineLevel="0" collapsed="false">
      <c r="B19" s="16" t="s">
        <v>497</v>
      </c>
      <c r="C19" s="17"/>
      <c r="D19" s="474" t="n">
        <v>36</v>
      </c>
      <c r="E19" s="17"/>
      <c r="F19" s="70" t="s">
        <v>498</v>
      </c>
      <c r="G19" s="17"/>
      <c r="H19" s="17"/>
      <c r="I19" s="421" t="n">
        <f aca="false">SUM(I21,I35)</f>
        <v>383250</v>
      </c>
      <c r="J19" s="421" t="n">
        <f aca="false">SUM(J21,J35)</f>
        <v>0</v>
      </c>
      <c r="K19" s="421" t="n">
        <f aca="false">SUM(K21,K35)</f>
        <v>0</v>
      </c>
      <c r="L19" s="421" t="n">
        <f aca="false">SUM(L21,L35)</f>
        <v>0</v>
      </c>
      <c r="M19" s="421" t="n">
        <f aca="false">SUM(M21,M35)</f>
        <v>0</v>
      </c>
      <c r="N19" s="421" t="n">
        <f aca="false">SUM(N21,N35)</f>
        <v>0</v>
      </c>
      <c r="O19" s="421" t="n">
        <f aca="false">SUM(O21,O35)</f>
        <v>383250</v>
      </c>
      <c r="P19" s="472"/>
    </row>
    <row r="20" customFormat="false" ht="13.5" hidden="false" customHeight="true" outlineLevel="0" collapsed="false">
      <c r="B20" s="16" t="s">
        <v>499</v>
      </c>
      <c r="C20" s="17"/>
      <c r="D20" s="475" t="n">
        <v>3</v>
      </c>
      <c r="E20" s="17"/>
      <c r="F20" s="242"/>
      <c r="G20" s="17"/>
      <c r="H20" s="17"/>
      <c r="I20" s="421"/>
      <c r="J20" s="421"/>
      <c r="K20" s="421"/>
      <c r="L20" s="421"/>
      <c r="M20" s="421"/>
      <c r="N20" s="421"/>
      <c r="O20" s="421"/>
      <c r="P20" s="472"/>
    </row>
    <row r="21" customFormat="false" ht="13.5" hidden="false" customHeight="true" outlineLevel="0" collapsed="false">
      <c r="B21" s="16" t="s">
        <v>500</v>
      </c>
      <c r="C21" s="17"/>
      <c r="D21" s="101" t="n">
        <f aca="false">COUNTIF('Cash Flow - Monthly'!H64:EI64,"&gt;0")</f>
        <v>0</v>
      </c>
      <c r="E21" s="17"/>
      <c r="F21" s="21" t="s">
        <v>501</v>
      </c>
      <c r="G21" s="14"/>
      <c r="H21" s="14"/>
      <c r="I21" s="476" t="n">
        <f aca="false">SUM(I22:I34)</f>
        <v>204750</v>
      </c>
      <c r="J21" s="476" t="n">
        <f aca="false">SUM(J22:J34)</f>
        <v>0</v>
      </c>
      <c r="K21" s="476" t="n">
        <f aca="false">SUM(K22:K34)</f>
        <v>0</v>
      </c>
      <c r="L21" s="476" t="n">
        <f aca="false">SUM(L22:L34)</f>
        <v>0</v>
      </c>
      <c r="M21" s="476" t="n">
        <f aca="false">SUM(M22:M34)</f>
        <v>0</v>
      </c>
      <c r="N21" s="476" t="n">
        <f aca="false">SUM(N22:N34)</f>
        <v>0</v>
      </c>
      <c r="O21" s="477" t="n">
        <f aca="false">SUM(O22:O34)</f>
        <v>204750</v>
      </c>
      <c r="P21" s="472"/>
    </row>
    <row r="22" customFormat="false" ht="13.5" hidden="false" customHeight="true" outlineLevel="0" collapsed="false">
      <c r="B22" s="16"/>
      <c r="C22" s="17"/>
      <c r="D22" s="17"/>
      <c r="E22" s="17"/>
      <c r="F22" s="69" t="s">
        <v>493</v>
      </c>
      <c r="G22" s="17"/>
      <c r="H22" s="17"/>
      <c r="I22" s="421" t="n">
        <f aca="false">$D$17*SUM(I23:I34)</f>
        <v>9750</v>
      </c>
      <c r="J22" s="421" t="n">
        <f aca="false">$D$17*SUM(J23:J34)</f>
        <v>0</v>
      </c>
      <c r="K22" s="421" t="n">
        <f aca="false">$D$17*SUM(K23:K34)</f>
        <v>0</v>
      </c>
      <c r="L22" s="421" t="n">
        <f aca="false">$D$17*SUM(L23:L34)</f>
        <v>0</v>
      </c>
      <c r="M22" s="421" t="n">
        <f aca="false">$D$17*SUM(M23:M34)</f>
        <v>0</v>
      </c>
      <c r="N22" s="421" t="n">
        <f aca="false">$D$17*SUM(N23:N34)</f>
        <v>0</v>
      </c>
      <c r="O22" s="472" t="n">
        <f aca="false">SUM(I22:N22)</f>
        <v>9750</v>
      </c>
      <c r="P22" s="472"/>
    </row>
    <row r="23" customFormat="false" ht="13.5" hidden="false" customHeight="true" outlineLevel="0" collapsed="false">
      <c r="B23" s="35" t="s">
        <v>502</v>
      </c>
      <c r="C23" s="17"/>
      <c r="D23" s="17"/>
      <c r="E23" s="17"/>
      <c r="F23" s="95" t="s">
        <v>495</v>
      </c>
      <c r="G23" s="146"/>
      <c r="H23" s="146"/>
      <c r="I23" s="478" t="n">
        <f aca="false">$D$18*SUM(I24:I34)</f>
        <v>0</v>
      </c>
      <c r="J23" s="478" t="n">
        <f aca="false">$D$18*SUM(J24:J34)</f>
        <v>0</v>
      </c>
      <c r="K23" s="478" t="n">
        <f aca="false">$D$18*SUM(K24:K34)</f>
        <v>0</v>
      </c>
      <c r="L23" s="478" t="n">
        <f aca="false">$D$18*SUM(L24:L34)</f>
        <v>0</v>
      </c>
      <c r="M23" s="478" t="n">
        <f aca="false">$D$18*SUM(M24:M34)</f>
        <v>0</v>
      </c>
      <c r="N23" s="478" t="n">
        <f aca="false">$D$18*SUM(N24:N34)</f>
        <v>0</v>
      </c>
      <c r="O23" s="479" t="n">
        <f aca="false">SUM(I23:N23)</f>
        <v>0</v>
      </c>
      <c r="P23" s="472"/>
    </row>
    <row r="24" customFormat="false" ht="13.5" hidden="false" customHeight="true" outlineLevel="0" collapsed="false">
      <c r="B24" s="114" t="s">
        <v>177</v>
      </c>
      <c r="C24" s="17" t="s">
        <v>503</v>
      </c>
      <c r="D24" s="101" t="n">
        <f aca="false">SUM(D27:D40)*(1+D18)*(1+D17)</f>
        <v>0</v>
      </c>
      <c r="E24" s="17"/>
      <c r="F24" s="480" t="s">
        <v>504</v>
      </c>
      <c r="G24" s="17"/>
      <c r="H24" s="17"/>
      <c r="I24" s="481" t="n">
        <v>160000</v>
      </c>
      <c r="J24" s="481" t="n">
        <v>0</v>
      </c>
      <c r="K24" s="481" t="n">
        <v>0</v>
      </c>
      <c r="L24" s="481" t="n">
        <v>0</v>
      </c>
      <c r="M24" s="481" t="n">
        <v>0</v>
      </c>
      <c r="N24" s="481" t="n">
        <v>0</v>
      </c>
      <c r="O24" s="421" t="n">
        <f aca="false">SUM(I24:N24)</f>
        <v>160000</v>
      </c>
      <c r="P24" s="472"/>
    </row>
    <row r="25" customFormat="false" ht="13.5" hidden="false" customHeight="true" outlineLevel="0" collapsed="false">
      <c r="B25" s="16"/>
      <c r="C25" s="17"/>
      <c r="D25" s="17"/>
      <c r="E25" s="17"/>
      <c r="F25" s="480" t="s">
        <v>505</v>
      </c>
      <c r="G25" s="17"/>
      <c r="H25" s="17"/>
      <c r="I25" s="482" t="n">
        <v>0</v>
      </c>
      <c r="J25" s="481" t="n">
        <v>0</v>
      </c>
      <c r="K25" s="481" t="n">
        <v>0</v>
      </c>
      <c r="L25" s="481" t="n">
        <v>0</v>
      </c>
      <c r="M25" s="481" t="n">
        <v>0</v>
      </c>
      <c r="N25" s="481" t="n">
        <v>0</v>
      </c>
      <c r="O25" s="421" t="n">
        <f aca="false">SUM(I25:N25)</f>
        <v>0</v>
      </c>
      <c r="P25" s="472"/>
    </row>
    <row r="26" customFormat="false" ht="13.5" hidden="false" customHeight="true" outlineLevel="0" collapsed="false">
      <c r="B26" s="114" t="s">
        <v>506</v>
      </c>
      <c r="C26" s="17"/>
      <c r="D26" s="17"/>
      <c r="E26" s="17"/>
      <c r="F26" s="480" t="s">
        <v>507</v>
      </c>
      <c r="G26" s="17"/>
      <c r="H26" s="17"/>
      <c r="I26" s="481" t="n">
        <v>35000</v>
      </c>
      <c r="J26" s="481" t="n">
        <v>0</v>
      </c>
      <c r="K26" s="481" t="n">
        <v>0</v>
      </c>
      <c r="L26" s="481" t="n">
        <v>0</v>
      </c>
      <c r="M26" s="481" t="n">
        <v>0</v>
      </c>
      <c r="N26" s="481" t="n">
        <v>0</v>
      </c>
      <c r="O26" s="421" t="n">
        <f aca="false">SUM(I26:N26)</f>
        <v>35000</v>
      </c>
      <c r="P26" s="472"/>
    </row>
    <row r="27" customFormat="false" ht="13.5" hidden="false" customHeight="true" outlineLevel="0" collapsed="false">
      <c r="B27" s="16" t="s">
        <v>508</v>
      </c>
      <c r="C27" s="17"/>
      <c r="D27" s="131" t="n">
        <v>0</v>
      </c>
      <c r="E27" s="17"/>
      <c r="F27" s="480" t="s">
        <v>509</v>
      </c>
      <c r="G27" s="17"/>
      <c r="H27" s="17"/>
      <c r="I27" s="481"/>
      <c r="J27" s="481" t="n">
        <v>0</v>
      </c>
      <c r="K27" s="481" t="n">
        <v>0</v>
      </c>
      <c r="L27" s="481" t="n">
        <v>0</v>
      </c>
      <c r="M27" s="481" t="n">
        <v>0</v>
      </c>
      <c r="N27" s="481" t="n">
        <v>0</v>
      </c>
      <c r="O27" s="421" t="n">
        <f aca="false">SUM(I27:N27)</f>
        <v>0</v>
      </c>
      <c r="P27" s="472"/>
    </row>
    <row r="28" customFormat="false" ht="13.5" hidden="false" customHeight="true" outlineLevel="0" collapsed="false">
      <c r="B28" s="16" t="s">
        <v>510</v>
      </c>
      <c r="C28" s="17"/>
      <c r="D28" s="131" t="n">
        <v>0</v>
      </c>
      <c r="E28" s="17"/>
      <c r="F28" s="480" t="s">
        <v>511</v>
      </c>
      <c r="G28" s="17"/>
      <c r="H28" s="17"/>
      <c r="I28" s="481" t="n">
        <v>0</v>
      </c>
      <c r="J28" s="481" t="n">
        <v>0</v>
      </c>
      <c r="K28" s="481" t="n">
        <v>0</v>
      </c>
      <c r="L28" s="481" t="n">
        <v>0</v>
      </c>
      <c r="M28" s="481" t="n">
        <v>0</v>
      </c>
      <c r="N28" s="481" t="n">
        <v>0</v>
      </c>
      <c r="O28" s="421" t="n">
        <f aca="false">SUM(I28:N28)</f>
        <v>0</v>
      </c>
      <c r="P28" s="472"/>
    </row>
    <row r="29" customFormat="false" ht="13.5" hidden="false" customHeight="true" outlineLevel="0" collapsed="false">
      <c r="B29" s="16" t="s">
        <v>512</v>
      </c>
      <c r="C29" s="17"/>
      <c r="D29" s="131" t="n">
        <v>0</v>
      </c>
      <c r="E29" s="17"/>
      <c r="F29" s="480" t="s">
        <v>513</v>
      </c>
      <c r="G29" s="17"/>
      <c r="H29" s="17"/>
      <c r="I29" s="481" t="n">
        <v>0</v>
      </c>
      <c r="J29" s="481" t="n">
        <v>0</v>
      </c>
      <c r="K29" s="481" t="n">
        <v>0</v>
      </c>
      <c r="L29" s="481" t="n">
        <v>0</v>
      </c>
      <c r="M29" s="481" t="n">
        <v>0</v>
      </c>
      <c r="N29" s="481" t="n">
        <v>0</v>
      </c>
      <c r="O29" s="421" t="n">
        <f aca="false">SUM(I29:N29)</f>
        <v>0</v>
      </c>
      <c r="P29" s="472"/>
    </row>
    <row r="30" customFormat="false" ht="13.5" hidden="false" customHeight="true" outlineLevel="0" collapsed="false">
      <c r="B30" s="16" t="s">
        <v>514</v>
      </c>
      <c r="C30" s="17"/>
      <c r="D30" s="131" t="n">
        <v>0</v>
      </c>
      <c r="E30" s="17"/>
      <c r="F30" s="480" t="s">
        <v>515</v>
      </c>
      <c r="G30" s="17"/>
      <c r="H30" s="17"/>
      <c r="I30" s="481" t="n">
        <v>0</v>
      </c>
      <c r="J30" s="481" t="n">
        <v>0</v>
      </c>
      <c r="K30" s="481" t="n">
        <v>0</v>
      </c>
      <c r="L30" s="481" t="n">
        <v>0</v>
      </c>
      <c r="M30" s="481" t="n">
        <v>0</v>
      </c>
      <c r="N30" s="481" t="n">
        <v>0</v>
      </c>
      <c r="O30" s="421" t="n">
        <f aca="false">SUM(I30:N30)</f>
        <v>0</v>
      </c>
      <c r="P30" s="472"/>
    </row>
    <row r="31" customFormat="false" ht="13.5" hidden="false" customHeight="true" outlineLevel="0" collapsed="false">
      <c r="B31" s="16" t="s">
        <v>516</v>
      </c>
      <c r="C31" s="17"/>
      <c r="D31" s="131" t="n">
        <v>0</v>
      </c>
      <c r="E31" s="17"/>
      <c r="F31" s="480" t="s">
        <v>517</v>
      </c>
      <c r="G31" s="17"/>
      <c r="H31" s="17"/>
      <c r="I31" s="481" t="n">
        <v>0</v>
      </c>
      <c r="J31" s="481" t="n">
        <v>0</v>
      </c>
      <c r="K31" s="481" t="n">
        <v>0</v>
      </c>
      <c r="L31" s="481" t="n">
        <v>0</v>
      </c>
      <c r="M31" s="481" t="n">
        <v>0</v>
      </c>
      <c r="N31" s="481" t="n">
        <v>0</v>
      </c>
      <c r="O31" s="421" t="n">
        <f aca="false">SUM(I31:N31)</f>
        <v>0</v>
      </c>
      <c r="P31" s="472"/>
    </row>
    <row r="32" customFormat="false" ht="13.5" hidden="false" customHeight="true" outlineLevel="0" collapsed="false">
      <c r="B32" s="16" t="s">
        <v>518</v>
      </c>
      <c r="C32" s="17"/>
      <c r="D32" s="17"/>
      <c r="E32" s="17"/>
      <c r="F32" s="480" t="s">
        <v>519</v>
      </c>
      <c r="G32" s="17"/>
      <c r="H32" s="17"/>
      <c r="I32" s="481" t="n">
        <v>0</v>
      </c>
      <c r="J32" s="481" t="n">
        <v>0</v>
      </c>
      <c r="K32" s="481" t="n">
        <v>0</v>
      </c>
      <c r="L32" s="481" t="n">
        <v>0</v>
      </c>
      <c r="M32" s="481" t="n">
        <v>0</v>
      </c>
      <c r="N32" s="481" t="n">
        <v>0</v>
      </c>
      <c r="O32" s="421" t="n">
        <f aca="false">SUM(I32:N32)</f>
        <v>0</v>
      </c>
      <c r="P32" s="472"/>
    </row>
    <row r="33" customFormat="false" ht="13.5" hidden="false" customHeight="true" outlineLevel="0" collapsed="false">
      <c r="B33" s="16" t="s">
        <v>520</v>
      </c>
      <c r="C33" s="131"/>
      <c r="D33" s="17"/>
      <c r="E33" s="17"/>
      <c r="F33" s="480" t="s">
        <v>521</v>
      </c>
      <c r="G33" s="17"/>
      <c r="H33" s="17"/>
      <c r="I33" s="481" t="n">
        <v>0</v>
      </c>
      <c r="J33" s="481" t="n">
        <v>0</v>
      </c>
      <c r="K33" s="481" t="n">
        <v>0</v>
      </c>
      <c r="L33" s="481" t="n">
        <v>0</v>
      </c>
      <c r="M33" s="481" t="n">
        <v>0</v>
      </c>
      <c r="N33" s="481" t="n">
        <v>0</v>
      </c>
      <c r="O33" s="421" t="n">
        <f aca="false">SUM(I33:N33)</f>
        <v>0</v>
      </c>
      <c r="P33" s="472"/>
    </row>
    <row r="34" customFormat="false" ht="13.5" hidden="false" customHeight="true" outlineLevel="0" collapsed="false">
      <c r="B34" s="16" t="s">
        <v>522</v>
      </c>
      <c r="C34" s="481" t="n">
        <v>0</v>
      </c>
      <c r="D34" s="17"/>
      <c r="E34" s="17"/>
      <c r="F34" s="480" t="s">
        <v>523</v>
      </c>
      <c r="G34" s="17"/>
      <c r="H34" s="17"/>
      <c r="I34" s="481" t="n">
        <v>0</v>
      </c>
      <c r="J34" s="481" t="n">
        <v>0</v>
      </c>
      <c r="K34" s="481" t="n">
        <v>0</v>
      </c>
      <c r="L34" s="481" t="n">
        <v>0</v>
      </c>
      <c r="M34" s="481" t="n">
        <v>0</v>
      </c>
      <c r="N34" s="481" t="n">
        <v>0</v>
      </c>
      <c r="O34" s="421" t="n">
        <f aca="false">SUM(I34:N34)</f>
        <v>0</v>
      </c>
      <c r="P34" s="472"/>
    </row>
    <row r="35" customFormat="false" ht="13.5" hidden="false" customHeight="true" outlineLevel="0" collapsed="false">
      <c r="B35" s="16" t="s">
        <v>524</v>
      </c>
      <c r="C35" s="17"/>
      <c r="D35" s="101" t="n">
        <f aca="false">IFERROR(C33*C34/('Executive Summary'!$C$12-C13),0)</f>
        <v>0</v>
      </c>
      <c r="E35" s="17"/>
      <c r="F35" s="21" t="s">
        <v>525</v>
      </c>
      <c r="G35" s="14"/>
      <c r="H35" s="14"/>
      <c r="I35" s="483" t="n">
        <f aca="false">SUM(I36:I53)</f>
        <v>178500</v>
      </c>
      <c r="J35" s="476" t="n">
        <f aca="false">SUM(J36:J53)</f>
        <v>0</v>
      </c>
      <c r="K35" s="476" t="n">
        <f aca="false">SUM(K36:K53)</f>
        <v>0</v>
      </c>
      <c r="L35" s="476" t="n">
        <f aca="false">SUM(L36:L53)</f>
        <v>0</v>
      </c>
      <c r="M35" s="476" t="n">
        <f aca="false">SUM(M36:M53)</f>
        <v>0</v>
      </c>
      <c r="N35" s="476" t="n">
        <f aca="false">SUM(N36:N53)</f>
        <v>0</v>
      </c>
      <c r="O35" s="477" t="n">
        <f aca="false">SUM(O36:O53)</f>
        <v>178500</v>
      </c>
      <c r="P35" s="472"/>
    </row>
    <row r="36" customFormat="false" ht="13.5" hidden="false" customHeight="true" outlineLevel="0" collapsed="false">
      <c r="B36" s="16"/>
      <c r="C36" s="17"/>
      <c r="D36" s="17"/>
      <c r="E36" s="17"/>
      <c r="F36" s="69" t="s">
        <v>493</v>
      </c>
      <c r="G36" s="17"/>
      <c r="H36" s="17"/>
      <c r="I36" s="481" t="n">
        <f aca="false">$D$17*SUM(I37:I53)</f>
        <v>8500</v>
      </c>
      <c r="J36" s="484" t="n">
        <f aca="false">$D$17*SUM(J37:J53)</f>
        <v>0</v>
      </c>
      <c r="K36" s="484" t="n">
        <f aca="false">$D$17*SUM(K37:K53)</f>
        <v>0</v>
      </c>
      <c r="L36" s="484" t="n">
        <f aca="false">$D$17*SUM(L37:L53)</f>
        <v>0</v>
      </c>
      <c r="M36" s="484" t="n">
        <f aca="false">$D$17*SUM(M37:M53)</f>
        <v>0</v>
      </c>
      <c r="N36" s="484" t="n">
        <f aca="false">$D$17*SUM(N37:N53)</f>
        <v>0</v>
      </c>
      <c r="O36" s="472" t="n">
        <f aca="false">SUM(I36:N36)</f>
        <v>8500</v>
      </c>
      <c r="P36" s="472"/>
    </row>
    <row r="37" customFormat="false" ht="13.5" hidden="false" customHeight="true" outlineLevel="0" collapsed="false">
      <c r="B37" s="114" t="s">
        <v>526</v>
      </c>
      <c r="C37" s="17"/>
      <c r="D37" s="17"/>
      <c r="E37" s="17"/>
      <c r="F37" s="95" t="s">
        <v>495</v>
      </c>
      <c r="G37" s="146"/>
      <c r="H37" s="146"/>
      <c r="I37" s="485" t="n">
        <f aca="false">$D$18*SUM(I38:I53)</f>
        <v>0</v>
      </c>
      <c r="J37" s="486" t="n">
        <f aca="false">$D$18*SUM(J38:J53)</f>
        <v>0</v>
      </c>
      <c r="K37" s="486" t="n">
        <f aca="false">$D$18*SUM(K38:K53)</f>
        <v>0</v>
      </c>
      <c r="L37" s="486" t="n">
        <f aca="false">$D$18*SUM(L38:L53)</f>
        <v>0</v>
      </c>
      <c r="M37" s="486" t="n">
        <f aca="false">$D$18*SUM(M38:M53)</f>
        <v>0</v>
      </c>
      <c r="N37" s="486" t="n">
        <f aca="false">$D$18*SUM(N38:N53)</f>
        <v>0</v>
      </c>
      <c r="O37" s="479" t="n">
        <f aca="false">SUM(I37:N37)</f>
        <v>0</v>
      </c>
      <c r="P37" s="472"/>
    </row>
    <row r="38" customFormat="false" ht="13.5" hidden="false" customHeight="true" outlineLevel="0" collapsed="false">
      <c r="B38" s="16" t="s">
        <v>527</v>
      </c>
      <c r="C38" s="17"/>
      <c r="D38" s="131" t="n">
        <v>0</v>
      </c>
      <c r="E38" s="17"/>
      <c r="F38" s="480" t="s">
        <v>528</v>
      </c>
      <c r="G38" s="17"/>
      <c r="H38" s="17"/>
      <c r="I38" s="481" t="n">
        <v>0</v>
      </c>
      <c r="J38" s="481" t="n">
        <v>0</v>
      </c>
      <c r="K38" s="481" t="n">
        <v>0</v>
      </c>
      <c r="L38" s="481" t="n">
        <v>0</v>
      </c>
      <c r="M38" s="481" t="n">
        <v>0</v>
      </c>
      <c r="N38" s="481" t="n">
        <v>0</v>
      </c>
      <c r="O38" s="421" t="n">
        <f aca="false">SUM(I38:N38)</f>
        <v>0</v>
      </c>
      <c r="P38" s="472"/>
    </row>
    <row r="39" customFormat="false" ht="13.5" hidden="false" customHeight="true" outlineLevel="0" collapsed="false">
      <c r="B39" s="16" t="s">
        <v>522</v>
      </c>
      <c r="C39" s="17"/>
      <c r="D39" s="131" t="n">
        <v>0</v>
      </c>
      <c r="E39" s="17"/>
      <c r="F39" s="480" t="s">
        <v>529</v>
      </c>
      <c r="G39" s="17"/>
      <c r="H39" s="17"/>
      <c r="I39" s="481" t="n">
        <v>0</v>
      </c>
      <c r="J39" s="481" t="n">
        <v>0</v>
      </c>
      <c r="K39" s="481" t="n">
        <v>0</v>
      </c>
      <c r="L39" s="481" t="n">
        <v>0</v>
      </c>
      <c r="M39" s="481" t="n">
        <v>0</v>
      </c>
      <c r="N39" s="481" t="n">
        <v>0</v>
      </c>
      <c r="O39" s="421" t="n">
        <f aca="false">SUM(I39:N39)</f>
        <v>0</v>
      </c>
      <c r="P39" s="472"/>
    </row>
    <row r="40" customFormat="false" ht="13.5" hidden="false" customHeight="true" outlineLevel="0" collapsed="false">
      <c r="B40" s="16" t="s">
        <v>530</v>
      </c>
      <c r="C40" s="17"/>
      <c r="D40" s="101" t="n">
        <f aca="false">IFERROR(C38*C39/('Executive Summary'!$C$12-C13),0)</f>
        <v>0</v>
      </c>
      <c r="E40" s="17"/>
      <c r="F40" s="480" t="s">
        <v>531</v>
      </c>
      <c r="G40" s="17"/>
      <c r="H40" s="17"/>
      <c r="I40" s="481" t="n">
        <v>0</v>
      </c>
      <c r="J40" s="481" t="n">
        <v>0</v>
      </c>
      <c r="K40" s="481" t="n">
        <v>0</v>
      </c>
      <c r="L40" s="481" t="n">
        <v>0</v>
      </c>
      <c r="M40" s="481" t="n">
        <v>0</v>
      </c>
      <c r="N40" s="481" t="n">
        <v>0</v>
      </c>
      <c r="O40" s="421" t="n">
        <f aca="false">SUM(I40:N40)</f>
        <v>0</v>
      </c>
      <c r="P40" s="472"/>
    </row>
    <row r="41" customFormat="false" ht="13.5" hidden="false" customHeight="true" outlineLevel="0" collapsed="false">
      <c r="B41" s="16" t="s">
        <v>532</v>
      </c>
      <c r="C41" s="17"/>
      <c r="D41" s="17"/>
      <c r="E41" s="17"/>
      <c r="F41" s="480" t="s">
        <v>533</v>
      </c>
      <c r="G41" s="17"/>
      <c r="H41" s="17"/>
      <c r="I41" s="481" t="n">
        <v>25000</v>
      </c>
      <c r="J41" s="481" t="n">
        <v>0</v>
      </c>
      <c r="K41" s="481" t="n">
        <v>0</v>
      </c>
      <c r="L41" s="481" t="n">
        <v>0</v>
      </c>
      <c r="M41" s="481" t="n">
        <v>0</v>
      </c>
      <c r="N41" s="481" t="n">
        <v>0</v>
      </c>
      <c r="O41" s="421" t="n">
        <f aca="false">SUM(I41:N41)</f>
        <v>25000</v>
      </c>
      <c r="P41" s="472"/>
    </row>
    <row r="42" customFormat="false" ht="13.5" hidden="false" customHeight="true" outlineLevel="0" collapsed="false">
      <c r="B42" s="16"/>
      <c r="C42" s="17"/>
      <c r="D42" s="17"/>
      <c r="E42" s="17"/>
      <c r="F42" s="480" t="s">
        <v>534</v>
      </c>
      <c r="G42" s="17"/>
      <c r="H42" s="17"/>
      <c r="I42" s="481" t="n">
        <v>0</v>
      </c>
      <c r="J42" s="481" t="n">
        <v>0</v>
      </c>
      <c r="K42" s="481" t="n">
        <v>0</v>
      </c>
      <c r="L42" s="481" t="n">
        <v>0</v>
      </c>
      <c r="M42" s="481" t="n">
        <v>0</v>
      </c>
      <c r="N42" s="481" t="n">
        <v>0</v>
      </c>
      <c r="O42" s="421" t="n">
        <f aca="false">SUM(I42:N42)</f>
        <v>0</v>
      </c>
      <c r="P42" s="472"/>
    </row>
    <row r="43" customFormat="false" ht="13.5" hidden="false" customHeight="true" outlineLevel="0" collapsed="false">
      <c r="B43" s="16"/>
      <c r="C43" s="17"/>
      <c r="D43" s="17"/>
      <c r="E43" s="17"/>
      <c r="F43" s="480" t="s">
        <v>535</v>
      </c>
      <c r="G43" s="17"/>
      <c r="H43" s="17"/>
      <c r="I43" s="481" t="n">
        <v>0</v>
      </c>
      <c r="J43" s="481" t="n">
        <v>0</v>
      </c>
      <c r="K43" s="481" t="n">
        <v>0</v>
      </c>
      <c r="L43" s="481" t="n">
        <v>0</v>
      </c>
      <c r="M43" s="481" t="n">
        <v>0</v>
      </c>
      <c r="N43" s="481" t="n">
        <v>0</v>
      </c>
      <c r="O43" s="421" t="n">
        <f aca="false">SUM(I43:N43)</f>
        <v>0</v>
      </c>
      <c r="P43" s="472"/>
    </row>
    <row r="44" customFormat="false" ht="13.5" hidden="false" customHeight="true" outlineLevel="0" collapsed="false">
      <c r="B44" s="35" t="s">
        <v>536</v>
      </c>
      <c r="C44" s="17"/>
      <c r="D44" s="17"/>
      <c r="E44" s="17"/>
      <c r="F44" s="480" t="s">
        <v>537</v>
      </c>
      <c r="G44" s="17"/>
      <c r="H44" s="17"/>
      <c r="I44" s="481" t="n">
        <v>15000</v>
      </c>
      <c r="J44" s="481" t="n">
        <v>0</v>
      </c>
      <c r="K44" s="481" t="n">
        <v>0</v>
      </c>
      <c r="L44" s="481" t="n">
        <v>0</v>
      </c>
      <c r="M44" s="481" t="n">
        <v>0</v>
      </c>
      <c r="N44" s="481" t="n">
        <v>0</v>
      </c>
      <c r="O44" s="421" t="n">
        <f aca="false">SUM(I44:N44)</f>
        <v>15000</v>
      </c>
      <c r="P44" s="472"/>
    </row>
    <row r="45" customFormat="false" ht="13.5" hidden="false" customHeight="true" outlineLevel="0" collapsed="false">
      <c r="B45" s="16" t="s">
        <v>538</v>
      </c>
      <c r="C45" s="17"/>
      <c r="D45" s="101" t="n">
        <f aca="false">SUM(J35:N35)/5/'Executive Summary'!$C$12+'Executive Summary'!C54+'Operating Inputs'!P25</f>
        <v>1025</v>
      </c>
      <c r="E45" s="17"/>
      <c r="F45" s="480" t="s">
        <v>539</v>
      </c>
      <c r="G45" s="17"/>
      <c r="H45" s="17"/>
      <c r="I45" s="481" t="n">
        <v>0</v>
      </c>
      <c r="J45" s="481" t="n">
        <v>0</v>
      </c>
      <c r="K45" s="481" t="n">
        <v>0</v>
      </c>
      <c r="L45" s="481" t="n">
        <v>0</v>
      </c>
      <c r="M45" s="481" t="n">
        <v>0</v>
      </c>
      <c r="N45" s="481" t="n">
        <v>0</v>
      </c>
      <c r="O45" s="421" t="n">
        <f aca="false">SUM(I45:N45)</f>
        <v>0</v>
      </c>
      <c r="P45" s="472"/>
    </row>
    <row r="46" customFormat="false" ht="13.5" hidden="false" customHeight="true" outlineLevel="0" collapsed="false">
      <c r="B46" s="16" t="s">
        <v>540</v>
      </c>
      <c r="C46" s="17"/>
      <c r="D46" s="101" t="n">
        <f aca="false">'Executive Summary'!C55+'Operating Inputs'!P25</f>
        <v>1025</v>
      </c>
      <c r="E46" s="17"/>
      <c r="F46" s="480" t="s">
        <v>541</v>
      </c>
      <c r="G46" s="17"/>
      <c r="H46" s="17"/>
      <c r="I46" s="481"/>
      <c r="J46" s="481" t="n">
        <v>0</v>
      </c>
      <c r="K46" s="481" t="n">
        <v>0</v>
      </c>
      <c r="L46" s="481" t="n">
        <v>0</v>
      </c>
      <c r="M46" s="481" t="n">
        <v>0</v>
      </c>
      <c r="N46" s="481" t="n">
        <v>0</v>
      </c>
      <c r="O46" s="421" t="n">
        <f aca="false">SUM(I46:N46)</f>
        <v>0</v>
      </c>
      <c r="P46" s="472"/>
    </row>
    <row r="47" customFormat="false" ht="13.5" hidden="false" customHeight="true" outlineLevel="0" collapsed="false">
      <c r="B47" s="16"/>
      <c r="C47" s="17"/>
      <c r="D47" s="17"/>
      <c r="E47" s="17"/>
      <c r="F47" s="480" t="s">
        <v>542</v>
      </c>
      <c r="G47" s="17"/>
      <c r="H47" s="17"/>
      <c r="I47" s="481" t="n">
        <v>80000</v>
      </c>
      <c r="J47" s="481" t="n">
        <v>0</v>
      </c>
      <c r="K47" s="481" t="n">
        <v>0</v>
      </c>
      <c r="L47" s="481" t="n">
        <v>0</v>
      </c>
      <c r="M47" s="481" t="n">
        <v>0</v>
      </c>
      <c r="N47" s="481" t="n">
        <v>0</v>
      </c>
      <c r="O47" s="421" t="n">
        <f aca="false">SUM(I47:N47)</f>
        <v>80000</v>
      </c>
      <c r="P47" s="472"/>
    </row>
    <row r="48" customFormat="false" ht="13.5" hidden="false" customHeight="true" outlineLevel="0" collapsed="false">
      <c r="B48" s="16"/>
      <c r="C48" s="17"/>
      <c r="D48" s="17"/>
      <c r="E48" s="17"/>
      <c r="F48" s="480" t="s">
        <v>543</v>
      </c>
      <c r="G48" s="17"/>
      <c r="H48" s="17"/>
      <c r="I48" s="481" t="n">
        <v>50000</v>
      </c>
      <c r="J48" s="481" t="n">
        <v>0</v>
      </c>
      <c r="K48" s="481" t="n">
        <v>0</v>
      </c>
      <c r="L48" s="481" t="n">
        <v>0</v>
      </c>
      <c r="M48" s="481" t="n">
        <v>0</v>
      </c>
      <c r="N48" s="481" t="n">
        <v>0</v>
      </c>
      <c r="O48" s="421" t="n">
        <f aca="false">SUM(I48:N48)</f>
        <v>50000</v>
      </c>
      <c r="P48" s="472"/>
    </row>
    <row r="49" customFormat="false" ht="13.5" hidden="false" customHeight="true" outlineLevel="0" collapsed="false">
      <c r="B49" s="16"/>
      <c r="C49" s="17"/>
      <c r="D49" s="17"/>
      <c r="E49" s="17"/>
      <c r="F49" s="480" t="s">
        <v>544</v>
      </c>
      <c r="G49" s="17"/>
      <c r="H49" s="17"/>
      <c r="I49" s="481" t="n">
        <v>0</v>
      </c>
      <c r="J49" s="481" t="n">
        <v>0</v>
      </c>
      <c r="K49" s="481" t="n">
        <v>0</v>
      </c>
      <c r="L49" s="481" t="n">
        <v>0</v>
      </c>
      <c r="M49" s="481" t="n">
        <v>0</v>
      </c>
      <c r="N49" s="481" t="n">
        <v>0</v>
      </c>
      <c r="O49" s="421" t="n">
        <f aca="false">SUM(I49:N49)</f>
        <v>0</v>
      </c>
      <c r="P49" s="472"/>
    </row>
    <row r="50" customFormat="false" ht="13.5" hidden="false" customHeight="true" outlineLevel="0" collapsed="false">
      <c r="B50" s="16"/>
      <c r="C50" s="17"/>
      <c r="D50" s="17"/>
      <c r="E50" s="17"/>
      <c r="F50" s="480" t="s">
        <v>545</v>
      </c>
      <c r="G50" s="17"/>
      <c r="H50" s="17"/>
      <c r="I50" s="481" t="n">
        <v>0</v>
      </c>
      <c r="J50" s="481" t="n">
        <v>0</v>
      </c>
      <c r="K50" s="481" t="n">
        <v>0</v>
      </c>
      <c r="L50" s="481" t="n">
        <v>0</v>
      </c>
      <c r="M50" s="481" t="n">
        <v>0</v>
      </c>
      <c r="N50" s="481" t="n">
        <v>0</v>
      </c>
      <c r="O50" s="421" t="n">
        <f aca="false">SUM(I50:N50)</f>
        <v>0</v>
      </c>
      <c r="P50" s="472"/>
    </row>
    <row r="51" customFormat="false" ht="13.5" hidden="false" customHeight="true" outlineLevel="0" collapsed="false">
      <c r="B51" s="16"/>
      <c r="C51" s="17"/>
      <c r="D51" s="17"/>
      <c r="E51" s="17"/>
      <c r="F51" s="480" t="s">
        <v>546</v>
      </c>
      <c r="G51" s="17"/>
      <c r="H51" s="17"/>
      <c r="I51" s="481" t="n">
        <v>0</v>
      </c>
      <c r="J51" s="481" t="n">
        <v>0</v>
      </c>
      <c r="K51" s="481" t="n">
        <v>0</v>
      </c>
      <c r="L51" s="481" t="n">
        <v>0</v>
      </c>
      <c r="M51" s="481" t="n">
        <v>0</v>
      </c>
      <c r="N51" s="481" t="n">
        <v>0</v>
      </c>
      <c r="O51" s="421" t="n">
        <f aca="false">SUM(I51:N51)</f>
        <v>0</v>
      </c>
      <c r="P51" s="472"/>
    </row>
    <row r="52" customFormat="false" ht="13.5" hidden="false" customHeight="true" outlineLevel="0" collapsed="false">
      <c r="B52" s="16"/>
      <c r="C52" s="17"/>
      <c r="D52" s="17"/>
      <c r="E52" s="17"/>
      <c r="F52" s="480" t="s">
        <v>547</v>
      </c>
      <c r="G52" s="17"/>
      <c r="H52" s="17"/>
      <c r="I52" s="481" t="n">
        <v>0</v>
      </c>
      <c r="J52" s="481" t="n">
        <v>0</v>
      </c>
      <c r="K52" s="481" t="n">
        <v>0</v>
      </c>
      <c r="L52" s="481" t="n">
        <v>0</v>
      </c>
      <c r="M52" s="481" t="n">
        <v>0</v>
      </c>
      <c r="N52" s="481" t="n">
        <v>0</v>
      </c>
      <c r="O52" s="421" t="n">
        <f aca="false">SUM(I52:N52)</f>
        <v>0</v>
      </c>
      <c r="P52" s="472"/>
    </row>
    <row r="53" customFormat="false" ht="13.5" hidden="false" customHeight="true" outlineLevel="0" collapsed="false">
      <c r="B53" s="16"/>
      <c r="C53" s="17"/>
      <c r="D53" s="17"/>
      <c r="E53" s="17"/>
      <c r="F53" s="480" t="s">
        <v>548</v>
      </c>
      <c r="G53" s="17"/>
      <c r="H53" s="17"/>
      <c r="I53" s="481"/>
      <c r="J53" s="481" t="n">
        <v>0</v>
      </c>
      <c r="K53" s="481" t="n">
        <v>0</v>
      </c>
      <c r="L53" s="481"/>
      <c r="M53" s="481" t="n">
        <v>0</v>
      </c>
      <c r="N53" s="481" t="n">
        <v>0</v>
      </c>
      <c r="O53" s="421" t="n">
        <f aca="false">SUM(I53:N53)</f>
        <v>0</v>
      </c>
      <c r="P53" s="472"/>
    </row>
    <row r="54" customFormat="false" ht="13.5" hidden="false" customHeight="true" outlineLevel="0" collapsed="false">
      <c r="B54" s="31"/>
      <c r="C54" s="146"/>
      <c r="D54" s="146"/>
      <c r="E54" s="146"/>
      <c r="F54" s="268"/>
      <c r="G54" s="146"/>
      <c r="H54" s="146"/>
      <c r="I54" s="146"/>
      <c r="J54" s="146"/>
      <c r="K54" s="146"/>
      <c r="L54" s="146"/>
      <c r="M54" s="146"/>
      <c r="N54" s="146"/>
      <c r="O54" s="146"/>
      <c r="P54" s="153"/>
    </row>
  </sheetData>
  <mergeCells count="1">
    <mergeCell ref="B41:B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6"/>
  <sheetViews>
    <sheetView showFormulas="false" showGridLines="true" showRowColHeaders="true" showZeros="true" rightToLeft="false" tabSelected="false" showOutlineSymbols="true" defaultGridColor="true" view="normal" topLeftCell="A3" colorId="64" zoomScale="90" zoomScaleNormal="90" zoomScalePageLayoutView="100" workbookViewId="0">
      <selection pane="topLeft" activeCell="F8" activeCellId="0" sqref="F8"/>
    </sheetView>
  </sheetViews>
  <sheetFormatPr defaultColWidth="11.5078125" defaultRowHeight="15" zeroHeight="false" outlineLevelRow="0" outlineLevelCol="0"/>
  <cols>
    <col collapsed="false" customWidth="true" hidden="false" outlineLevel="0" max="5" min="4" style="154" width="10.83"/>
    <col collapsed="false" customWidth="true" hidden="false" outlineLevel="0" max="6" min="6" style="154" width="12.83"/>
    <col collapsed="false" customWidth="true" hidden="false" outlineLevel="0" max="8" min="7" style="154" width="14"/>
    <col collapsed="false" customWidth="true" hidden="false" outlineLevel="0" max="15" min="15" style="154" width="19.16"/>
    <col collapsed="false" customWidth="true" hidden="false" outlineLevel="0" max="24" min="24" style="154" width="10.83"/>
  </cols>
  <sheetData>
    <row r="1" customFormat="false" ht="15" hidden="false" customHeight="true" outlineLevel="0" collapsed="false">
      <c r="B1" s="304" t="s">
        <v>549</v>
      </c>
      <c r="C1" s="304"/>
      <c r="D1" s="304"/>
      <c r="E1" s="304"/>
      <c r="F1" s="304"/>
      <c r="G1" s="304"/>
      <c r="H1" s="424"/>
      <c r="I1" s="304" t="s">
        <v>418</v>
      </c>
      <c r="J1" s="304"/>
      <c r="K1" s="304"/>
      <c r="L1" s="304"/>
      <c r="M1" s="304"/>
      <c r="N1" s="304"/>
      <c r="O1" s="424"/>
      <c r="P1" s="305" t="s">
        <v>419</v>
      </c>
      <c r="Q1" s="305"/>
      <c r="R1" s="305"/>
      <c r="S1" s="305"/>
      <c r="T1" s="305"/>
      <c r="U1" s="305"/>
      <c r="V1" s="305"/>
      <c r="W1" s="305"/>
      <c r="X1" s="305"/>
    </row>
    <row r="2" customFormat="false" ht="15" hidden="false" customHeight="true" outlineLevel="0" collapsed="false">
      <c r="B2" s="308" t="str">
        <f aca="false">'Executive Summary'!$C$5</f>
        <v>Riverhill TH</v>
      </c>
      <c r="C2" s="299"/>
      <c r="D2" s="299"/>
      <c r="E2" s="300"/>
      <c r="F2" s="300"/>
      <c r="G2" s="309" t="s">
        <v>427</v>
      </c>
      <c r="H2" s="83"/>
      <c r="I2" s="308" t="str">
        <f aca="false">'Executive Summary'!$C$5</f>
        <v>Riverhill TH</v>
      </c>
      <c r="J2" s="299"/>
      <c r="K2" s="299"/>
      <c r="L2" s="300"/>
      <c r="M2" s="300"/>
      <c r="N2" s="309" t="s">
        <v>427</v>
      </c>
      <c r="O2" s="83"/>
      <c r="P2" s="310" t="str">
        <f aca="false">'Executive Summary'!$C$5</f>
        <v>Riverhill TH</v>
      </c>
      <c r="Q2" s="301"/>
      <c r="R2" s="302"/>
      <c r="S2" s="303"/>
      <c r="T2" s="302"/>
      <c r="U2" s="302"/>
      <c r="V2" s="303"/>
      <c r="W2" s="17"/>
      <c r="X2" s="19" t="s">
        <v>427</v>
      </c>
    </row>
    <row r="3" customFormat="false" ht="15" hidden="false" customHeight="true" outlineLevel="0" collapsed="false">
      <c r="B3" s="314" t="n">
        <f aca="false">'Executive Summary'!$C$9</f>
        <v>1982</v>
      </c>
      <c r="C3" s="71"/>
      <c r="D3" s="71"/>
      <c r="E3" s="71"/>
      <c r="F3" s="71"/>
      <c r="G3" s="315"/>
      <c r="H3" s="316"/>
      <c r="I3" s="314" t="n">
        <f aca="false">'Executive Summary'!$C$9</f>
        <v>1982</v>
      </c>
      <c r="J3" s="71"/>
      <c r="K3" s="71"/>
      <c r="L3" s="71"/>
      <c r="M3" s="71"/>
      <c r="N3" s="315"/>
      <c r="O3" s="316"/>
      <c r="P3" s="314" t="n">
        <f aca="false">'Executive Summary'!$C$9</f>
        <v>1982</v>
      </c>
      <c r="Q3" s="71"/>
      <c r="R3" s="316"/>
      <c r="S3" s="316"/>
      <c r="T3" s="316"/>
      <c r="U3" s="316"/>
      <c r="V3" s="316"/>
      <c r="W3" s="17"/>
      <c r="X3" s="19"/>
    </row>
    <row r="4" customFormat="false" ht="15" hidden="false" customHeight="true" outlineLevel="0" collapsed="false">
      <c r="B4" s="322" t="s">
        <v>68</v>
      </c>
      <c r="C4" s="104" t="s">
        <v>438</v>
      </c>
      <c r="D4" s="104" t="s">
        <v>439</v>
      </c>
      <c r="E4" s="323" t="s">
        <v>440</v>
      </c>
      <c r="F4" s="323" t="s">
        <v>101</v>
      </c>
      <c r="G4" s="324" t="s">
        <v>441</v>
      </c>
      <c r="H4" s="487" t="s">
        <v>442</v>
      </c>
      <c r="I4" s="322" t="s">
        <v>68</v>
      </c>
      <c r="J4" s="104" t="s">
        <v>438</v>
      </c>
      <c r="K4" s="104" t="s">
        <v>439</v>
      </c>
      <c r="L4" s="323" t="s">
        <v>440</v>
      </c>
      <c r="M4" s="323" t="s">
        <v>101</v>
      </c>
      <c r="N4" s="324" t="s">
        <v>441</v>
      </c>
      <c r="O4" s="487" t="s">
        <v>442</v>
      </c>
      <c r="P4" s="325" t="s">
        <v>68</v>
      </c>
      <c r="Q4" s="104" t="s">
        <v>438</v>
      </c>
      <c r="R4" s="104" t="s">
        <v>439</v>
      </c>
      <c r="S4" s="326" t="s">
        <v>440</v>
      </c>
      <c r="T4" s="327" t="s">
        <v>101</v>
      </c>
      <c r="U4" s="328" t="s">
        <v>441</v>
      </c>
      <c r="V4" s="488" t="s">
        <v>550</v>
      </c>
      <c r="W4" s="489" t="s">
        <v>551</v>
      </c>
      <c r="X4" s="331" t="s">
        <v>552</v>
      </c>
      <c r="Z4" s="490"/>
    </row>
    <row r="5" customFormat="false" ht="15" hidden="false" customHeight="true" outlineLevel="0" collapsed="false">
      <c r="A5" s="154" t="s">
        <v>553</v>
      </c>
      <c r="B5" s="334" t="n">
        <v>2</v>
      </c>
      <c r="C5" s="335" t="n">
        <v>2</v>
      </c>
      <c r="D5" s="335" t="n">
        <v>1.5</v>
      </c>
      <c r="E5" s="336" t="n">
        <v>1008</v>
      </c>
      <c r="F5" s="337" t="n">
        <v>827</v>
      </c>
      <c r="G5" s="338" t="n">
        <f aca="false">IFERROR(IF(B5, F5/E5, 0),0)</f>
        <v>0.820436507936508</v>
      </c>
      <c r="H5" s="435" t="n">
        <f aca="false">F5-M5</f>
        <v>98</v>
      </c>
      <c r="I5" s="334" t="n">
        <v>2</v>
      </c>
      <c r="J5" s="335" t="n">
        <v>2</v>
      </c>
      <c r="K5" s="335" t="n">
        <v>1.5</v>
      </c>
      <c r="L5" s="336" t="n">
        <v>1008</v>
      </c>
      <c r="M5" s="337" t="n">
        <v>729</v>
      </c>
      <c r="N5" s="338" t="n">
        <f aca="false">IFERROR(IF(I5, M5/L5, 0),0)</f>
        <v>0.723214285714286</v>
      </c>
      <c r="O5" s="435" t="n">
        <f aca="false">M5-T5</f>
        <v>26</v>
      </c>
      <c r="P5" s="339" t="n">
        <f aca="false">IF(I5&lt;&gt;"",I5,"")</f>
        <v>2</v>
      </c>
      <c r="Q5" s="340" t="n">
        <f aca="false">IF(J5&lt;&gt;"",J5,"")</f>
        <v>2</v>
      </c>
      <c r="R5" s="340" t="n">
        <f aca="false">IF(K5&lt;&gt;"",K5,"")</f>
        <v>1.5</v>
      </c>
      <c r="S5" s="341" t="n">
        <f aca="false">IF(L5&lt;&gt;"",L5,"")</f>
        <v>1008</v>
      </c>
      <c r="T5" s="337" t="n">
        <v>703</v>
      </c>
      <c r="U5" s="338" t="n">
        <f aca="false">IFERROR(IF(P5, T5/S5, 0),0)</f>
        <v>0.697420634920635</v>
      </c>
      <c r="V5" s="302"/>
      <c r="W5" s="101"/>
      <c r="X5" s="45"/>
      <c r="Z5" s="490"/>
      <c r="AB5" s="490"/>
    </row>
    <row r="6" customFormat="false" ht="15" hidden="false" customHeight="true" outlineLevel="0" collapsed="false">
      <c r="A6" s="154" t="s">
        <v>554</v>
      </c>
      <c r="B6" s="334" t="n">
        <v>15</v>
      </c>
      <c r="C6" s="335" t="n">
        <v>2</v>
      </c>
      <c r="D6" s="335" t="n">
        <v>1.5</v>
      </c>
      <c r="E6" s="336" t="n">
        <v>1008</v>
      </c>
      <c r="F6" s="337" t="n">
        <v>827</v>
      </c>
      <c r="G6" s="338" t="n">
        <f aca="false">IFERROR(IF(B6, F6/E6, 0),0)</f>
        <v>0.820436507936508</v>
      </c>
      <c r="H6" s="435" t="n">
        <f aca="false">F6-M6</f>
        <v>55</v>
      </c>
      <c r="I6" s="334" t="n">
        <v>15</v>
      </c>
      <c r="J6" s="335" t="n">
        <v>2</v>
      </c>
      <c r="K6" s="335" t="n">
        <v>1.5</v>
      </c>
      <c r="L6" s="336" t="n">
        <v>1008</v>
      </c>
      <c r="M6" s="337" t="n">
        <v>772</v>
      </c>
      <c r="N6" s="338" t="n">
        <f aca="false">IFERROR(IF(I6, M6/L6, 0),0)</f>
        <v>0.765873015873016</v>
      </c>
      <c r="O6" s="435" t="n">
        <f aca="false">M6-T6</f>
        <v>0</v>
      </c>
      <c r="P6" s="339" t="n">
        <f aca="false">IF(I6&lt;&gt;"",I6,"")</f>
        <v>15</v>
      </c>
      <c r="Q6" s="340" t="n">
        <f aca="false">IF(J6&lt;&gt;"",J6,"")</f>
        <v>2</v>
      </c>
      <c r="R6" s="340" t="n">
        <f aca="false">IF(K6&lt;&gt;"",K6,"")</f>
        <v>1.5</v>
      </c>
      <c r="S6" s="341" t="n">
        <f aca="false">IF(L6&lt;&gt;"",L6,"")</f>
        <v>1008</v>
      </c>
      <c r="T6" s="337" t="n">
        <v>772</v>
      </c>
      <c r="U6" s="338" t="n">
        <f aca="false">IFERROR(IF(P6, T6/S6, 0),0)</f>
        <v>0.765873015873016</v>
      </c>
      <c r="V6" s="302"/>
      <c r="W6" s="101"/>
      <c r="X6" s="45"/>
      <c r="Z6" s="490"/>
      <c r="AB6" s="490"/>
    </row>
    <row r="7" customFormat="false" ht="15" hidden="false" customHeight="true" outlineLevel="0" collapsed="false">
      <c r="A7" s="154" t="s">
        <v>555</v>
      </c>
      <c r="B7" s="334" t="n">
        <v>63</v>
      </c>
      <c r="C7" s="335" t="n">
        <v>2</v>
      </c>
      <c r="D7" s="335" t="n">
        <v>1.5</v>
      </c>
      <c r="E7" s="336" t="n">
        <v>1008</v>
      </c>
      <c r="F7" s="337" t="n">
        <v>827</v>
      </c>
      <c r="G7" s="338" t="n">
        <f aca="false">IFERROR(IF(B7, F7/E7, 0),0)</f>
        <v>0.820436507936508</v>
      </c>
      <c r="H7" s="435" t="n">
        <f aca="false">F7-M7</f>
        <v>47</v>
      </c>
      <c r="I7" s="334" t="n">
        <v>63</v>
      </c>
      <c r="J7" s="335" t="n">
        <v>2</v>
      </c>
      <c r="K7" s="335" t="n">
        <v>1.5</v>
      </c>
      <c r="L7" s="336" t="n">
        <v>1008</v>
      </c>
      <c r="M7" s="337" t="n">
        <v>780</v>
      </c>
      <c r="N7" s="338" t="n">
        <f aca="false">IFERROR(IF(I7, M7/L7, 0),0)</f>
        <v>0.773809523809524</v>
      </c>
      <c r="O7" s="435" t="n">
        <f aca="false">M7-T7</f>
        <v>2</v>
      </c>
      <c r="P7" s="339" t="n">
        <f aca="false">IF(I7&lt;&gt;"",I7,"")</f>
        <v>63</v>
      </c>
      <c r="Q7" s="340" t="n">
        <f aca="false">IF(J7&lt;&gt;"",J7,"")</f>
        <v>2</v>
      </c>
      <c r="R7" s="340" t="n">
        <f aca="false">IF(K7&lt;&gt;"",K7,"")</f>
        <v>1.5</v>
      </c>
      <c r="S7" s="341" t="n">
        <f aca="false">IF(L7&lt;&gt;"",L7,"")</f>
        <v>1008</v>
      </c>
      <c r="T7" s="337" t="n">
        <v>778</v>
      </c>
      <c r="U7" s="338" t="n">
        <f aca="false">IFERROR(IF(P7, T7/S7, 0),0)</f>
        <v>0.771825396825397</v>
      </c>
      <c r="V7" s="302"/>
      <c r="W7" s="101"/>
      <c r="X7" s="45"/>
      <c r="Z7" s="490"/>
      <c r="AB7" s="490"/>
    </row>
    <row r="8" customFormat="false" ht="15" hidden="false" customHeight="true" outlineLevel="0" collapsed="false">
      <c r="A8" s="154" t="s">
        <v>556</v>
      </c>
      <c r="B8" s="334"/>
      <c r="C8" s="335"/>
      <c r="D8" s="335"/>
      <c r="E8" s="336"/>
      <c r="F8" s="337"/>
      <c r="G8" s="338" t="n">
        <f aca="false">IFERROR(IF(B8, F8/E8, 0),0)</f>
        <v>0</v>
      </c>
      <c r="H8" s="435" t="n">
        <f aca="false">F8-M8</f>
        <v>0</v>
      </c>
      <c r="I8" s="334"/>
      <c r="J8" s="335"/>
      <c r="K8" s="335"/>
      <c r="L8" s="336"/>
      <c r="M8" s="337"/>
      <c r="N8" s="338" t="n">
        <f aca="false">IFERROR(IF(I8, M8/L8, 0),0)</f>
        <v>0</v>
      </c>
      <c r="O8" s="435" t="n">
        <f aca="false">M8-T8</f>
        <v>0</v>
      </c>
      <c r="P8" s="339" t="str">
        <f aca="false">IF(I8&lt;&gt;"",I8,"")</f>
        <v/>
      </c>
      <c r="Q8" s="340" t="str">
        <f aca="false">IF(J8&lt;&gt;"",J8,"")</f>
        <v/>
      </c>
      <c r="R8" s="340" t="str">
        <f aca="false">IF(K8&lt;&gt;"",K8,"")</f>
        <v/>
      </c>
      <c r="S8" s="341" t="str">
        <f aca="false">IF(L8&lt;&gt;"",L8,"")</f>
        <v/>
      </c>
      <c r="T8" s="337"/>
      <c r="U8" s="338" t="n">
        <f aca="false">IFERROR(IF(P8, T8/S8, 0),0)</f>
        <v>0</v>
      </c>
      <c r="V8" s="302"/>
      <c r="W8" s="101"/>
      <c r="X8" s="45"/>
      <c r="Z8" s="490"/>
      <c r="AB8" s="490"/>
    </row>
    <row r="9" customFormat="false" ht="15" hidden="false" customHeight="true" outlineLevel="0" collapsed="false">
      <c r="A9" s="154" t="s">
        <v>553</v>
      </c>
      <c r="B9" s="334"/>
      <c r="C9" s="335"/>
      <c r="D9" s="335"/>
      <c r="E9" s="336"/>
      <c r="F9" s="337"/>
      <c r="G9" s="338" t="n">
        <f aca="false">IFERROR(IF(B9, F9/E9, 0),0)</f>
        <v>0</v>
      </c>
      <c r="H9" s="435" t="n">
        <f aca="false">F9-M9</f>
        <v>0</v>
      </c>
      <c r="I9" s="334"/>
      <c r="J9" s="335"/>
      <c r="K9" s="335"/>
      <c r="L9" s="336"/>
      <c r="M9" s="337"/>
      <c r="N9" s="338" t="n">
        <f aca="false">IFERROR(IF(I9, M9/L9, 0),0)</f>
        <v>0</v>
      </c>
      <c r="O9" s="435" t="n">
        <f aca="false">M9-T9</f>
        <v>0</v>
      </c>
      <c r="P9" s="339" t="str">
        <f aca="false">IF(I9&lt;&gt;"",I9,"")</f>
        <v/>
      </c>
      <c r="Q9" s="340" t="str">
        <f aca="false">IF(J9&lt;&gt;"",J9,"")</f>
        <v/>
      </c>
      <c r="R9" s="340" t="str">
        <f aca="false">IF(K9&lt;&gt;"",K9,"")</f>
        <v/>
      </c>
      <c r="S9" s="341" t="str">
        <f aca="false">IF(L9&lt;&gt;"",L9,"")</f>
        <v/>
      </c>
      <c r="T9" s="337"/>
      <c r="U9" s="338" t="n">
        <f aca="false">IFERROR(IF(P9, T9/S9, 0),0)</f>
        <v>0</v>
      </c>
      <c r="V9" s="302"/>
      <c r="W9" s="101"/>
      <c r="X9" s="45"/>
      <c r="Z9" s="490"/>
      <c r="AB9" s="490"/>
    </row>
    <row r="10" customFormat="false" ht="15" hidden="false" customHeight="true" outlineLevel="0" collapsed="false">
      <c r="A10" s="154" t="s">
        <v>554</v>
      </c>
      <c r="B10" s="334"/>
      <c r="C10" s="335"/>
      <c r="D10" s="335"/>
      <c r="E10" s="336"/>
      <c r="F10" s="337"/>
      <c r="G10" s="338" t="n">
        <f aca="false">IFERROR(IF(B10, F10/E10, 0),0)</f>
        <v>0</v>
      </c>
      <c r="H10" s="435" t="n">
        <f aca="false">F10-M10</f>
        <v>0</v>
      </c>
      <c r="I10" s="334"/>
      <c r="J10" s="335"/>
      <c r="K10" s="335"/>
      <c r="L10" s="336"/>
      <c r="M10" s="337"/>
      <c r="N10" s="338" t="n">
        <f aca="false">IFERROR(IF(I10, M10/L10, 0),0)</f>
        <v>0</v>
      </c>
      <c r="O10" s="435" t="n">
        <f aca="false">M10-T10</f>
        <v>0</v>
      </c>
      <c r="P10" s="339" t="str">
        <f aca="false">IF(I10&lt;&gt;"",I10,"")</f>
        <v/>
      </c>
      <c r="Q10" s="340" t="str">
        <f aca="false">IF(J10&lt;&gt;"",J10,"")</f>
        <v/>
      </c>
      <c r="R10" s="340" t="str">
        <f aca="false">IF(K10&lt;&gt;"",K10,"")</f>
        <v/>
      </c>
      <c r="S10" s="341" t="str">
        <f aca="false">IF(L10&lt;&gt;"",L10,"")</f>
        <v/>
      </c>
      <c r="T10" s="337"/>
      <c r="U10" s="338" t="n">
        <f aca="false">IFERROR(IF(P10, T10/S10, 0),0)</f>
        <v>0</v>
      </c>
      <c r="V10" s="302"/>
      <c r="W10" s="101"/>
      <c r="X10" s="45"/>
      <c r="Z10" s="490"/>
      <c r="AB10" s="490"/>
    </row>
    <row r="11" customFormat="false" ht="15" hidden="false" customHeight="true" outlineLevel="0" collapsed="false">
      <c r="A11" s="154" t="s">
        <v>556</v>
      </c>
      <c r="B11" s="334"/>
      <c r="C11" s="335"/>
      <c r="D11" s="335"/>
      <c r="E11" s="336"/>
      <c r="F11" s="337"/>
      <c r="G11" s="338" t="n">
        <f aca="false">IFERROR(IF(B11, F11/E11, 0),0)</f>
        <v>0</v>
      </c>
      <c r="H11" s="435" t="n">
        <f aca="false">F11-M11</f>
        <v>0</v>
      </c>
      <c r="I11" s="334"/>
      <c r="J11" s="335"/>
      <c r="K11" s="335"/>
      <c r="L11" s="336"/>
      <c r="M11" s="337"/>
      <c r="N11" s="338" t="n">
        <f aca="false">IFERROR(IF(I11, M11/L11, 0),0)</f>
        <v>0</v>
      </c>
      <c r="O11" s="435" t="n">
        <f aca="false">M11-T11</f>
        <v>0</v>
      </c>
      <c r="P11" s="339" t="str">
        <f aca="false">IF(I11&lt;&gt;"",I11,"")</f>
        <v/>
      </c>
      <c r="Q11" s="340" t="str">
        <f aca="false">IF(J11&lt;&gt;"",J11,"")</f>
        <v/>
      </c>
      <c r="R11" s="340" t="str">
        <f aca="false">IF(K11&lt;&gt;"",K11,"")</f>
        <v/>
      </c>
      <c r="S11" s="341" t="str">
        <f aca="false">IF(L11&lt;&gt;"",L11,"")</f>
        <v/>
      </c>
      <c r="T11" s="337"/>
      <c r="U11" s="338" t="n">
        <f aca="false">IFERROR(IF(P11, T11/S11, 0),0)</f>
        <v>0</v>
      </c>
      <c r="V11" s="302"/>
      <c r="W11" s="101"/>
      <c r="X11" s="45"/>
      <c r="Z11" s="490"/>
      <c r="AB11" s="490"/>
    </row>
    <row r="12" customFormat="false" ht="15" hidden="false" customHeight="true" outlineLevel="0" collapsed="false">
      <c r="A12" s="154" t="s">
        <v>555</v>
      </c>
      <c r="B12" s="334"/>
      <c r="C12" s="335"/>
      <c r="D12" s="335"/>
      <c r="E12" s="336"/>
      <c r="F12" s="337"/>
      <c r="G12" s="338" t="n">
        <f aca="false">IFERROR(IF(B12, F12/E12, 0),0)</f>
        <v>0</v>
      </c>
      <c r="H12" s="435" t="n">
        <f aca="false">F12-M12</f>
        <v>0</v>
      </c>
      <c r="I12" s="334"/>
      <c r="J12" s="335"/>
      <c r="K12" s="335"/>
      <c r="L12" s="336"/>
      <c r="M12" s="337"/>
      <c r="N12" s="338" t="n">
        <f aca="false">IFERROR(IF(I12, M12/L12, 0),0)</f>
        <v>0</v>
      </c>
      <c r="O12" s="435" t="n">
        <f aca="false">M12-T12</f>
        <v>0</v>
      </c>
      <c r="P12" s="339" t="str">
        <f aca="false">IF(I12&lt;&gt;"",I12,"")</f>
        <v/>
      </c>
      <c r="Q12" s="340" t="str">
        <f aca="false">IF(J12&lt;&gt;"",J12,"")</f>
        <v/>
      </c>
      <c r="R12" s="340" t="str">
        <f aca="false">IF(K12&lt;&gt;"",K12,"")</f>
        <v/>
      </c>
      <c r="S12" s="341" t="str">
        <f aca="false">IF(L12&lt;&gt;"",L12,"")</f>
        <v/>
      </c>
      <c r="T12" s="337"/>
      <c r="U12" s="338" t="n">
        <f aca="false">IFERROR(IF(P12, T12/S12, 0),0)</f>
        <v>0</v>
      </c>
      <c r="V12" s="302"/>
      <c r="W12" s="101"/>
      <c r="X12" s="45"/>
      <c r="Z12" s="490"/>
      <c r="AB12" s="490"/>
    </row>
    <row r="13" customFormat="false" ht="15" hidden="false" customHeight="true" outlineLevel="0" collapsed="false">
      <c r="A13" s="154" t="s">
        <v>554</v>
      </c>
      <c r="B13" s="334"/>
      <c r="C13" s="335"/>
      <c r="D13" s="335"/>
      <c r="E13" s="336"/>
      <c r="F13" s="337"/>
      <c r="G13" s="338" t="n">
        <f aca="false">IFERROR(IF(B13, F13/E13, 0),0)</f>
        <v>0</v>
      </c>
      <c r="H13" s="435" t="n">
        <f aca="false">F13-M13</f>
        <v>0</v>
      </c>
      <c r="I13" s="334"/>
      <c r="J13" s="335"/>
      <c r="K13" s="335"/>
      <c r="L13" s="336"/>
      <c r="M13" s="337"/>
      <c r="N13" s="338" t="n">
        <f aca="false">IFERROR(IF(I13, M13/L13, 0),0)</f>
        <v>0</v>
      </c>
      <c r="O13" s="435" t="n">
        <f aca="false">M13-T13</f>
        <v>0</v>
      </c>
      <c r="P13" s="339" t="str">
        <f aca="false">IF(I13&lt;&gt;"",I13,"")</f>
        <v/>
      </c>
      <c r="Q13" s="340" t="str">
        <f aca="false">IF(J13&lt;&gt;"",J13,"")</f>
        <v/>
      </c>
      <c r="R13" s="340" t="str">
        <f aca="false">IF(K13&lt;&gt;"",K13,"")</f>
        <v/>
      </c>
      <c r="S13" s="341" t="str">
        <f aca="false">IF(L13&lt;&gt;"",L13,"")</f>
        <v/>
      </c>
      <c r="T13" s="337"/>
      <c r="U13" s="338" t="n">
        <f aca="false">IFERROR(IF(P13, T13/S13, 0),0)</f>
        <v>0</v>
      </c>
      <c r="V13" s="302"/>
      <c r="W13" s="101"/>
      <c r="X13" s="45"/>
      <c r="Z13" s="490"/>
      <c r="AB13" s="490"/>
    </row>
    <row r="14" customFormat="false" ht="15" hidden="false" customHeight="true" outlineLevel="0" collapsed="false">
      <c r="A14" s="154" t="s">
        <v>555</v>
      </c>
      <c r="B14" s="334"/>
      <c r="C14" s="335"/>
      <c r="D14" s="335"/>
      <c r="E14" s="336"/>
      <c r="F14" s="337"/>
      <c r="G14" s="338" t="n">
        <f aca="false">IFERROR(IF(B14, F14/E14, 0),0)</f>
        <v>0</v>
      </c>
      <c r="H14" s="435" t="n">
        <f aca="false">F14-M14</f>
        <v>0</v>
      </c>
      <c r="I14" s="334"/>
      <c r="J14" s="335"/>
      <c r="K14" s="335"/>
      <c r="L14" s="336"/>
      <c r="M14" s="337"/>
      <c r="N14" s="338" t="n">
        <f aca="false">IFERROR(IF(I14, M14/L14, 0),0)</f>
        <v>0</v>
      </c>
      <c r="O14" s="435" t="n">
        <f aca="false">M14-T14</f>
        <v>0</v>
      </c>
      <c r="P14" s="339" t="str">
        <f aca="false">IF(I14&lt;&gt;"",I14,"")</f>
        <v/>
      </c>
      <c r="Q14" s="340" t="str">
        <f aca="false">IF(J14&lt;&gt;"",J14,"")</f>
        <v/>
      </c>
      <c r="R14" s="340" t="str">
        <f aca="false">IF(K14&lt;&gt;"",K14,"")</f>
        <v/>
      </c>
      <c r="S14" s="341" t="str">
        <f aca="false">IF(L14&lt;&gt;"",L14,"")</f>
        <v/>
      </c>
      <c r="T14" s="337"/>
      <c r="U14" s="338" t="n">
        <f aca="false">IFERROR(IF(P14, T14/S14, 0),0)</f>
        <v>0</v>
      </c>
      <c r="V14" s="302"/>
      <c r="W14" s="101"/>
      <c r="X14" s="45"/>
      <c r="Z14" s="490"/>
      <c r="AB14" s="490"/>
    </row>
    <row r="15" customFormat="false" ht="15" hidden="false" customHeight="true" outlineLevel="0" collapsed="false">
      <c r="A15" s="154" t="s">
        <v>556</v>
      </c>
      <c r="B15" s="334"/>
      <c r="C15" s="335"/>
      <c r="D15" s="335"/>
      <c r="E15" s="336"/>
      <c r="F15" s="337"/>
      <c r="G15" s="338" t="n">
        <f aca="false">IFERROR(IF(B15, F15/E15, 0),0)</f>
        <v>0</v>
      </c>
      <c r="H15" s="435" t="n">
        <f aca="false">F15-M15</f>
        <v>0</v>
      </c>
      <c r="I15" s="334"/>
      <c r="J15" s="335"/>
      <c r="K15" s="335"/>
      <c r="L15" s="336"/>
      <c r="M15" s="337"/>
      <c r="N15" s="338" t="n">
        <f aca="false">IFERROR(IF(I15, M15/L15, 0),0)</f>
        <v>0</v>
      </c>
      <c r="O15" s="435" t="n">
        <f aca="false">M15-T15</f>
        <v>0</v>
      </c>
      <c r="P15" s="339" t="str">
        <f aca="false">IF(I15&lt;&gt;"",I15,"")</f>
        <v/>
      </c>
      <c r="Q15" s="340" t="str">
        <f aca="false">IF(J15&lt;&gt;"",J15,"")</f>
        <v/>
      </c>
      <c r="R15" s="340" t="str">
        <f aca="false">IF(K15&lt;&gt;"",K15,"")</f>
        <v/>
      </c>
      <c r="S15" s="341" t="str">
        <f aca="false">IF(L15&lt;&gt;"",L15,"")</f>
        <v/>
      </c>
      <c r="T15" s="337"/>
      <c r="U15" s="338" t="n">
        <f aca="false">IFERROR(IF(P15, T15/S15, 0),0)</f>
        <v>0</v>
      </c>
      <c r="V15" s="302"/>
      <c r="W15" s="101"/>
      <c r="X15" s="45"/>
      <c r="Z15" s="490"/>
      <c r="AB15" s="490"/>
    </row>
    <row r="16" customFormat="false" ht="15" hidden="false" customHeight="true" outlineLevel="0" collapsed="false">
      <c r="A16" s="154" t="s">
        <v>554</v>
      </c>
      <c r="B16" s="334"/>
      <c r="C16" s="335"/>
      <c r="D16" s="335"/>
      <c r="E16" s="336"/>
      <c r="F16" s="337"/>
      <c r="G16" s="338" t="n">
        <f aca="false">IFERROR(IF(B16, F16/E16, 0),0)</f>
        <v>0</v>
      </c>
      <c r="H16" s="435" t="n">
        <f aca="false">F16-M16</f>
        <v>0</v>
      </c>
      <c r="I16" s="334"/>
      <c r="J16" s="335"/>
      <c r="K16" s="335"/>
      <c r="L16" s="336"/>
      <c r="M16" s="337"/>
      <c r="N16" s="338" t="n">
        <f aca="false">IFERROR(IF(I16, M16/L16, 0),0)</f>
        <v>0</v>
      </c>
      <c r="O16" s="435" t="n">
        <f aca="false">M16-T16</f>
        <v>0</v>
      </c>
      <c r="P16" s="339" t="str">
        <f aca="false">IF(I16&lt;&gt;"",I16,"")</f>
        <v/>
      </c>
      <c r="Q16" s="340" t="str">
        <f aca="false">IF(J16&lt;&gt;"",J16,"")</f>
        <v/>
      </c>
      <c r="R16" s="340" t="str">
        <f aca="false">IF(K16&lt;&gt;"",K16,"")</f>
        <v/>
      </c>
      <c r="S16" s="341" t="str">
        <f aca="false">IF(L16&lt;&gt;"",L16,"")</f>
        <v/>
      </c>
      <c r="T16" s="337"/>
      <c r="U16" s="338" t="n">
        <f aca="false">IFERROR(IF(P16, T16/S16, 0),0)</f>
        <v>0</v>
      </c>
      <c r="V16" s="302"/>
      <c r="W16" s="101"/>
      <c r="X16" s="45"/>
      <c r="Z16" s="490"/>
      <c r="AB16" s="490"/>
    </row>
    <row r="17" customFormat="false" ht="15" hidden="false" customHeight="true" outlineLevel="0" collapsed="false">
      <c r="A17" s="154" t="s">
        <v>553</v>
      </c>
      <c r="B17" s="334"/>
      <c r="C17" s="335"/>
      <c r="D17" s="335"/>
      <c r="E17" s="336"/>
      <c r="F17" s="337"/>
      <c r="G17" s="338" t="n">
        <f aca="false">IFERROR(IF(B17, F17/E17, 0),0)</f>
        <v>0</v>
      </c>
      <c r="H17" s="435" t="n">
        <f aca="false">F17-M17</f>
        <v>0</v>
      </c>
      <c r="I17" s="334"/>
      <c r="J17" s="335"/>
      <c r="K17" s="335"/>
      <c r="L17" s="336"/>
      <c r="M17" s="337"/>
      <c r="N17" s="338" t="n">
        <f aca="false">IFERROR(IF(I17, M17/L17, 0),0)</f>
        <v>0</v>
      </c>
      <c r="O17" s="435" t="n">
        <f aca="false">M17-T17</f>
        <v>0</v>
      </c>
      <c r="P17" s="339" t="str">
        <f aca="false">IF(I17&lt;&gt;"",I17,"")</f>
        <v/>
      </c>
      <c r="Q17" s="340" t="str">
        <f aca="false">IF(J17&lt;&gt;"",J17,"")</f>
        <v/>
      </c>
      <c r="R17" s="340" t="str">
        <f aca="false">IF(K17&lt;&gt;"",K17,"")</f>
        <v/>
      </c>
      <c r="S17" s="341" t="str">
        <f aca="false">IF(L17&lt;&gt;"",L17,"")</f>
        <v/>
      </c>
      <c r="T17" s="337"/>
      <c r="U17" s="338" t="n">
        <f aca="false">IFERROR(IF(P17, T17/S17, 0),0)</f>
        <v>0</v>
      </c>
      <c r="V17" s="302"/>
      <c r="W17" s="101"/>
      <c r="X17" s="45"/>
      <c r="Z17" s="490"/>
      <c r="AB17" s="490"/>
    </row>
    <row r="18" customFormat="false" ht="15" hidden="false" customHeight="true" outlineLevel="0" collapsed="false">
      <c r="A18" s="154" t="s">
        <v>555</v>
      </c>
      <c r="B18" s="334"/>
      <c r="C18" s="335"/>
      <c r="D18" s="335"/>
      <c r="E18" s="336"/>
      <c r="F18" s="337"/>
      <c r="G18" s="338" t="n">
        <f aca="false">IFERROR(IF(B18, F18/E18, 0),0)</f>
        <v>0</v>
      </c>
      <c r="H18" s="435" t="n">
        <f aca="false">F18-M18</f>
        <v>0</v>
      </c>
      <c r="I18" s="334"/>
      <c r="J18" s="335"/>
      <c r="K18" s="335"/>
      <c r="L18" s="336"/>
      <c r="M18" s="337"/>
      <c r="N18" s="338" t="n">
        <f aca="false">IFERROR(IF(I18, M18/L18, 0),0)</f>
        <v>0</v>
      </c>
      <c r="O18" s="435" t="n">
        <f aca="false">M18-T18</f>
        <v>0</v>
      </c>
      <c r="P18" s="339" t="str">
        <f aca="false">IF(I18&lt;&gt;"",I18,"")</f>
        <v/>
      </c>
      <c r="Q18" s="340" t="str">
        <f aca="false">IF(J18&lt;&gt;"",J18,"")</f>
        <v/>
      </c>
      <c r="R18" s="340" t="str">
        <f aca="false">IF(K18&lt;&gt;"",K18,"")</f>
        <v/>
      </c>
      <c r="S18" s="341" t="str">
        <f aca="false">IF(L18&lt;&gt;"",L18,"")</f>
        <v/>
      </c>
      <c r="T18" s="337"/>
      <c r="U18" s="338" t="n">
        <f aca="false">IFERROR(IF(P18, T18/S18, 0),0)</f>
        <v>0</v>
      </c>
      <c r="V18" s="302"/>
      <c r="W18" s="101"/>
      <c r="X18" s="45"/>
      <c r="Z18" s="490"/>
      <c r="AB18" s="490"/>
    </row>
    <row r="19" customFormat="false" ht="15" hidden="false" customHeight="true" outlineLevel="0" collapsed="false">
      <c r="A19" s="154" t="s">
        <v>556</v>
      </c>
      <c r="B19" s="334"/>
      <c r="C19" s="335"/>
      <c r="D19" s="335"/>
      <c r="E19" s="336"/>
      <c r="F19" s="337"/>
      <c r="G19" s="338" t="n">
        <f aca="false">IFERROR(IF(B19, F19/E19, 0),0)</f>
        <v>0</v>
      </c>
      <c r="H19" s="435" t="n">
        <f aca="false">F19-M19</f>
        <v>0</v>
      </c>
      <c r="I19" s="334"/>
      <c r="J19" s="335"/>
      <c r="K19" s="335"/>
      <c r="L19" s="336"/>
      <c r="M19" s="337"/>
      <c r="N19" s="338" t="n">
        <f aca="false">IFERROR(IF(I19, M19/L19, 0),0)</f>
        <v>0</v>
      </c>
      <c r="O19" s="435" t="n">
        <f aca="false">M19-T19</f>
        <v>0</v>
      </c>
      <c r="P19" s="339" t="str">
        <f aca="false">IF(I19&lt;&gt;"",I19,"")</f>
        <v/>
      </c>
      <c r="Q19" s="340" t="str">
        <f aca="false">IF(J19&lt;&gt;"",J19,"")</f>
        <v/>
      </c>
      <c r="R19" s="340" t="str">
        <f aca="false">IF(K19&lt;&gt;"",K19,"")</f>
        <v/>
      </c>
      <c r="S19" s="341" t="str">
        <f aca="false">IF(L19&lt;&gt;"",L19,"")</f>
        <v/>
      </c>
      <c r="T19" s="337"/>
      <c r="U19" s="338" t="n">
        <f aca="false">IFERROR(IF(P19, T19/S19, 0),0)</f>
        <v>0</v>
      </c>
      <c r="V19" s="302"/>
      <c r="W19" s="101"/>
      <c r="X19" s="45"/>
      <c r="Z19" s="490"/>
      <c r="AB19" s="490"/>
    </row>
    <row r="20" customFormat="false" ht="15" hidden="false" customHeight="true" outlineLevel="0" collapsed="false">
      <c r="A20" s="154" t="s">
        <v>554</v>
      </c>
      <c r="B20" s="334"/>
      <c r="C20" s="335"/>
      <c r="D20" s="335"/>
      <c r="E20" s="336"/>
      <c r="F20" s="337"/>
      <c r="G20" s="338" t="n">
        <f aca="false">IFERROR(IF(B20, F20/E20, 0),0)</f>
        <v>0</v>
      </c>
      <c r="H20" s="435" t="n">
        <f aca="false">F20-M20</f>
        <v>0</v>
      </c>
      <c r="I20" s="334"/>
      <c r="J20" s="335"/>
      <c r="K20" s="335"/>
      <c r="L20" s="336"/>
      <c r="M20" s="337"/>
      <c r="N20" s="338" t="n">
        <f aca="false">IFERROR(IF(I20, M20/L20, 0),0)</f>
        <v>0</v>
      </c>
      <c r="O20" s="435" t="n">
        <f aca="false">M20-T20</f>
        <v>0</v>
      </c>
      <c r="P20" s="339" t="str">
        <f aca="false">IF(I20&lt;&gt;"",I20,"")</f>
        <v/>
      </c>
      <c r="Q20" s="340" t="str">
        <f aca="false">IF(J20&lt;&gt;"",J20,"")</f>
        <v/>
      </c>
      <c r="R20" s="340" t="str">
        <f aca="false">IF(K20&lt;&gt;"",K20,"")</f>
        <v/>
      </c>
      <c r="S20" s="341" t="str">
        <f aca="false">IF(L20&lt;&gt;"",L20,"")</f>
        <v/>
      </c>
      <c r="T20" s="337"/>
      <c r="U20" s="338" t="n">
        <f aca="false">IFERROR(IF(P20, T20/S20, 0),0)</f>
        <v>0</v>
      </c>
      <c r="V20" s="302"/>
      <c r="W20" s="101"/>
      <c r="X20" s="45"/>
      <c r="Z20" s="490"/>
      <c r="AB20" s="490"/>
    </row>
    <row r="21" customFormat="false" ht="15" hidden="false" customHeight="true" outlineLevel="0" collapsed="false">
      <c r="A21" s="154" t="s">
        <v>556</v>
      </c>
      <c r="B21" s="334"/>
      <c r="C21" s="335"/>
      <c r="D21" s="335"/>
      <c r="E21" s="336"/>
      <c r="F21" s="337"/>
      <c r="G21" s="338" t="n">
        <f aca="false">IFERROR(IF(B21, F21/E21, 0),0)</f>
        <v>0</v>
      </c>
      <c r="H21" s="435" t="n">
        <f aca="false">F21-M21</f>
        <v>0</v>
      </c>
      <c r="I21" s="334"/>
      <c r="J21" s="335"/>
      <c r="K21" s="335"/>
      <c r="L21" s="336"/>
      <c r="M21" s="337"/>
      <c r="N21" s="338" t="n">
        <f aca="false">IFERROR(IF(I21, M21/L21, 0),0)</f>
        <v>0</v>
      </c>
      <c r="O21" s="435" t="n">
        <f aca="false">M21-T21</f>
        <v>0</v>
      </c>
      <c r="P21" s="339" t="str">
        <f aca="false">IF(I21&lt;&gt;"",I21,"")</f>
        <v/>
      </c>
      <c r="Q21" s="340" t="str">
        <f aca="false">IF(J21&lt;&gt;"",J21,"")</f>
        <v/>
      </c>
      <c r="R21" s="340" t="str">
        <f aca="false">IF(K21&lt;&gt;"",K21,"")</f>
        <v/>
      </c>
      <c r="S21" s="341" t="str">
        <f aca="false">IF(L21&lt;&gt;"",L21,"")</f>
        <v/>
      </c>
      <c r="T21" s="337"/>
      <c r="U21" s="338" t="n">
        <f aca="false">IFERROR(IF(P21, T21/S21, 0),0)</f>
        <v>0</v>
      </c>
      <c r="V21" s="302"/>
      <c r="W21" s="101"/>
      <c r="X21" s="45"/>
      <c r="Z21" s="490"/>
      <c r="AB21" s="490"/>
    </row>
    <row r="22" customFormat="false" ht="15" hidden="false" customHeight="true" outlineLevel="0" collapsed="false">
      <c r="A22" s="154" t="s">
        <v>553</v>
      </c>
      <c r="B22" s="334"/>
      <c r="C22" s="335"/>
      <c r="D22" s="335"/>
      <c r="E22" s="336"/>
      <c r="F22" s="337"/>
      <c r="G22" s="338" t="n">
        <f aca="false">IFERROR(IF(B22, F22/E22, 0),0)</f>
        <v>0</v>
      </c>
      <c r="H22" s="435" t="n">
        <f aca="false">F22-M22</f>
        <v>0</v>
      </c>
      <c r="I22" s="334"/>
      <c r="J22" s="335"/>
      <c r="K22" s="335"/>
      <c r="L22" s="336"/>
      <c r="M22" s="337"/>
      <c r="N22" s="338" t="n">
        <f aca="false">IFERROR(IF(I22, M22/L22, 0),0)</f>
        <v>0</v>
      </c>
      <c r="O22" s="435" t="n">
        <f aca="false">M22-T22</f>
        <v>0</v>
      </c>
      <c r="P22" s="339" t="str">
        <f aca="false">IF(I22&lt;&gt;"",I22,"")</f>
        <v/>
      </c>
      <c r="Q22" s="340" t="str">
        <f aca="false">IF(J22&lt;&gt;"",J22,"")</f>
        <v/>
      </c>
      <c r="R22" s="340" t="str">
        <f aca="false">IF(K22&lt;&gt;"",K22,"")</f>
        <v/>
      </c>
      <c r="S22" s="341" t="str">
        <f aca="false">IF(L22&lt;&gt;"",L22,"")</f>
        <v/>
      </c>
      <c r="T22" s="337"/>
      <c r="U22" s="338" t="n">
        <f aca="false">IFERROR(IF(P22, T22/S22, 0),0)</f>
        <v>0</v>
      </c>
      <c r="V22" s="302"/>
      <c r="W22" s="101"/>
      <c r="X22" s="45"/>
      <c r="Z22" s="490"/>
      <c r="AB22" s="490"/>
    </row>
    <row r="23" customFormat="false" ht="15" hidden="false" customHeight="true" outlineLevel="0" collapsed="false">
      <c r="A23" s="154" t="s">
        <v>554</v>
      </c>
      <c r="B23" s="334"/>
      <c r="C23" s="335"/>
      <c r="D23" s="335"/>
      <c r="E23" s="336"/>
      <c r="F23" s="337"/>
      <c r="G23" s="338" t="n">
        <f aca="false">IFERROR(IF(B23, F23/E23, 0),0)</f>
        <v>0</v>
      </c>
      <c r="H23" s="435" t="n">
        <f aca="false">F23-M23</f>
        <v>0</v>
      </c>
      <c r="I23" s="334"/>
      <c r="J23" s="335"/>
      <c r="K23" s="335"/>
      <c r="L23" s="336"/>
      <c r="M23" s="337"/>
      <c r="N23" s="338" t="n">
        <f aca="false">IFERROR(IF(I23, M23/L23, 0),0)</f>
        <v>0</v>
      </c>
      <c r="O23" s="435" t="n">
        <f aca="false">M23-T23</f>
        <v>0</v>
      </c>
      <c r="P23" s="339" t="str">
        <f aca="false">IF(I23&lt;&gt;"",I23,"")</f>
        <v/>
      </c>
      <c r="Q23" s="340" t="str">
        <f aca="false">IF(J23&lt;&gt;"",J23,"")</f>
        <v/>
      </c>
      <c r="R23" s="340" t="str">
        <f aca="false">IF(K23&lt;&gt;"",K23,"")</f>
        <v/>
      </c>
      <c r="S23" s="341" t="str">
        <f aca="false">IF(L23&lt;&gt;"",L23,"")</f>
        <v/>
      </c>
      <c r="T23" s="337"/>
      <c r="U23" s="338" t="n">
        <f aca="false">IFERROR(IF(P23, T23/S23, 0),0)</f>
        <v>0</v>
      </c>
      <c r="V23" s="302"/>
      <c r="W23" s="101"/>
      <c r="X23" s="45"/>
      <c r="Z23" s="490"/>
      <c r="AB23" s="490"/>
    </row>
    <row r="24" customFormat="false" ht="15" hidden="false" customHeight="true" outlineLevel="0" collapsed="false">
      <c r="A24" s="154" t="s">
        <v>555</v>
      </c>
      <c r="B24" s="334"/>
      <c r="C24" s="335"/>
      <c r="D24" s="335"/>
      <c r="E24" s="336"/>
      <c r="F24" s="337"/>
      <c r="G24" s="338" t="n">
        <f aca="false">IFERROR(IF(B24, F24/E24, 0),0)</f>
        <v>0</v>
      </c>
      <c r="H24" s="435" t="n">
        <f aca="false">F24-M24</f>
        <v>0</v>
      </c>
      <c r="I24" s="334"/>
      <c r="J24" s="335"/>
      <c r="K24" s="335"/>
      <c r="L24" s="336"/>
      <c r="M24" s="337"/>
      <c r="N24" s="338" t="n">
        <f aca="false">IFERROR(IF(I24, M24/L24, 0),0)</f>
        <v>0</v>
      </c>
      <c r="O24" s="435" t="n">
        <f aca="false">M24-T24</f>
        <v>0</v>
      </c>
      <c r="P24" s="339" t="str">
        <f aca="false">IF(I24&lt;&gt;"",I24,"")</f>
        <v/>
      </c>
      <c r="Q24" s="340" t="str">
        <f aca="false">IF(J24&lt;&gt;"",J24,"")</f>
        <v/>
      </c>
      <c r="R24" s="340" t="str">
        <f aca="false">IF(K24&lt;&gt;"",K24,"")</f>
        <v/>
      </c>
      <c r="S24" s="341" t="str">
        <f aca="false">IF(L24&lt;&gt;"",L24,"")</f>
        <v/>
      </c>
      <c r="T24" s="337"/>
      <c r="U24" s="338" t="n">
        <f aca="false">IFERROR(IF(P24, T24/S24, 0),0)</f>
        <v>0</v>
      </c>
      <c r="V24" s="302"/>
      <c r="W24" s="101"/>
      <c r="X24" s="45"/>
      <c r="Z24" s="490"/>
      <c r="AB24" s="490"/>
    </row>
    <row r="25" customFormat="false" ht="15" hidden="false" customHeight="true" outlineLevel="0" collapsed="false">
      <c r="A25" s="154" t="s">
        <v>556</v>
      </c>
      <c r="B25" s="334"/>
      <c r="C25" s="335"/>
      <c r="D25" s="335"/>
      <c r="E25" s="336"/>
      <c r="F25" s="337"/>
      <c r="G25" s="338" t="n">
        <f aca="false">IFERROR(IF(B25, F25/E25, 0),0)</f>
        <v>0</v>
      </c>
      <c r="H25" s="435" t="n">
        <f aca="false">F25-M25</f>
        <v>0</v>
      </c>
      <c r="I25" s="334"/>
      <c r="J25" s="335"/>
      <c r="K25" s="335"/>
      <c r="L25" s="336"/>
      <c r="M25" s="337"/>
      <c r="N25" s="338" t="n">
        <f aca="false">IFERROR(IF(I25, M25/L25, 0),0)</f>
        <v>0</v>
      </c>
      <c r="O25" s="435" t="n">
        <f aca="false">M25-T25</f>
        <v>0</v>
      </c>
      <c r="P25" s="339" t="str">
        <f aca="false">IF(I25&lt;&gt;"",I25,"")</f>
        <v/>
      </c>
      <c r="Q25" s="340" t="str">
        <f aca="false">IF(J25&lt;&gt;"",J25,"")</f>
        <v/>
      </c>
      <c r="R25" s="340" t="str">
        <f aca="false">IF(K25&lt;&gt;"",K25,"")</f>
        <v/>
      </c>
      <c r="S25" s="341" t="str">
        <f aca="false">IF(L25&lt;&gt;"",L25,"")</f>
        <v/>
      </c>
      <c r="T25" s="337"/>
      <c r="U25" s="338" t="n">
        <f aca="false">IFERROR(IF(P25, T25/S25, 0),0)</f>
        <v>0</v>
      </c>
      <c r="V25" s="302"/>
      <c r="W25" s="101"/>
      <c r="X25" s="45"/>
      <c r="Z25" s="490"/>
      <c r="AB25" s="490"/>
    </row>
    <row r="26" customFormat="false" ht="15" hidden="false" customHeight="true" outlineLevel="0" collapsed="false">
      <c r="A26" s="154" t="s">
        <v>555</v>
      </c>
      <c r="B26" s="334"/>
      <c r="C26" s="335"/>
      <c r="D26" s="335"/>
      <c r="E26" s="336"/>
      <c r="F26" s="337"/>
      <c r="G26" s="338" t="n">
        <f aca="false">IFERROR(IF(B26, F26/E26, 0),0)</f>
        <v>0</v>
      </c>
      <c r="H26" s="435" t="n">
        <f aca="false">F26-M26</f>
        <v>0</v>
      </c>
      <c r="I26" s="334"/>
      <c r="J26" s="335"/>
      <c r="K26" s="335"/>
      <c r="L26" s="336"/>
      <c r="M26" s="337"/>
      <c r="N26" s="338" t="n">
        <f aca="false">IFERROR(IF(I26, M26/L26, 0),0)</f>
        <v>0</v>
      </c>
      <c r="O26" s="435" t="n">
        <f aca="false">M26-T26</f>
        <v>0</v>
      </c>
      <c r="P26" s="339" t="str">
        <f aca="false">IF(I26&lt;&gt;"",I26,"")</f>
        <v/>
      </c>
      <c r="Q26" s="340" t="str">
        <f aca="false">IF(J26&lt;&gt;"",J26,"")</f>
        <v/>
      </c>
      <c r="R26" s="340" t="str">
        <f aca="false">IF(K26&lt;&gt;"",K26,"")</f>
        <v/>
      </c>
      <c r="S26" s="341" t="str">
        <f aca="false">IF(L26&lt;&gt;"",L26,"")</f>
        <v/>
      </c>
      <c r="T26" s="337"/>
      <c r="U26" s="338" t="n">
        <f aca="false">IFERROR(IF(P26, T26/S26, 0),0)</f>
        <v>0</v>
      </c>
      <c r="V26" s="302"/>
      <c r="W26" s="101"/>
      <c r="X26" s="45"/>
      <c r="Z26" s="490"/>
      <c r="AB26" s="490"/>
    </row>
    <row r="27" customFormat="false" ht="15" hidden="false" customHeight="true" outlineLevel="0" collapsed="false">
      <c r="A27" s="154" t="s">
        <v>556</v>
      </c>
      <c r="B27" s="334"/>
      <c r="C27" s="335"/>
      <c r="D27" s="335"/>
      <c r="E27" s="336"/>
      <c r="F27" s="337"/>
      <c r="G27" s="338" t="n">
        <f aca="false">IFERROR(IF(B27, F27/E27, 0),0)</f>
        <v>0</v>
      </c>
      <c r="H27" s="435" t="n">
        <f aca="false">F27-M27</f>
        <v>0</v>
      </c>
      <c r="I27" s="334"/>
      <c r="J27" s="335"/>
      <c r="K27" s="335"/>
      <c r="L27" s="336"/>
      <c r="M27" s="337"/>
      <c r="N27" s="338" t="n">
        <f aca="false">IFERROR(IF(I27, M27/L27, 0),0)</f>
        <v>0</v>
      </c>
      <c r="O27" s="435" t="n">
        <f aca="false">M27-T27</f>
        <v>0</v>
      </c>
      <c r="P27" s="339" t="str">
        <f aca="false">IF(I27&lt;&gt;"",I27,"")</f>
        <v/>
      </c>
      <c r="Q27" s="340" t="str">
        <f aca="false">IF(J27&lt;&gt;"",J27,"")</f>
        <v/>
      </c>
      <c r="R27" s="340" t="str">
        <f aca="false">IF(K27&lt;&gt;"",K27,"")</f>
        <v/>
      </c>
      <c r="S27" s="341" t="str">
        <f aca="false">IF(L27&lt;&gt;"",L27,"")</f>
        <v/>
      </c>
      <c r="T27" s="337"/>
      <c r="U27" s="338" t="n">
        <f aca="false">IFERROR(IF(P27, T27/S27, 0),0)</f>
        <v>0</v>
      </c>
      <c r="V27" s="302"/>
      <c r="W27" s="101"/>
      <c r="X27" s="45"/>
      <c r="Z27" s="490"/>
      <c r="AB27" s="490"/>
    </row>
    <row r="28" customFormat="false" ht="15" hidden="false" customHeight="true" outlineLevel="0" collapsed="false">
      <c r="A28" s="154" t="s">
        <v>554</v>
      </c>
      <c r="B28" s="334"/>
      <c r="C28" s="335"/>
      <c r="D28" s="335"/>
      <c r="E28" s="336"/>
      <c r="F28" s="337"/>
      <c r="G28" s="338" t="n">
        <f aca="false">IFERROR(IF(B28, F28/E28, 0),0)</f>
        <v>0</v>
      </c>
      <c r="H28" s="435" t="n">
        <f aca="false">F28-M28</f>
        <v>0</v>
      </c>
      <c r="I28" s="334"/>
      <c r="J28" s="335"/>
      <c r="K28" s="335"/>
      <c r="L28" s="336"/>
      <c r="M28" s="337"/>
      <c r="N28" s="338" t="n">
        <f aca="false">IFERROR(IF(I28, M28/L28, 0),0)</f>
        <v>0</v>
      </c>
      <c r="O28" s="435" t="n">
        <f aca="false">M28-T28</f>
        <v>0</v>
      </c>
      <c r="P28" s="339" t="str">
        <f aca="false">IF(I28&lt;&gt;"",I28,"")</f>
        <v/>
      </c>
      <c r="Q28" s="340" t="str">
        <f aca="false">IF(J28&lt;&gt;"",J28,"")</f>
        <v/>
      </c>
      <c r="R28" s="340" t="str">
        <f aca="false">IF(K28&lt;&gt;"",K28,"")</f>
        <v/>
      </c>
      <c r="S28" s="341" t="str">
        <f aca="false">IF(L28&lt;&gt;"",L28,"")</f>
        <v/>
      </c>
      <c r="T28" s="337"/>
      <c r="U28" s="338" t="n">
        <f aca="false">IFERROR(IF(P28, T28/S28, 0),0)</f>
        <v>0</v>
      </c>
      <c r="V28" s="302"/>
      <c r="W28" s="101"/>
      <c r="X28" s="45"/>
      <c r="Z28" s="490"/>
      <c r="AB28" s="490"/>
    </row>
    <row r="29" customFormat="false" ht="15" hidden="false" customHeight="true" outlineLevel="0" collapsed="false">
      <c r="A29" s="154" t="s">
        <v>556</v>
      </c>
      <c r="B29" s="334"/>
      <c r="C29" s="335"/>
      <c r="D29" s="335"/>
      <c r="E29" s="336"/>
      <c r="F29" s="337"/>
      <c r="G29" s="338" t="n">
        <f aca="false">IFERROR(IF(B29, F29/E29, 0),0)</f>
        <v>0</v>
      </c>
      <c r="H29" s="435" t="n">
        <f aca="false">F29-M29</f>
        <v>0</v>
      </c>
      <c r="I29" s="334"/>
      <c r="J29" s="335"/>
      <c r="K29" s="335"/>
      <c r="L29" s="336"/>
      <c r="M29" s="337"/>
      <c r="N29" s="338" t="n">
        <f aca="false">IFERROR(IF(I29, M29/L29, 0),0)</f>
        <v>0</v>
      </c>
      <c r="O29" s="435" t="n">
        <f aca="false">M29-T29</f>
        <v>0</v>
      </c>
      <c r="P29" s="339" t="str">
        <f aca="false">IF(I29&lt;&gt;"",I29,"")</f>
        <v/>
      </c>
      <c r="Q29" s="340" t="str">
        <f aca="false">IF(J29&lt;&gt;"",J29,"")</f>
        <v/>
      </c>
      <c r="R29" s="340" t="str">
        <f aca="false">IF(K29&lt;&gt;"",K29,"")</f>
        <v/>
      </c>
      <c r="S29" s="341" t="str">
        <f aca="false">IF(L29&lt;&gt;"",L29,"")</f>
        <v/>
      </c>
      <c r="T29" s="337"/>
      <c r="U29" s="338" t="n">
        <f aca="false">IFERROR(IF(P29, T29/S29, 0),0)</f>
        <v>0</v>
      </c>
      <c r="V29" s="302"/>
      <c r="W29" s="101"/>
      <c r="X29" s="45"/>
      <c r="Z29" s="490"/>
      <c r="AB29" s="490"/>
    </row>
    <row r="30" customFormat="false" ht="15" hidden="false" customHeight="true" outlineLevel="0" collapsed="false">
      <c r="A30" s="154" t="s">
        <v>555</v>
      </c>
      <c r="B30" s="334"/>
      <c r="C30" s="335"/>
      <c r="D30" s="335"/>
      <c r="E30" s="336"/>
      <c r="F30" s="337"/>
      <c r="G30" s="338" t="n">
        <f aca="false">IFERROR(IF(B30, F30/E30, 0),0)</f>
        <v>0</v>
      </c>
      <c r="H30" s="435" t="n">
        <f aca="false">F30-M30</f>
        <v>0</v>
      </c>
      <c r="I30" s="334"/>
      <c r="J30" s="335"/>
      <c r="K30" s="335"/>
      <c r="L30" s="336"/>
      <c r="M30" s="337"/>
      <c r="N30" s="338" t="n">
        <f aca="false">IFERROR(IF(I30, M30/L30, 0),0)</f>
        <v>0</v>
      </c>
      <c r="O30" s="435" t="n">
        <f aca="false">M30-T30</f>
        <v>0</v>
      </c>
      <c r="P30" s="339" t="str">
        <f aca="false">IF(I30&lt;&gt;"",I30,"")</f>
        <v/>
      </c>
      <c r="Q30" s="340" t="str">
        <f aca="false">IF(J30&lt;&gt;"",J30,"")</f>
        <v/>
      </c>
      <c r="R30" s="340" t="str">
        <f aca="false">IF(K30&lt;&gt;"",K30,"")</f>
        <v/>
      </c>
      <c r="S30" s="341" t="str">
        <f aca="false">IF(L30&lt;&gt;"",L30,"")</f>
        <v/>
      </c>
      <c r="T30" s="337"/>
      <c r="U30" s="338" t="n">
        <f aca="false">IFERROR(IF(P30, T30/S30, 0),0)</f>
        <v>0</v>
      </c>
      <c r="V30" s="302"/>
      <c r="W30" s="101"/>
      <c r="X30" s="45"/>
      <c r="Z30" s="490"/>
      <c r="AB30" s="490"/>
    </row>
    <row r="31" customFormat="false" ht="15" hidden="false" customHeight="true" outlineLevel="0" collapsed="false">
      <c r="A31" s="154" t="s">
        <v>553</v>
      </c>
      <c r="B31" s="334"/>
      <c r="C31" s="335"/>
      <c r="D31" s="335"/>
      <c r="E31" s="336"/>
      <c r="F31" s="337"/>
      <c r="G31" s="338" t="n">
        <f aca="false">IFERROR(IF(B31, F31/E31, 0),0)</f>
        <v>0</v>
      </c>
      <c r="H31" s="435" t="n">
        <f aca="false">F31-M31</f>
        <v>0</v>
      </c>
      <c r="I31" s="334"/>
      <c r="J31" s="335"/>
      <c r="K31" s="335"/>
      <c r="L31" s="336"/>
      <c r="M31" s="337"/>
      <c r="N31" s="338" t="n">
        <f aca="false">IFERROR(IF(I31, M31/L31, 0),0)</f>
        <v>0</v>
      </c>
      <c r="O31" s="435" t="n">
        <f aca="false">M31-T31</f>
        <v>0</v>
      </c>
      <c r="P31" s="339" t="str">
        <f aca="false">IF(I31&lt;&gt;"",I31,"")</f>
        <v/>
      </c>
      <c r="Q31" s="340" t="str">
        <f aca="false">IF(J31&lt;&gt;"",J31,"")</f>
        <v/>
      </c>
      <c r="R31" s="340" t="str">
        <f aca="false">IF(K31&lt;&gt;"",K31,"")</f>
        <v/>
      </c>
      <c r="S31" s="341" t="str">
        <f aca="false">IF(L31&lt;&gt;"",L31,"")</f>
        <v/>
      </c>
      <c r="T31" s="337"/>
      <c r="U31" s="338" t="n">
        <f aca="false">IFERROR(IF(P31, T31/S31, 0),0)</f>
        <v>0</v>
      </c>
      <c r="V31" s="302"/>
      <c r="W31" s="101"/>
      <c r="X31" s="45"/>
      <c r="Z31" s="490"/>
      <c r="AB31" s="490"/>
    </row>
    <row r="32" customFormat="false" ht="15" hidden="false" customHeight="true" outlineLevel="0" collapsed="false">
      <c r="A32" s="154" t="s">
        <v>554</v>
      </c>
      <c r="B32" s="334"/>
      <c r="C32" s="335"/>
      <c r="D32" s="335"/>
      <c r="E32" s="336"/>
      <c r="F32" s="337"/>
      <c r="G32" s="338" t="n">
        <f aca="false">IFERROR(IF(B32, F32/E32, 0),0)</f>
        <v>0</v>
      </c>
      <c r="H32" s="435" t="n">
        <f aca="false">F32-M32</f>
        <v>0</v>
      </c>
      <c r="I32" s="334"/>
      <c r="J32" s="335"/>
      <c r="K32" s="335"/>
      <c r="L32" s="336"/>
      <c r="M32" s="337"/>
      <c r="N32" s="338" t="n">
        <f aca="false">IFERROR(IF(I32, M32/L32, 0),0)</f>
        <v>0</v>
      </c>
      <c r="O32" s="435" t="n">
        <f aca="false">M32-T32</f>
        <v>0</v>
      </c>
      <c r="P32" s="339" t="str">
        <f aca="false">IF(I32&lt;&gt;"",I32,"")</f>
        <v/>
      </c>
      <c r="Q32" s="340" t="str">
        <f aca="false">IF(J32&lt;&gt;"",J32,"")</f>
        <v/>
      </c>
      <c r="R32" s="340" t="str">
        <f aca="false">IF(K32&lt;&gt;"",K32,"")</f>
        <v/>
      </c>
      <c r="S32" s="341" t="str">
        <f aca="false">IF(L32&lt;&gt;"",L32,"")</f>
        <v/>
      </c>
      <c r="T32" s="337"/>
      <c r="U32" s="338" t="n">
        <f aca="false">IFERROR(IF(P32, T32/S32, 0),0)</f>
        <v>0</v>
      </c>
      <c r="V32" s="302"/>
      <c r="W32" s="101"/>
      <c r="X32" s="45"/>
      <c r="Z32" s="490"/>
      <c r="AB32" s="490"/>
    </row>
    <row r="33" customFormat="false" ht="15" hidden="false" customHeight="true" outlineLevel="0" collapsed="false">
      <c r="A33" s="154" t="s">
        <v>556</v>
      </c>
      <c r="B33" s="334"/>
      <c r="C33" s="335"/>
      <c r="D33" s="335"/>
      <c r="E33" s="336"/>
      <c r="F33" s="337"/>
      <c r="G33" s="338" t="n">
        <f aca="false">IFERROR(IF(B33, F33/E33, 0),0)</f>
        <v>0</v>
      </c>
      <c r="H33" s="435" t="n">
        <f aca="false">F33-M33</f>
        <v>0</v>
      </c>
      <c r="I33" s="334"/>
      <c r="J33" s="335"/>
      <c r="K33" s="335"/>
      <c r="L33" s="336"/>
      <c r="M33" s="337"/>
      <c r="N33" s="338" t="n">
        <f aca="false">IFERROR(IF(I33, M33/L33, 0),0)</f>
        <v>0</v>
      </c>
      <c r="O33" s="435" t="n">
        <f aca="false">M33-T33</f>
        <v>0</v>
      </c>
      <c r="P33" s="339" t="str">
        <f aca="false">IF(I33&lt;&gt;"",I33,"")</f>
        <v/>
      </c>
      <c r="Q33" s="340" t="str">
        <f aca="false">IF(J33&lt;&gt;"",J33,"")</f>
        <v/>
      </c>
      <c r="R33" s="340" t="str">
        <f aca="false">IF(K33&lt;&gt;"",K33,"")</f>
        <v/>
      </c>
      <c r="S33" s="341" t="str">
        <f aca="false">IF(L33&lt;&gt;"",L33,"")</f>
        <v/>
      </c>
      <c r="T33" s="337"/>
      <c r="U33" s="338" t="n">
        <f aca="false">IFERROR(IF(P33, T33/S33, 0),0)</f>
        <v>0</v>
      </c>
      <c r="V33" s="302"/>
      <c r="W33" s="101"/>
      <c r="X33" s="45"/>
      <c r="Z33" s="490"/>
      <c r="AB33" s="490"/>
    </row>
    <row r="34" customFormat="false" ht="15" hidden="false" customHeight="true" outlineLevel="0" collapsed="false">
      <c r="A34" s="154" t="s">
        <v>555</v>
      </c>
      <c r="B34" s="334"/>
      <c r="C34" s="335"/>
      <c r="D34" s="335"/>
      <c r="E34" s="336"/>
      <c r="F34" s="337"/>
      <c r="G34" s="338" t="n">
        <f aca="false">IFERROR(IF(B34, F34/E34, 0),0)</f>
        <v>0</v>
      </c>
      <c r="H34" s="435" t="n">
        <f aca="false">F34-M34</f>
        <v>0</v>
      </c>
      <c r="I34" s="334"/>
      <c r="J34" s="335"/>
      <c r="K34" s="335"/>
      <c r="L34" s="336"/>
      <c r="M34" s="337"/>
      <c r="N34" s="338" t="n">
        <f aca="false">IFERROR(IF(I34, M34/L34, 0),0)</f>
        <v>0</v>
      </c>
      <c r="O34" s="435" t="n">
        <f aca="false">M34-T34</f>
        <v>0</v>
      </c>
      <c r="P34" s="339" t="str">
        <f aca="false">IF(I34&lt;&gt;"",I34,"")</f>
        <v/>
      </c>
      <c r="Q34" s="340" t="str">
        <f aca="false">IF(J34&lt;&gt;"",J34,"")</f>
        <v/>
      </c>
      <c r="R34" s="340" t="str">
        <f aca="false">IF(K34&lt;&gt;"",K34,"")</f>
        <v/>
      </c>
      <c r="S34" s="341" t="str">
        <f aca="false">IF(L34&lt;&gt;"",L34,"")</f>
        <v/>
      </c>
      <c r="T34" s="337"/>
      <c r="U34" s="338" t="n">
        <f aca="false">IFERROR(IF(P34, T34/S34, 0),0)</f>
        <v>0</v>
      </c>
      <c r="V34" s="302"/>
      <c r="W34" s="101"/>
      <c r="X34" s="45"/>
      <c r="Z34" s="490"/>
      <c r="AB34" s="490"/>
    </row>
    <row r="35" customFormat="false" ht="15" hidden="false" customHeight="true" outlineLevel="0" collapsed="false">
      <c r="B35" s="347" t="n">
        <f aca="false">SUM(B5:B34)</f>
        <v>80</v>
      </c>
      <c r="C35" s="348"/>
      <c r="D35" s="348"/>
      <c r="E35" s="349" t="n">
        <f aca="false">SUMPRODUCT(B5:B34, E5:E34)/B35</f>
        <v>1008</v>
      </c>
      <c r="F35" s="350" t="n">
        <f aca="false">SUMPRODUCT(B5:B34, F5:F34)/B35</f>
        <v>827</v>
      </c>
      <c r="G35" s="351" t="n">
        <f aca="false">IFERROR(F35/E35,0)</f>
        <v>0.820436507936508</v>
      </c>
      <c r="H35" s="491"/>
      <c r="I35" s="347" t="n">
        <f aca="false">SUM(I5:I34)</f>
        <v>80</v>
      </c>
      <c r="J35" s="348"/>
      <c r="K35" s="348"/>
      <c r="L35" s="349" t="n">
        <f aca="false">SUMPRODUCT(I5:I34, L5:L34)/I35</f>
        <v>1008</v>
      </c>
      <c r="M35" s="350" t="n">
        <f aca="false">SUMPRODUCT(I5:I34, M5:M34)/I35</f>
        <v>777.225</v>
      </c>
      <c r="N35" s="351" t="n">
        <f aca="false">IFERROR(M35/L35,0)</f>
        <v>0.771056547619048</v>
      </c>
      <c r="O35" s="491"/>
      <c r="P35" s="352" t="n">
        <f aca="false">SUM(P5:P34)</f>
        <v>80</v>
      </c>
      <c r="Q35" s="353"/>
      <c r="R35" s="353"/>
      <c r="S35" s="354" t="n">
        <f aca="false">SUMPRODUCT(P5:P34, S5:S34)/P35</f>
        <v>1008</v>
      </c>
      <c r="T35" s="350" t="n">
        <f aca="false">SUMPRODUCT(P5:P34, T5:T34)/P35</f>
        <v>775</v>
      </c>
      <c r="U35" s="351" t="n">
        <f aca="false">IFERROR(T35/S35,0)</f>
        <v>0.768849206349206</v>
      </c>
      <c r="V35" s="492" t="n">
        <v>0</v>
      </c>
      <c r="W35" s="493" t="n">
        <v>0</v>
      </c>
      <c r="X35" s="357" t="n">
        <v>0</v>
      </c>
    </row>
    <row r="36" customFormat="false" ht="15" hidden="false" customHeight="true" outlineLevel="0" collapsed="false">
      <c r="B36" s="494"/>
      <c r="C36" s="495"/>
      <c r="D36" s="495"/>
      <c r="E36" s="495"/>
      <c r="F36" s="495"/>
      <c r="G36" s="496"/>
      <c r="H36" s="495"/>
      <c r="I36" s="497"/>
      <c r="J36" s="359"/>
      <c r="K36" s="359"/>
      <c r="L36" s="360"/>
      <c r="M36" s="360"/>
      <c r="N36" s="361" t="n">
        <f aca="false">IFERROR(M36/L35,0)</f>
        <v>0</v>
      </c>
      <c r="O36" s="452"/>
      <c r="P36" s="362"/>
      <c r="Q36" s="363"/>
      <c r="R36" s="364"/>
      <c r="S36" s="365"/>
      <c r="T36" s="364"/>
      <c r="U36" s="361"/>
      <c r="V36" s="366"/>
      <c r="W36" s="146"/>
      <c r="X36" s="153"/>
    </row>
  </sheetData>
  <mergeCells count="3">
    <mergeCell ref="B1:G1"/>
    <mergeCell ref="I1:N1"/>
    <mergeCell ref="P1:X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T16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6" ySplit="4" topLeftCell="BO5" activePane="bottomRight" state="frozen"/>
      <selection pane="topLeft" activeCell="A1" activeCellId="0" sqref="A1"/>
      <selection pane="topRight" activeCell="BO1" activeCellId="0" sqref="BO1"/>
      <selection pane="bottomLeft" activeCell="A5" activeCellId="0" sqref="A5"/>
      <selection pane="bottomRight" activeCell="BS36" activeCellId="0" sqref="BS36"/>
    </sheetView>
  </sheetViews>
  <sheetFormatPr defaultColWidth="8.83203125" defaultRowHeight="13.5" zeroHeight="false" outlineLevelRow="1" outlineLevelCol="1"/>
  <cols>
    <col collapsed="false" customWidth="true" hidden="false" outlineLevel="0" max="1" min="1" style="10" width="2.67"/>
    <col collapsed="false" customWidth="true" hidden="false" outlineLevel="0" max="2" min="2" style="498" width="47.83"/>
    <col collapsed="false" customWidth="true" hidden="false" outlineLevel="0" max="4" min="3" style="10" width="12.67"/>
    <col collapsed="false" customWidth="true" hidden="false" outlineLevel="0" max="5" min="5" style="10" width="13"/>
    <col collapsed="false" customWidth="true" hidden="false" outlineLevel="0" max="6" min="6" style="10" width="2.67"/>
    <col collapsed="false" customWidth="true" hidden="false" outlineLevel="0" max="7" min="7" style="10" width="12.67"/>
    <col collapsed="false" customWidth="true" hidden="false" outlineLevel="1" max="139" min="8" style="10" width="12.67"/>
    <col collapsed="false" customWidth="true" hidden="false" outlineLevel="0" max="140" min="140" style="10" width="2.67"/>
    <col collapsed="false" customWidth="true" hidden="false" outlineLevel="0" max="145" min="141" style="10" width="13"/>
    <col collapsed="false" customWidth="true" hidden="false" outlineLevel="0" max="150" min="146" style="10" width="12.5"/>
    <col collapsed="false" customWidth="false" hidden="false" outlineLevel="0" max="16384" min="151" style="10" width="8.83"/>
  </cols>
  <sheetData>
    <row r="2" s="504" customFormat="true" ht="13.5" hidden="false" customHeight="true" outlineLevel="0" collapsed="false">
      <c r="A2" s="332"/>
      <c r="B2" s="455" t="str">
        <f aca="false">'Executive Summary'!B2</f>
        <v>Riverhill TH</v>
      </c>
      <c r="C2" s="499"/>
      <c r="D2" s="499"/>
      <c r="E2" s="500"/>
      <c r="F2" s="400"/>
      <c r="G2" s="501" t="n">
        <v>43160</v>
      </c>
      <c r="H2" s="502" t="n">
        <f aca="false">EDATE(G2,1)</f>
        <v>43191</v>
      </c>
      <c r="I2" s="502" t="n">
        <f aca="false">EDATE(H2,1)</f>
        <v>43221</v>
      </c>
      <c r="J2" s="502" t="n">
        <f aca="false">EDATE(I2,1)</f>
        <v>43252</v>
      </c>
      <c r="K2" s="502" t="n">
        <f aca="false">EDATE(J2,1)</f>
        <v>43282</v>
      </c>
      <c r="L2" s="502" t="n">
        <f aca="false">EDATE(K2,1)</f>
        <v>43313</v>
      </c>
      <c r="M2" s="502" t="n">
        <f aca="false">EDATE(L2,1)</f>
        <v>43344</v>
      </c>
      <c r="N2" s="502" t="n">
        <f aca="false">EDATE(M2,1)</f>
        <v>43374</v>
      </c>
      <c r="O2" s="502" t="n">
        <f aca="false">EDATE(N2,1)</f>
        <v>43405</v>
      </c>
      <c r="P2" s="502" t="n">
        <f aca="false">EDATE(O2,1)</f>
        <v>43435</v>
      </c>
      <c r="Q2" s="502" t="n">
        <f aca="false">EDATE(P2,1)</f>
        <v>43466</v>
      </c>
      <c r="R2" s="502" t="n">
        <f aca="false">EDATE(Q2,1)</f>
        <v>43497</v>
      </c>
      <c r="S2" s="503" t="n">
        <f aca="false">EDATE(R2,1)</f>
        <v>43525</v>
      </c>
      <c r="T2" s="502" t="n">
        <f aca="false">EDATE(S2,1)</f>
        <v>43556</v>
      </c>
      <c r="U2" s="502" t="n">
        <f aca="false">EDATE(T2,1)</f>
        <v>43586</v>
      </c>
      <c r="V2" s="502" t="n">
        <f aca="false">EDATE(U2,1)</f>
        <v>43617</v>
      </c>
      <c r="W2" s="502" t="n">
        <f aca="false">EDATE(V2,1)</f>
        <v>43647</v>
      </c>
      <c r="X2" s="502" t="n">
        <f aca="false">EDATE(W2,1)</f>
        <v>43678</v>
      </c>
      <c r="Y2" s="502" t="n">
        <f aca="false">EDATE(X2,1)</f>
        <v>43709</v>
      </c>
      <c r="Z2" s="502" t="n">
        <f aca="false">EDATE(Y2,1)</f>
        <v>43739</v>
      </c>
      <c r="AA2" s="502" t="n">
        <f aca="false">EDATE(Z2,1)</f>
        <v>43770</v>
      </c>
      <c r="AB2" s="502" t="n">
        <f aca="false">EDATE(AA2,1)</f>
        <v>43800</v>
      </c>
      <c r="AC2" s="502" t="n">
        <f aca="false">EDATE(AB2,1)</f>
        <v>43831</v>
      </c>
      <c r="AD2" s="502" t="n">
        <f aca="false">EDATE(AC2,1)</f>
        <v>43862</v>
      </c>
      <c r="AE2" s="503" t="n">
        <f aca="false">EDATE(AD2,1)</f>
        <v>43891</v>
      </c>
      <c r="AF2" s="502" t="n">
        <f aca="false">EDATE(AE2,1)</f>
        <v>43922</v>
      </c>
      <c r="AG2" s="502" t="n">
        <f aca="false">EDATE(AF2,1)</f>
        <v>43952</v>
      </c>
      <c r="AH2" s="502" t="n">
        <f aca="false">EDATE(AG2,1)</f>
        <v>43983</v>
      </c>
      <c r="AI2" s="502" t="n">
        <f aca="false">EDATE(AH2,1)</f>
        <v>44013</v>
      </c>
      <c r="AJ2" s="502" t="n">
        <f aca="false">EDATE(AI2,1)</f>
        <v>44044</v>
      </c>
      <c r="AK2" s="502" t="n">
        <f aca="false">EDATE(AJ2,1)</f>
        <v>44075</v>
      </c>
      <c r="AL2" s="502" t="n">
        <f aca="false">EDATE(AK2,1)</f>
        <v>44105</v>
      </c>
      <c r="AM2" s="502" t="n">
        <f aca="false">EDATE(AL2,1)</f>
        <v>44136</v>
      </c>
      <c r="AN2" s="502" t="n">
        <f aca="false">EDATE(AM2,1)</f>
        <v>44166</v>
      </c>
      <c r="AO2" s="502" t="n">
        <f aca="false">EDATE(AN2,1)</f>
        <v>44197</v>
      </c>
      <c r="AP2" s="502" t="n">
        <f aca="false">EDATE(AO2,1)</f>
        <v>44228</v>
      </c>
      <c r="AQ2" s="503" t="n">
        <f aca="false">EDATE(AP2,1)</f>
        <v>44256</v>
      </c>
      <c r="AR2" s="502" t="n">
        <f aca="false">EDATE(AQ2,1)</f>
        <v>44287</v>
      </c>
      <c r="AS2" s="502" t="n">
        <f aca="false">EDATE(AR2,1)</f>
        <v>44317</v>
      </c>
      <c r="AT2" s="502" t="n">
        <f aca="false">EDATE(AS2,1)</f>
        <v>44348</v>
      </c>
      <c r="AU2" s="502" t="n">
        <f aca="false">EDATE(AT2,1)</f>
        <v>44378</v>
      </c>
      <c r="AV2" s="502" t="n">
        <f aca="false">EDATE(AU2,1)</f>
        <v>44409</v>
      </c>
      <c r="AW2" s="502" t="n">
        <f aca="false">EDATE(AV2,1)</f>
        <v>44440</v>
      </c>
      <c r="AX2" s="502" t="n">
        <f aca="false">EDATE(AW2,1)</f>
        <v>44470</v>
      </c>
      <c r="AY2" s="502" t="n">
        <f aca="false">EDATE(AX2,1)</f>
        <v>44501</v>
      </c>
      <c r="AZ2" s="502" t="n">
        <f aca="false">EDATE(AY2,1)</f>
        <v>44531</v>
      </c>
      <c r="BA2" s="502" t="n">
        <f aca="false">EDATE(AZ2,1)</f>
        <v>44562</v>
      </c>
      <c r="BB2" s="502" t="n">
        <f aca="false">EDATE(BA2,1)</f>
        <v>44593</v>
      </c>
      <c r="BC2" s="503" t="n">
        <f aca="false">EDATE(BB2,1)</f>
        <v>44621</v>
      </c>
      <c r="BD2" s="502" t="n">
        <f aca="false">EDATE(BC2,1)</f>
        <v>44652</v>
      </c>
      <c r="BE2" s="502" t="n">
        <f aca="false">EDATE(BD2,1)</f>
        <v>44682</v>
      </c>
      <c r="BF2" s="502" t="n">
        <f aca="false">EDATE(BE2,1)</f>
        <v>44713</v>
      </c>
      <c r="BG2" s="502" t="n">
        <f aca="false">EDATE(BF2,1)</f>
        <v>44743</v>
      </c>
      <c r="BH2" s="502" t="n">
        <f aca="false">EDATE(BG2,1)</f>
        <v>44774</v>
      </c>
      <c r="BI2" s="502" t="n">
        <f aca="false">EDATE(BH2,1)</f>
        <v>44805</v>
      </c>
      <c r="BJ2" s="502" t="n">
        <f aca="false">EDATE(BI2,1)</f>
        <v>44835</v>
      </c>
      <c r="BK2" s="502" t="n">
        <f aca="false">EDATE(BJ2,1)</f>
        <v>44866</v>
      </c>
      <c r="BL2" s="502" t="n">
        <f aca="false">EDATE(BK2,1)</f>
        <v>44896</v>
      </c>
      <c r="BM2" s="502" t="n">
        <f aca="false">EDATE(BL2,1)</f>
        <v>44927</v>
      </c>
      <c r="BN2" s="502" t="n">
        <f aca="false">EDATE(BM2,1)</f>
        <v>44958</v>
      </c>
      <c r="BO2" s="503" t="n">
        <f aca="false">EDATE(BN2,1)</f>
        <v>44986</v>
      </c>
      <c r="BP2" s="502" t="n">
        <f aca="false">EDATE(BO2,1)</f>
        <v>45017</v>
      </c>
      <c r="BQ2" s="502" t="n">
        <f aca="false">EDATE(BP2,1)</f>
        <v>45047</v>
      </c>
      <c r="BR2" s="502" t="n">
        <f aca="false">EDATE(BQ2,1)</f>
        <v>45078</v>
      </c>
      <c r="BS2" s="502" t="n">
        <f aca="false">EDATE(BR2,1)</f>
        <v>45108</v>
      </c>
      <c r="BT2" s="502" t="n">
        <f aca="false">EDATE(BS2,1)</f>
        <v>45139</v>
      </c>
      <c r="BU2" s="502" t="n">
        <f aca="false">EDATE(BT2,1)</f>
        <v>45170</v>
      </c>
      <c r="BV2" s="502" t="n">
        <f aca="false">EDATE(BU2,1)</f>
        <v>45200</v>
      </c>
      <c r="BW2" s="502" t="n">
        <f aca="false">EDATE(BV2,1)</f>
        <v>45231</v>
      </c>
      <c r="BX2" s="502" t="n">
        <f aca="false">EDATE(BW2,1)</f>
        <v>45261</v>
      </c>
      <c r="BY2" s="502" t="n">
        <f aca="false">EDATE(BX2,1)</f>
        <v>45292</v>
      </c>
      <c r="BZ2" s="502" t="n">
        <f aca="false">EDATE(BY2,1)</f>
        <v>45323</v>
      </c>
      <c r="CA2" s="503" t="n">
        <f aca="false">EDATE(BZ2,1)</f>
        <v>45352</v>
      </c>
      <c r="CB2" s="502" t="n">
        <f aca="false">EDATE(CA2,1)</f>
        <v>45383</v>
      </c>
      <c r="CC2" s="502" t="n">
        <f aca="false">EDATE(CB2,1)</f>
        <v>45413</v>
      </c>
      <c r="CD2" s="502" t="n">
        <f aca="false">EDATE(CC2,1)</f>
        <v>45444</v>
      </c>
      <c r="CE2" s="502" t="n">
        <f aca="false">EDATE(CD2,1)</f>
        <v>45474</v>
      </c>
      <c r="CF2" s="502" t="n">
        <f aca="false">EDATE(CE2,1)</f>
        <v>45505</v>
      </c>
      <c r="CG2" s="502" t="n">
        <f aca="false">EDATE(CF2,1)</f>
        <v>45536</v>
      </c>
      <c r="CH2" s="502" t="n">
        <f aca="false">EDATE(CG2,1)</f>
        <v>45566</v>
      </c>
      <c r="CI2" s="502" t="n">
        <f aca="false">EDATE(CH2,1)</f>
        <v>45597</v>
      </c>
      <c r="CJ2" s="502" t="n">
        <f aca="false">EDATE(CI2,1)</f>
        <v>45627</v>
      </c>
      <c r="CK2" s="502" t="n">
        <f aca="false">EDATE(CJ2,1)</f>
        <v>45658</v>
      </c>
      <c r="CL2" s="502" t="n">
        <f aca="false">EDATE(CK2,1)</f>
        <v>45689</v>
      </c>
      <c r="CM2" s="503" t="n">
        <f aca="false">EDATE(CL2,1)</f>
        <v>45717</v>
      </c>
      <c r="CN2" s="502" t="n">
        <f aca="false">EDATE(CM2,1)</f>
        <v>45748</v>
      </c>
      <c r="CO2" s="502" t="n">
        <f aca="false">EDATE(CN2,1)</f>
        <v>45778</v>
      </c>
      <c r="CP2" s="502" t="n">
        <f aca="false">EDATE(CO2,1)</f>
        <v>45809</v>
      </c>
      <c r="CQ2" s="502" t="n">
        <f aca="false">EDATE(CP2,1)</f>
        <v>45839</v>
      </c>
      <c r="CR2" s="502" t="n">
        <f aca="false">EDATE(CQ2,1)</f>
        <v>45870</v>
      </c>
      <c r="CS2" s="502" t="n">
        <f aca="false">EDATE(CR2,1)</f>
        <v>45901</v>
      </c>
      <c r="CT2" s="502" t="n">
        <f aca="false">EDATE(CS2,1)</f>
        <v>45931</v>
      </c>
      <c r="CU2" s="502" t="n">
        <f aca="false">EDATE(CT2,1)</f>
        <v>45962</v>
      </c>
      <c r="CV2" s="502" t="n">
        <f aca="false">EDATE(CU2,1)</f>
        <v>45992</v>
      </c>
      <c r="CW2" s="502" t="n">
        <f aca="false">EDATE(CV2,1)</f>
        <v>46023</v>
      </c>
      <c r="CX2" s="502" t="n">
        <f aca="false">EDATE(CW2,1)</f>
        <v>46054</v>
      </c>
      <c r="CY2" s="503" t="n">
        <f aca="false">EDATE(CX2,1)</f>
        <v>46082</v>
      </c>
      <c r="CZ2" s="502" t="n">
        <f aca="false">EDATE(CY2,1)</f>
        <v>46113</v>
      </c>
      <c r="DA2" s="502" t="n">
        <f aca="false">EDATE(CZ2,1)</f>
        <v>46143</v>
      </c>
      <c r="DB2" s="502" t="n">
        <f aca="false">EDATE(DA2,1)</f>
        <v>46174</v>
      </c>
      <c r="DC2" s="502" t="n">
        <f aca="false">EDATE(DB2,1)</f>
        <v>46204</v>
      </c>
      <c r="DD2" s="502" t="n">
        <f aca="false">EDATE(DC2,1)</f>
        <v>46235</v>
      </c>
      <c r="DE2" s="502" t="n">
        <f aca="false">EDATE(DD2,1)</f>
        <v>46266</v>
      </c>
      <c r="DF2" s="502" t="n">
        <f aca="false">EDATE(DE2,1)</f>
        <v>46296</v>
      </c>
      <c r="DG2" s="502" t="n">
        <f aca="false">EDATE(DF2,1)</f>
        <v>46327</v>
      </c>
      <c r="DH2" s="502" t="n">
        <f aca="false">EDATE(DG2,1)</f>
        <v>46357</v>
      </c>
      <c r="DI2" s="502" t="n">
        <f aca="false">EDATE(DH2,1)</f>
        <v>46388</v>
      </c>
      <c r="DJ2" s="502" t="n">
        <f aca="false">EDATE(DI2,1)</f>
        <v>46419</v>
      </c>
      <c r="DK2" s="503" t="n">
        <f aca="false">EDATE(DJ2,1)</f>
        <v>46447</v>
      </c>
      <c r="DL2" s="502" t="n">
        <f aca="false">EDATE(DK2,1)</f>
        <v>46478</v>
      </c>
      <c r="DM2" s="502" t="n">
        <f aca="false">EDATE(DL2,1)</f>
        <v>46508</v>
      </c>
      <c r="DN2" s="502" t="n">
        <f aca="false">EDATE(DM2,1)</f>
        <v>46539</v>
      </c>
      <c r="DO2" s="502" t="n">
        <f aca="false">EDATE(DN2,1)</f>
        <v>46569</v>
      </c>
      <c r="DP2" s="502" t="n">
        <f aca="false">EDATE(DO2,1)</f>
        <v>46600</v>
      </c>
      <c r="DQ2" s="502" t="n">
        <f aca="false">EDATE(DP2,1)</f>
        <v>46631</v>
      </c>
      <c r="DR2" s="502" t="n">
        <f aca="false">EDATE(DQ2,1)</f>
        <v>46661</v>
      </c>
      <c r="DS2" s="502" t="n">
        <f aca="false">EDATE(DR2,1)</f>
        <v>46692</v>
      </c>
      <c r="DT2" s="502" t="n">
        <f aca="false">EDATE(DS2,1)</f>
        <v>46722</v>
      </c>
      <c r="DU2" s="502" t="n">
        <f aca="false">EDATE(DT2,1)</f>
        <v>46753</v>
      </c>
      <c r="DV2" s="502" t="n">
        <f aca="false">EDATE(DU2,1)</f>
        <v>46784</v>
      </c>
      <c r="DW2" s="502" t="n">
        <f aca="false">EDATE(DV2,1)</f>
        <v>46813</v>
      </c>
      <c r="DX2" s="502" t="n">
        <f aca="false">EDATE(DW2,1)</f>
        <v>46844</v>
      </c>
      <c r="DY2" s="502" t="n">
        <f aca="false">EDATE(DX2,1)</f>
        <v>46874</v>
      </c>
      <c r="DZ2" s="502" t="n">
        <f aca="false">EDATE(DY2,1)</f>
        <v>46905</v>
      </c>
      <c r="EA2" s="502" t="n">
        <f aca="false">EDATE(DZ2,1)</f>
        <v>46935</v>
      </c>
      <c r="EB2" s="502" t="n">
        <f aca="false">EDATE(EA2,1)</f>
        <v>46966</v>
      </c>
      <c r="EC2" s="502" t="n">
        <f aca="false">EDATE(EB2,1)</f>
        <v>46997</v>
      </c>
      <c r="ED2" s="502" t="n">
        <f aca="false">EDATE(EC2,1)</f>
        <v>47027</v>
      </c>
      <c r="EE2" s="502" t="n">
        <f aca="false">EDATE(ED2,1)</f>
        <v>47058</v>
      </c>
      <c r="EF2" s="502" t="n">
        <f aca="false">EDATE(EE2,1)</f>
        <v>47088</v>
      </c>
      <c r="EG2" s="502" t="n">
        <f aca="false">EDATE(EF2,1)</f>
        <v>47119</v>
      </c>
      <c r="EH2" s="502" t="n">
        <f aca="false">EDATE(EG2,1)</f>
        <v>47150</v>
      </c>
      <c r="EI2" s="502" t="n">
        <f aca="false">EDATE(EH2,1)</f>
        <v>47178</v>
      </c>
    </row>
    <row r="3" s="332" customFormat="true" ht="13.5" hidden="false" customHeight="true" outlineLevel="0" collapsed="false">
      <c r="B3" s="114" t="s">
        <v>557</v>
      </c>
      <c r="C3" s="400"/>
      <c r="D3" s="400"/>
      <c r="E3" s="505" t="n">
        <f aca="false">'Executive Summary'!I13/12</f>
        <v>5</v>
      </c>
      <c r="F3" s="400"/>
      <c r="G3" s="506" t="n">
        <v>0</v>
      </c>
      <c r="H3" s="506" t="n">
        <v>1</v>
      </c>
      <c r="I3" s="506" t="n">
        <v>1</v>
      </c>
      <c r="J3" s="506" t="n">
        <v>1</v>
      </c>
      <c r="K3" s="506" t="n">
        <v>1</v>
      </c>
      <c r="L3" s="506" t="n">
        <v>1</v>
      </c>
      <c r="M3" s="506" t="n">
        <v>1</v>
      </c>
      <c r="N3" s="506" t="n">
        <v>1</v>
      </c>
      <c r="O3" s="506" t="n">
        <v>1</v>
      </c>
      <c r="P3" s="506" t="n">
        <v>1</v>
      </c>
      <c r="Q3" s="506" t="n">
        <v>1</v>
      </c>
      <c r="R3" s="506" t="n">
        <v>1</v>
      </c>
      <c r="S3" s="507" t="n">
        <v>1</v>
      </c>
      <c r="T3" s="506" t="n">
        <v>2</v>
      </c>
      <c r="U3" s="506" t="n">
        <v>2</v>
      </c>
      <c r="V3" s="506" t="n">
        <v>2</v>
      </c>
      <c r="W3" s="506" t="n">
        <v>2</v>
      </c>
      <c r="X3" s="506" t="n">
        <v>2</v>
      </c>
      <c r="Y3" s="506" t="n">
        <v>2</v>
      </c>
      <c r="Z3" s="506" t="n">
        <v>2</v>
      </c>
      <c r="AA3" s="506" t="n">
        <v>2</v>
      </c>
      <c r="AB3" s="506" t="n">
        <v>2</v>
      </c>
      <c r="AC3" s="506" t="n">
        <v>2</v>
      </c>
      <c r="AD3" s="506" t="n">
        <v>2</v>
      </c>
      <c r="AE3" s="507" t="n">
        <v>2</v>
      </c>
      <c r="AF3" s="506" t="n">
        <v>3</v>
      </c>
      <c r="AG3" s="506" t="n">
        <v>3</v>
      </c>
      <c r="AH3" s="506" t="n">
        <v>3</v>
      </c>
      <c r="AI3" s="506" t="n">
        <v>3</v>
      </c>
      <c r="AJ3" s="506" t="n">
        <v>3</v>
      </c>
      <c r="AK3" s="506" t="n">
        <v>3</v>
      </c>
      <c r="AL3" s="506" t="n">
        <v>3</v>
      </c>
      <c r="AM3" s="506" t="n">
        <v>3</v>
      </c>
      <c r="AN3" s="506" t="n">
        <v>3</v>
      </c>
      <c r="AO3" s="506" t="n">
        <v>3</v>
      </c>
      <c r="AP3" s="506" t="n">
        <v>3</v>
      </c>
      <c r="AQ3" s="507" t="n">
        <v>3</v>
      </c>
      <c r="AR3" s="506" t="n">
        <v>4</v>
      </c>
      <c r="AS3" s="506" t="n">
        <v>4</v>
      </c>
      <c r="AT3" s="506" t="n">
        <v>4</v>
      </c>
      <c r="AU3" s="506" t="n">
        <v>4</v>
      </c>
      <c r="AV3" s="506" t="n">
        <v>4</v>
      </c>
      <c r="AW3" s="506" t="n">
        <v>4</v>
      </c>
      <c r="AX3" s="506" t="n">
        <v>4</v>
      </c>
      <c r="AY3" s="506" t="n">
        <v>4</v>
      </c>
      <c r="AZ3" s="506" t="n">
        <v>4</v>
      </c>
      <c r="BA3" s="506" t="n">
        <v>4</v>
      </c>
      <c r="BB3" s="506" t="n">
        <v>4</v>
      </c>
      <c r="BC3" s="507" t="n">
        <v>4</v>
      </c>
      <c r="BD3" s="506" t="n">
        <v>5</v>
      </c>
      <c r="BE3" s="506" t="n">
        <v>5</v>
      </c>
      <c r="BF3" s="506" t="n">
        <v>5</v>
      </c>
      <c r="BG3" s="506" t="n">
        <v>5</v>
      </c>
      <c r="BH3" s="506" t="n">
        <v>5</v>
      </c>
      <c r="BI3" s="506" t="n">
        <v>5</v>
      </c>
      <c r="BJ3" s="506" t="n">
        <v>5</v>
      </c>
      <c r="BK3" s="506" t="n">
        <v>5</v>
      </c>
      <c r="BL3" s="506" t="n">
        <v>5</v>
      </c>
      <c r="BM3" s="506" t="n">
        <v>5</v>
      </c>
      <c r="BN3" s="506" t="n">
        <v>5</v>
      </c>
      <c r="BO3" s="507" t="n">
        <v>5</v>
      </c>
      <c r="BP3" s="506" t="n">
        <v>6</v>
      </c>
      <c r="BQ3" s="506" t="n">
        <v>6</v>
      </c>
      <c r="BR3" s="506" t="n">
        <v>6</v>
      </c>
      <c r="BS3" s="506" t="n">
        <v>6</v>
      </c>
      <c r="BT3" s="506" t="n">
        <v>6</v>
      </c>
      <c r="BU3" s="506" t="n">
        <v>6</v>
      </c>
      <c r="BV3" s="506" t="n">
        <v>6</v>
      </c>
      <c r="BW3" s="506" t="n">
        <v>6</v>
      </c>
      <c r="BX3" s="506" t="n">
        <v>6</v>
      </c>
      <c r="BY3" s="506" t="n">
        <v>6</v>
      </c>
      <c r="BZ3" s="506" t="n">
        <v>6</v>
      </c>
      <c r="CA3" s="507" t="n">
        <v>6</v>
      </c>
      <c r="CB3" s="506" t="n">
        <v>7</v>
      </c>
      <c r="CC3" s="506" t="n">
        <v>7</v>
      </c>
      <c r="CD3" s="506" t="n">
        <v>7</v>
      </c>
      <c r="CE3" s="506" t="n">
        <v>7</v>
      </c>
      <c r="CF3" s="506" t="n">
        <v>7</v>
      </c>
      <c r="CG3" s="506" t="n">
        <v>7</v>
      </c>
      <c r="CH3" s="506" t="n">
        <v>7</v>
      </c>
      <c r="CI3" s="506" t="n">
        <v>7</v>
      </c>
      <c r="CJ3" s="506" t="n">
        <v>7</v>
      </c>
      <c r="CK3" s="506" t="n">
        <v>7</v>
      </c>
      <c r="CL3" s="506" t="n">
        <v>7</v>
      </c>
      <c r="CM3" s="507" t="n">
        <v>7</v>
      </c>
      <c r="CN3" s="506" t="n">
        <v>8</v>
      </c>
      <c r="CO3" s="506" t="n">
        <v>8</v>
      </c>
      <c r="CP3" s="506" t="n">
        <v>8</v>
      </c>
      <c r="CQ3" s="506" t="n">
        <v>8</v>
      </c>
      <c r="CR3" s="506" t="n">
        <v>8</v>
      </c>
      <c r="CS3" s="506" t="n">
        <v>8</v>
      </c>
      <c r="CT3" s="506" t="n">
        <v>8</v>
      </c>
      <c r="CU3" s="506" t="n">
        <v>8</v>
      </c>
      <c r="CV3" s="506" t="n">
        <v>8</v>
      </c>
      <c r="CW3" s="506" t="n">
        <v>8</v>
      </c>
      <c r="CX3" s="506" t="n">
        <v>8</v>
      </c>
      <c r="CY3" s="507" t="n">
        <v>8</v>
      </c>
      <c r="CZ3" s="506" t="n">
        <v>9</v>
      </c>
      <c r="DA3" s="506" t="n">
        <v>9</v>
      </c>
      <c r="DB3" s="506" t="n">
        <v>9</v>
      </c>
      <c r="DC3" s="506" t="n">
        <v>9</v>
      </c>
      <c r="DD3" s="506" t="n">
        <v>9</v>
      </c>
      <c r="DE3" s="506" t="n">
        <v>9</v>
      </c>
      <c r="DF3" s="506" t="n">
        <v>9</v>
      </c>
      <c r="DG3" s="506" t="n">
        <v>9</v>
      </c>
      <c r="DH3" s="506" t="n">
        <v>9</v>
      </c>
      <c r="DI3" s="506" t="n">
        <v>9</v>
      </c>
      <c r="DJ3" s="506" t="n">
        <v>9</v>
      </c>
      <c r="DK3" s="507" t="n">
        <v>9</v>
      </c>
      <c r="DL3" s="506" t="n">
        <v>10</v>
      </c>
      <c r="DM3" s="506" t="n">
        <v>10</v>
      </c>
      <c r="DN3" s="506" t="n">
        <v>10</v>
      </c>
      <c r="DO3" s="506" t="n">
        <v>10</v>
      </c>
      <c r="DP3" s="506" t="n">
        <v>10</v>
      </c>
      <c r="DQ3" s="506" t="n">
        <v>10</v>
      </c>
      <c r="DR3" s="506" t="n">
        <v>10</v>
      </c>
      <c r="DS3" s="506" t="n">
        <v>10</v>
      </c>
      <c r="DT3" s="506" t="n">
        <v>10</v>
      </c>
      <c r="DU3" s="506" t="n">
        <v>10</v>
      </c>
      <c r="DV3" s="506" t="n">
        <v>10</v>
      </c>
      <c r="DW3" s="506" t="n">
        <v>10</v>
      </c>
      <c r="DX3" s="506" t="n">
        <v>11</v>
      </c>
      <c r="DY3" s="506" t="n">
        <v>11</v>
      </c>
      <c r="DZ3" s="506" t="n">
        <v>11</v>
      </c>
      <c r="EA3" s="506" t="n">
        <v>11</v>
      </c>
      <c r="EB3" s="506" t="n">
        <v>11</v>
      </c>
      <c r="EC3" s="506" t="n">
        <v>11</v>
      </c>
      <c r="ED3" s="506" t="n">
        <v>11</v>
      </c>
      <c r="EE3" s="506" t="n">
        <v>11</v>
      </c>
      <c r="EF3" s="506" t="n">
        <v>11</v>
      </c>
      <c r="EG3" s="506" t="n">
        <v>11</v>
      </c>
      <c r="EH3" s="506" t="n">
        <v>11</v>
      </c>
      <c r="EI3" s="506" t="n">
        <v>11</v>
      </c>
    </row>
    <row r="4" s="332" customFormat="true" ht="13.5" hidden="false" customHeight="true" outlineLevel="0" collapsed="false">
      <c r="B4" s="508"/>
      <c r="C4" s="400"/>
      <c r="D4" s="400"/>
      <c r="E4" s="509"/>
      <c r="F4" s="400"/>
      <c r="G4" s="510" t="n">
        <v>0</v>
      </c>
      <c r="H4" s="510" t="n">
        <v>1</v>
      </c>
      <c r="I4" s="510" t="n">
        <v>2</v>
      </c>
      <c r="J4" s="510" t="n">
        <v>3</v>
      </c>
      <c r="K4" s="510" t="n">
        <v>4</v>
      </c>
      <c r="L4" s="510" t="n">
        <v>5</v>
      </c>
      <c r="M4" s="510" t="n">
        <v>6</v>
      </c>
      <c r="N4" s="510" t="n">
        <v>7</v>
      </c>
      <c r="O4" s="510" t="n">
        <v>8</v>
      </c>
      <c r="P4" s="510" t="n">
        <v>9</v>
      </c>
      <c r="Q4" s="510" t="n">
        <v>10</v>
      </c>
      <c r="R4" s="510" t="n">
        <v>11</v>
      </c>
      <c r="S4" s="511" t="n">
        <v>12</v>
      </c>
      <c r="T4" s="510" t="n">
        <v>13</v>
      </c>
      <c r="U4" s="510" t="n">
        <v>14</v>
      </c>
      <c r="V4" s="510" t="n">
        <v>15</v>
      </c>
      <c r="W4" s="510" t="n">
        <v>16</v>
      </c>
      <c r="X4" s="510" t="n">
        <v>17</v>
      </c>
      <c r="Y4" s="510" t="n">
        <v>18</v>
      </c>
      <c r="Z4" s="510" t="n">
        <v>19</v>
      </c>
      <c r="AA4" s="510" t="n">
        <v>20</v>
      </c>
      <c r="AB4" s="510" t="n">
        <v>21</v>
      </c>
      <c r="AC4" s="510" t="n">
        <v>22</v>
      </c>
      <c r="AD4" s="510" t="n">
        <v>23</v>
      </c>
      <c r="AE4" s="511" t="n">
        <v>24</v>
      </c>
      <c r="AF4" s="510" t="n">
        <v>25</v>
      </c>
      <c r="AG4" s="510" t="n">
        <v>26</v>
      </c>
      <c r="AH4" s="510" t="n">
        <v>27</v>
      </c>
      <c r="AI4" s="510" t="n">
        <v>28</v>
      </c>
      <c r="AJ4" s="510" t="n">
        <v>29</v>
      </c>
      <c r="AK4" s="510" t="n">
        <v>30</v>
      </c>
      <c r="AL4" s="510" t="n">
        <v>31</v>
      </c>
      <c r="AM4" s="510" t="n">
        <v>32</v>
      </c>
      <c r="AN4" s="510" t="n">
        <v>33</v>
      </c>
      <c r="AO4" s="510" t="n">
        <v>34</v>
      </c>
      <c r="AP4" s="510" t="n">
        <v>35</v>
      </c>
      <c r="AQ4" s="511" t="n">
        <v>36</v>
      </c>
      <c r="AR4" s="510" t="n">
        <v>37</v>
      </c>
      <c r="AS4" s="510" t="n">
        <v>38</v>
      </c>
      <c r="AT4" s="510" t="n">
        <v>39</v>
      </c>
      <c r="AU4" s="510" t="n">
        <v>40</v>
      </c>
      <c r="AV4" s="510" t="n">
        <v>41</v>
      </c>
      <c r="AW4" s="510" t="n">
        <v>42</v>
      </c>
      <c r="AX4" s="510" t="n">
        <v>43</v>
      </c>
      <c r="AY4" s="510" t="n">
        <v>44</v>
      </c>
      <c r="AZ4" s="510" t="n">
        <v>45</v>
      </c>
      <c r="BA4" s="510" t="n">
        <v>46</v>
      </c>
      <c r="BB4" s="510" t="n">
        <v>47</v>
      </c>
      <c r="BC4" s="511" t="n">
        <v>48</v>
      </c>
      <c r="BD4" s="510" t="n">
        <v>49</v>
      </c>
      <c r="BE4" s="510" t="n">
        <v>50</v>
      </c>
      <c r="BF4" s="510" t="n">
        <v>51</v>
      </c>
      <c r="BG4" s="510" t="n">
        <v>52</v>
      </c>
      <c r="BH4" s="510" t="n">
        <v>53</v>
      </c>
      <c r="BI4" s="510" t="n">
        <v>54</v>
      </c>
      <c r="BJ4" s="510" t="n">
        <v>55</v>
      </c>
      <c r="BK4" s="510" t="n">
        <v>56</v>
      </c>
      <c r="BL4" s="510" t="n">
        <v>57</v>
      </c>
      <c r="BM4" s="510" t="n">
        <v>58</v>
      </c>
      <c r="BN4" s="510" t="n">
        <v>59</v>
      </c>
      <c r="BO4" s="511" t="n">
        <v>60</v>
      </c>
      <c r="BP4" s="510" t="n">
        <v>61</v>
      </c>
      <c r="BQ4" s="510" t="n">
        <v>62</v>
      </c>
      <c r="BR4" s="510" t="n">
        <v>63</v>
      </c>
      <c r="BS4" s="510" t="n">
        <v>64</v>
      </c>
      <c r="BT4" s="510" t="n">
        <v>65</v>
      </c>
      <c r="BU4" s="510" t="n">
        <v>66</v>
      </c>
      <c r="BV4" s="510" t="n">
        <v>67</v>
      </c>
      <c r="BW4" s="510" t="n">
        <v>68</v>
      </c>
      <c r="BX4" s="510" t="n">
        <v>69</v>
      </c>
      <c r="BY4" s="510" t="n">
        <v>70</v>
      </c>
      <c r="BZ4" s="510" t="n">
        <v>71</v>
      </c>
      <c r="CA4" s="511" t="n">
        <v>72</v>
      </c>
      <c r="CB4" s="510" t="n">
        <v>73</v>
      </c>
      <c r="CC4" s="510" t="n">
        <v>74</v>
      </c>
      <c r="CD4" s="510" t="n">
        <v>75</v>
      </c>
      <c r="CE4" s="510" t="n">
        <v>76</v>
      </c>
      <c r="CF4" s="510" t="n">
        <v>77</v>
      </c>
      <c r="CG4" s="510" t="n">
        <v>78</v>
      </c>
      <c r="CH4" s="510" t="n">
        <v>79</v>
      </c>
      <c r="CI4" s="510" t="n">
        <v>80</v>
      </c>
      <c r="CJ4" s="510" t="n">
        <v>81</v>
      </c>
      <c r="CK4" s="510" t="n">
        <v>82</v>
      </c>
      <c r="CL4" s="510" t="n">
        <v>83</v>
      </c>
      <c r="CM4" s="511" t="n">
        <v>84</v>
      </c>
      <c r="CN4" s="510" t="n">
        <v>85</v>
      </c>
      <c r="CO4" s="510" t="n">
        <v>86</v>
      </c>
      <c r="CP4" s="510" t="n">
        <v>87</v>
      </c>
      <c r="CQ4" s="510" t="n">
        <v>88</v>
      </c>
      <c r="CR4" s="510" t="n">
        <v>89</v>
      </c>
      <c r="CS4" s="510" t="n">
        <v>90</v>
      </c>
      <c r="CT4" s="510" t="n">
        <v>91</v>
      </c>
      <c r="CU4" s="510" t="n">
        <v>92</v>
      </c>
      <c r="CV4" s="510" t="n">
        <v>93</v>
      </c>
      <c r="CW4" s="510" t="n">
        <v>94</v>
      </c>
      <c r="CX4" s="510" t="n">
        <v>95</v>
      </c>
      <c r="CY4" s="511" t="n">
        <v>96</v>
      </c>
      <c r="CZ4" s="510" t="n">
        <v>97</v>
      </c>
      <c r="DA4" s="510" t="n">
        <v>98</v>
      </c>
      <c r="DB4" s="510" t="n">
        <v>99</v>
      </c>
      <c r="DC4" s="510" t="n">
        <v>100</v>
      </c>
      <c r="DD4" s="510" t="n">
        <v>101</v>
      </c>
      <c r="DE4" s="510" t="n">
        <v>102</v>
      </c>
      <c r="DF4" s="510" t="n">
        <v>103</v>
      </c>
      <c r="DG4" s="510" t="n">
        <v>104</v>
      </c>
      <c r="DH4" s="510" t="n">
        <v>105</v>
      </c>
      <c r="DI4" s="510" t="n">
        <v>106</v>
      </c>
      <c r="DJ4" s="510" t="n">
        <v>107</v>
      </c>
      <c r="DK4" s="511" t="n">
        <v>108</v>
      </c>
      <c r="DL4" s="510" t="n">
        <v>109</v>
      </c>
      <c r="DM4" s="510" t="n">
        <v>110</v>
      </c>
      <c r="DN4" s="510" t="n">
        <v>111</v>
      </c>
      <c r="DO4" s="510" t="n">
        <v>112</v>
      </c>
      <c r="DP4" s="510" t="n">
        <v>113</v>
      </c>
      <c r="DQ4" s="510" t="n">
        <v>114</v>
      </c>
      <c r="DR4" s="510" t="n">
        <v>115</v>
      </c>
      <c r="DS4" s="510" t="n">
        <v>116</v>
      </c>
      <c r="DT4" s="510" t="n">
        <v>117</v>
      </c>
      <c r="DU4" s="510" t="n">
        <v>118</v>
      </c>
      <c r="DV4" s="510" t="n">
        <v>119</v>
      </c>
      <c r="DW4" s="510" t="n">
        <v>120</v>
      </c>
      <c r="DX4" s="510" t="n">
        <v>121</v>
      </c>
      <c r="DY4" s="510" t="n">
        <v>122</v>
      </c>
      <c r="DZ4" s="510" t="n">
        <v>123</v>
      </c>
      <c r="EA4" s="510" t="n">
        <v>124</v>
      </c>
      <c r="EB4" s="510" t="n">
        <v>125</v>
      </c>
      <c r="EC4" s="510" t="n">
        <v>126</v>
      </c>
      <c r="ED4" s="510" t="n">
        <v>127</v>
      </c>
      <c r="EE4" s="510" t="n">
        <v>128</v>
      </c>
      <c r="EF4" s="510" t="n">
        <v>129</v>
      </c>
      <c r="EG4" s="510" t="n">
        <v>130</v>
      </c>
      <c r="EH4" s="510" t="n">
        <v>131</v>
      </c>
      <c r="EI4" s="510" t="n">
        <v>132</v>
      </c>
    </row>
    <row r="5" customFormat="false" ht="13.5" hidden="false" customHeight="true" outlineLevel="0" collapsed="false">
      <c r="B5" s="60"/>
      <c r="C5" s="17"/>
      <c r="D5" s="17"/>
      <c r="E5" s="19"/>
      <c r="F5" s="17"/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9"/>
    </row>
    <row r="6" s="514" customFormat="true" ht="13.5" hidden="false" customHeight="true" outlineLevel="0" collapsed="false">
      <c r="A6" s="10"/>
      <c r="B6" s="114" t="s">
        <v>558</v>
      </c>
      <c r="C6" s="421"/>
      <c r="D6" s="512"/>
      <c r="E6" s="472"/>
      <c r="F6" s="17"/>
      <c r="G6" s="513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421"/>
      <c r="AF6" s="421"/>
      <c r="AG6" s="421"/>
      <c r="AH6" s="421"/>
      <c r="AI6" s="421"/>
      <c r="AJ6" s="421"/>
      <c r="AK6" s="421"/>
      <c r="AL6" s="421"/>
      <c r="AM6" s="421"/>
      <c r="AN6" s="421"/>
      <c r="AO6" s="421"/>
      <c r="AP6" s="421"/>
      <c r="AQ6" s="421"/>
      <c r="AR6" s="421"/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  <c r="BG6" s="421"/>
      <c r="BH6" s="421"/>
      <c r="BI6" s="421"/>
      <c r="BJ6" s="421"/>
      <c r="BK6" s="421"/>
      <c r="BL6" s="421"/>
      <c r="BM6" s="421"/>
      <c r="BN6" s="421"/>
      <c r="BO6" s="421"/>
      <c r="BP6" s="421"/>
      <c r="BQ6" s="421"/>
      <c r="BR6" s="421"/>
      <c r="BS6" s="421"/>
      <c r="BT6" s="421"/>
      <c r="BU6" s="421"/>
      <c r="BV6" s="421"/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1"/>
      <c r="CV6" s="421"/>
      <c r="CW6" s="421"/>
      <c r="CX6" s="421"/>
      <c r="CY6" s="421"/>
      <c r="CZ6" s="421"/>
      <c r="DA6" s="421"/>
      <c r="DB6" s="421"/>
      <c r="DC6" s="421"/>
      <c r="DD6" s="421"/>
      <c r="DE6" s="421"/>
      <c r="DF6" s="421"/>
      <c r="DG6" s="421"/>
      <c r="DH6" s="421"/>
      <c r="DI6" s="421"/>
      <c r="DJ6" s="421"/>
      <c r="DK6" s="421"/>
      <c r="DL6" s="421"/>
      <c r="DM6" s="421"/>
      <c r="DN6" s="421"/>
      <c r="DO6" s="421"/>
      <c r="DP6" s="421"/>
      <c r="DQ6" s="421"/>
      <c r="DR6" s="421"/>
      <c r="DS6" s="421"/>
      <c r="DT6" s="421"/>
      <c r="DU6" s="421"/>
      <c r="DV6" s="421"/>
      <c r="DW6" s="421"/>
      <c r="DX6" s="421"/>
      <c r="DY6" s="421"/>
      <c r="DZ6" s="421"/>
      <c r="EA6" s="421"/>
      <c r="EB6" s="421"/>
      <c r="EC6" s="421"/>
      <c r="ED6" s="421"/>
      <c r="EE6" s="421"/>
      <c r="EF6" s="421"/>
      <c r="EG6" s="421"/>
      <c r="EH6" s="421"/>
      <c r="EI6" s="472"/>
    </row>
    <row r="7" s="515" customFormat="true" ht="13.5" hidden="false" customHeight="true" outlineLevel="0" collapsed="false">
      <c r="B7" s="516" t="s">
        <v>559</v>
      </c>
      <c r="C7" s="517"/>
      <c r="D7" s="518"/>
      <c r="E7" s="519"/>
      <c r="F7" s="517"/>
      <c r="G7" s="520" t="n">
        <v>1</v>
      </c>
      <c r="H7" s="110" t="n">
        <f aca="false">G7*((1+'Executive Summary'!$I$5)^(1/12))</f>
        <v>1.00054834323189</v>
      </c>
      <c r="I7" s="110" t="n">
        <f aca="false">H7*((1+'Executive Summary'!$I$5)^(1/12))</f>
        <v>1.00109698714408</v>
      </c>
      <c r="J7" s="110" t="n">
        <f aca="false">I7*((1+'Executive Summary'!$I$5)^(1/12))</f>
        <v>1.00164593190145</v>
      </c>
      <c r="K7" s="110" t="n">
        <f aca="false">J7*((1+'Executive Summary'!$I$5)^(1/12))</f>
        <v>1.00219517766896</v>
      </c>
      <c r="L7" s="110" t="n">
        <f aca="false">K7*((1+'Executive Summary'!$I$5)^(1/12))</f>
        <v>1.00274472461167</v>
      </c>
      <c r="M7" s="110" t="n">
        <f aca="false">L7*((1+'Executive Summary'!$I$5)^(1/12))</f>
        <v>1.00329457289472</v>
      </c>
      <c r="N7" s="110" t="n">
        <f aca="false">M7*((1+'Executive Summary'!$I$5)^(1/12))</f>
        <v>1.00384472268336</v>
      </c>
      <c r="O7" s="110" t="n">
        <f aca="false">N7*((1+'Executive Summary'!$I$5)^(1/12))</f>
        <v>1.00439517414291</v>
      </c>
      <c r="P7" s="110" t="n">
        <f aca="false">O7*((1+'Executive Summary'!$I$5)^(1/12))</f>
        <v>1.0049459274388</v>
      </c>
      <c r="Q7" s="110" t="n">
        <f aca="false">P7*((1+'Executive Summary'!$I$5)^(1/12))</f>
        <v>1.00549698273652</v>
      </c>
      <c r="R7" s="110" t="n">
        <f aca="false">Q7*((1+'Executive Summary'!$I$5)^(1/12))</f>
        <v>1.00604834020169</v>
      </c>
      <c r="S7" s="110" t="n">
        <f aca="false">R7*((1+'Executive Summary'!$I$5)^(1/12))</f>
        <v>1.0066</v>
      </c>
      <c r="T7" s="110" t="n">
        <f aca="false">S7*((1+'Executive Summary'!$I$6)^(1/12))</f>
        <v>1.00929456851988</v>
      </c>
      <c r="U7" s="110" t="n">
        <f aca="false">T7*((1+'Executive Summary'!$I$6)^(1/12))</f>
        <v>1.01199635013286</v>
      </c>
      <c r="V7" s="110" t="n">
        <f aca="false">U7*((1+'Executive Summary'!$I$6)^(1/12))</f>
        <v>1.01470536414767</v>
      </c>
      <c r="W7" s="110" t="n">
        <f aca="false">V7*((1+'Executive Summary'!$I$6)^(1/12))</f>
        <v>1.01742162992473</v>
      </c>
      <c r="X7" s="110" t="n">
        <f aca="false">W7*((1+'Executive Summary'!$I$6)^(1/12))</f>
        <v>1.0201451668763</v>
      </c>
      <c r="Y7" s="110" t="n">
        <f aca="false">X7*((1+'Executive Summary'!$I$6)^(1/12))</f>
        <v>1.02287599446658</v>
      </c>
      <c r="Z7" s="110" t="n">
        <f aca="false">Y7*((1+'Executive Summary'!$I$6)^(1/12))</f>
        <v>1.0256141322119</v>
      </c>
      <c r="AA7" s="110" t="n">
        <f aca="false">Z7*((1+'Executive Summary'!$I$6)^(1/12))</f>
        <v>1.02835959968081</v>
      </c>
      <c r="AB7" s="110" t="n">
        <f aca="false">AA7*((1+'Executive Summary'!$I$6)^(1/12))</f>
        <v>1.03111241649426</v>
      </c>
      <c r="AC7" s="110" t="n">
        <f aca="false">AB7*((1+'Executive Summary'!$I$6)^(1/12))</f>
        <v>1.03387260232572</v>
      </c>
      <c r="AD7" s="110" t="n">
        <f aca="false">AC7*((1+'Executive Summary'!$I$6)^(1/12))</f>
        <v>1.03664017690132</v>
      </c>
      <c r="AE7" s="110" t="n">
        <f aca="false">AD7*((1+'Executive Summary'!$I$6)^(1/12))</f>
        <v>1.03941516</v>
      </c>
      <c r="AF7" s="110" t="n">
        <f aca="false">AE7*((1+'Executive Summary'!$I$7)^(1/12))</f>
        <v>1.04197863818998</v>
      </c>
      <c r="AG7" s="110" t="n">
        <f aca="false">AF7*((1+'Executive Summary'!$I$7)^(1/12))</f>
        <v>1.04454843860873</v>
      </c>
      <c r="AH7" s="110" t="n">
        <f aca="false">AG7*((1+'Executive Summary'!$I$7)^(1/12))</f>
        <v>1.04712457684858</v>
      </c>
      <c r="AI7" s="110" t="n">
        <f aca="false">AH7*((1+'Executive Summary'!$I$7)^(1/12))</f>
        <v>1.0497070685403</v>
      </c>
      <c r="AJ7" s="110" t="n">
        <f aca="false">AI7*((1+'Executive Summary'!$I$7)^(1/12))</f>
        <v>1.05229592935321</v>
      </c>
      <c r="AK7" s="110" t="n">
        <f aca="false">AJ7*((1+'Executive Summary'!$I$7)^(1/12))</f>
        <v>1.0548911749953</v>
      </c>
      <c r="AL7" s="110" t="n">
        <f aca="false">AK7*((1+'Executive Summary'!$I$7)^(1/12))</f>
        <v>1.05749282121326</v>
      </c>
      <c r="AM7" s="110" t="n">
        <f aca="false">AL7*((1+'Executive Summary'!$I$7)^(1/12))</f>
        <v>1.06010088379264</v>
      </c>
      <c r="AN7" s="110" t="n">
        <f aca="false">AM7*((1+'Executive Summary'!$I$7)^(1/12))</f>
        <v>1.06271537855793</v>
      </c>
      <c r="AO7" s="110" t="n">
        <f aca="false">AN7*((1+'Executive Summary'!$I$7)^(1/12))</f>
        <v>1.06533632137263</v>
      </c>
      <c r="AP7" s="110" t="n">
        <f aca="false">AO7*((1+'Executive Summary'!$I$7)^(1/12))</f>
        <v>1.06796372813937</v>
      </c>
      <c r="AQ7" s="110" t="n">
        <f aca="false">AP7*((1+'Executive Summary'!$I$7)^(1/12))</f>
        <v>1.0705976148</v>
      </c>
      <c r="AR7" s="110" t="n">
        <f aca="false">AQ7*((1+'Executive Summary'!$I$7)^(1/12))</f>
        <v>1.07323799733568</v>
      </c>
      <c r="AS7" s="110" t="n">
        <f aca="false">AR7*((1+'Executive Summary'!$I$7)^(1/12))</f>
        <v>1.075884891767</v>
      </c>
      <c r="AT7" s="110" t="n">
        <f aca="false">AS7*((1+'Executive Summary'!$I$7)^(1/12))</f>
        <v>1.07853831415404</v>
      </c>
      <c r="AU7" s="110" t="n">
        <f aca="false">AT7*((1+'Executive Summary'!$I$7)^(1/12))</f>
        <v>1.08119828059651</v>
      </c>
      <c r="AV7" s="110" t="n">
        <f aca="false">AU7*((1+'Executive Summary'!$I$7)^(1/12))</f>
        <v>1.08386480723381</v>
      </c>
      <c r="AW7" s="110" t="n">
        <f aca="false">AV7*((1+'Executive Summary'!$I$7)^(1/12))</f>
        <v>1.08653791024516</v>
      </c>
      <c r="AX7" s="110" t="n">
        <f aca="false">AW7*((1+'Executive Summary'!$I$7)^(1/12))</f>
        <v>1.08921760584965</v>
      </c>
      <c r="AY7" s="110" t="n">
        <f aca="false">AX7*((1+'Executive Summary'!$I$7)^(1/12))</f>
        <v>1.09190391030642</v>
      </c>
      <c r="AZ7" s="110" t="n">
        <f aca="false">AY7*((1+'Executive Summary'!$I$7)^(1/12))</f>
        <v>1.09459683991467</v>
      </c>
      <c r="BA7" s="110" t="n">
        <f aca="false">AZ7*((1+'Executive Summary'!$I$7)^(1/12))</f>
        <v>1.09729641101381</v>
      </c>
      <c r="BB7" s="110" t="n">
        <f aca="false">BA7*((1+'Executive Summary'!$I$7)^(1/12))</f>
        <v>1.10000263998355</v>
      </c>
      <c r="BC7" s="110" t="n">
        <f aca="false">BB7*((1+'Executive Summary'!$I$7)^(1/12))</f>
        <v>1.102715543244</v>
      </c>
      <c r="BD7" s="110" t="n">
        <f aca="false">BC7*((1+'Executive Summary'!$I$7)^(1/12))</f>
        <v>1.10543513725575</v>
      </c>
      <c r="BE7" s="110" t="n">
        <f aca="false">BD7*((1+'Executive Summary'!$I$7)^(1/12))</f>
        <v>1.10816143852001</v>
      </c>
      <c r="BF7" s="110" t="n">
        <f aca="false">BE7*((1+'Executive Summary'!$I$7)^(1/12))</f>
        <v>1.11089446357866</v>
      </c>
      <c r="BG7" s="110" t="n">
        <f aca="false">BF7*((1+'Executive Summary'!$I$7)^(1/12))</f>
        <v>1.1136342290144</v>
      </c>
      <c r="BH7" s="110" t="n">
        <f aca="false">BG7*((1+'Executive Summary'!$I$7)^(1/12))</f>
        <v>1.11638075145083</v>
      </c>
      <c r="BI7" s="110" t="n">
        <f aca="false">BH7*((1+'Executive Summary'!$I$7)^(1/12))</f>
        <v>1.11913404755251</v>
      </c>
      <c r="BJ7" s="110" t="n">
        <f aca="false">BI7*((1+'Executive Summary'!$I$7)^(1/12))</f>
        <v>1.12189413402515</v>
      </c>
      <c r="BK7" s="110" t="n">
        <f aca="false">BJ7*((1+'Executive Summary'!$I$7)^(1/12))</f>
        <v>1.12466102761562</v>
      </c>
      <c r="BL7" s="110" t="n">
        <f aca="false">BK7*((1+'Executive Summary'!$I$7)^(1/12))</f>
        <v>1.12743474511211</v>
      </c>
      <c r="BM7" s="110" t="n">
        <f aca="false">BL7*((1+'Executive Summary'!$I$7)^(1/12))</f>
        <v>1.13021530334423</v>
      </c>
      <c r="BN7" s="110" t="n">
        <f aca="false">BM7*((1+'Executive Summary'!$I$7)^(1/12))</f>
        <v>1.13300271918306</v>
      </c>
      <c r="BO7" s="110" t="n">
        <f aca="false">BN7*((1+'Executive Summary'!$I$7)^(1/12))</f>
        <v>1.13579700954132</v>
      </c>
      <c r="BP7" s="110" t="n">
        <f aca="false">BO7*((1+'Executive Summary'!$I$7)^(1/12))</f>
        <v>1.13859819137342</v>
      </c>
      <c r="BQ7" s="110" t="n">
        <f aca="false">BP7*((1+'Executive Summary'!$I$7)^(1/12))</f>
        <v>1.14140628167561</v>
      </c>
      <c r="BR7" s="110" t="n">
        <f aca="false">BQ7*((1+'Executive Summary'!$I$7)^(1/12))</f>
        <v>1.14422129748602</v>
      </c>
      <c r="BS7" s="110" t="n">
        <f aca="false">BR7*((1+'Executive Summary'!$I$7)^(1/12))</f>
        <v>1.14704325588484</v>
      </c>
      <c r="BT7" s="110" t="n">
        <f aca="false">BS7*((1+'Executive Summary'!$I$7)^(1/12))</f>
        <v>1.14987217399435</v>
      </c>
      <c r="BU7" s="110" t="n">
        <f aca="false">BT7*((1+'Executive Summary'!$I$7)^(1/12))</f>
        <v>1.15270806897909</v>
      </c>
      <c r="BV7" s="110" t="n">
        <f aca="false">BU7*((1+'Executive Summary'!$I$7)^(1/12))</f>
        <v>1.1555509580459</v>
      </c>
      <c r="BW7" s="110" t="n">
        <f aca="false">BV7*((1+'Executive Summary'!$I$7)^(1/12))</f>
        <v>1.15840085844409</v>
      </c>
      <c r="BX7" s="110" t="n">
        <f aca="false">BW7*((1+'Executive Summary'!$I$7)^(1/12))</f>
        <v>1.16125778746548</v>
      </c>
      <c r="BY7" s="110" t="n">
        <f aca="false">BX7*((1+'Executive Summary'!$I$7)^(1/12))</f>
        <v>1.16412176244456</v>
      </c>
      <c r="BZ7" s="110" t="n">
        <f aca="false">BY7*((1+'Executive Summary'!$I$7)^(1/12))</f>
        <v>1.16699280075855</v>
      </c>
      <c r="CA7" s="110" t="n">
        <f aca="false">BZ7*((1+'Executive Summary'!$I$7)^(1/12))</f>
        <v>1.16987091982756</v>
      </c>
      <c r="CB7" s="110" t="n">
        <f aca="false">CA7*((1+'Executive Summary'!$I$7)^(1/12))</f>
        <v>1.17275613711463</v>
      </c>
      <c r="CC7" s="110" t="n">
        <f aca="false">CB7*((1+'Executive Summary'!$I$7)^(1/12))</f>
        <v>1.17564847012588</v>
      </c>
      <c r="CD7" s="110" t="n">
        <f aca="false">CC7*((1+'Executive Summary'!$I$7)^(1/12))</f>
        <v>1.1785479364106</v>
      </c>
      <c r="CE7" s="110" t="n">
        <f aca="false">CD7*((1+'Executive Summary'!$I$7)^(1/12))</f>
        <v>1.18145455356138</v>
      </c>
      <c r="CF7" s="110" t="n">
        <f aca="false">CE7*((1+'Executive Summary'!$I$7)^(1/12))</f>
        <v>1.18436833921418</v>
      </c>
      <c r="CG7" s="110" t="n">
        <f aca="false">CF7*((1+'Executive Summary'!$I$7)^(1/12))</f>
        <v>1.18728931104846</v>
      </c>
      <c r="CH7" s="110" t="n">
        <f aca="false">CG7*((1+'Executive Summary'!$I$7)^(1/12))</f>
        <v>1.19021748678728</v>
      </c>
      <c r="CI7" s="110" t="n">
        <f aca="false">CH7*((1+'Executive Summary'!$I$7)^(1/12))</f>
        <v>1.19315288419741</v>
      </c>
      <c r="CJ7" s="110" t="n">
        <f aca="false">CI7*((1+'Executive Summary'!$I$7)^(1/12))</f>
        <v>1.19609552108944</v>
      </c>
      <c r="CK7" s="110" t="n">
        <f aca="false">CJ7*((1+'Executive Summary'!$I$7)^(1/12))</f>
        <v>1.19904541531789</v>
      </c>
      <c r="CL7" s="110" t="n">
        <f aca="false">CK7*((1+'Executive Summary'!$I$7)^(1/12))</f>
        <v>1.20200258478131</v>
      </c>
      <c r="CM7" s="110" t="n">
        <f aca="false">CL7*((1+'Executive Summary'!$I$7)^(1/12))</f>
        <v>1.20496704742239</v>
      </c>
      <c r="CN7" s="110" t="n">
        <f aca="false">CM7*((1+'Executive Summary'!$I$7)^(1/12))</f>
        <v>1.20793882122807</v>
      </c>
      <c r="CO7" s="110" t="n">
        <f aca="false">CN7*((1+'Executive Summary'!$I$7)^(1/12))</f>
        <v>1.21091792422966</v>
      </c>
      <c r="CP7" s="110" t="n">
        <f aca="false">CO7*((1+'Executive Summary'!$I$7)^(1/12))</f>
        <v>1.21390437450292</v>
      </c>
      <c r="CQ7" s="110" t="n">
        <f aca="false">CP7*((1+'Executive Summary'!$I$7)^(1/12))</f>
        <v>1.21689819016823</v>
      </c>
      <c r="CR7" s="110" t="n">
        <f aca="false">CQ7*((1+'Executive Summary'!$I$7)^(1/12))</f>
        <v>1.21989938939061</v>
      </c>
      <c r="CS7" s="110" t="n">
        <f aca="false">CR7*((1+'Executive Summary'!$I$7)^(1/12))</f>
        <v>1.22290799037992</v>
      </c>
      <c r="CT7" s="110" t="n">
        <f aca="false">CS7*((1+'Executive Summary'!$I$7)^(1/12))</f>
        <v>1.2259240113909</v>
      </c>
      <c r="CU7" s="110" t="n">
        <f aca="false">CT7*((1+'Executive Summary'!$I$7)^(1/12))</f>
        <v>1.22894747072333</v>
      </c>
      <c r="CV7" s="110" t="n">
        <f aca="false">CU7*((1+'Executive Summary'!$I$7)^(1/12))</f>
        <v>1.23197838672213</v>
      </c>
      <c r="CW7" s="110" t="n">
        <f aca="false">CV7*((1+'Executive Summary'!$I$7)^(1/12))</f>
        <v>1.23501677777743</v>
      </c>
      <c r="CX7" s="110" t="n">
        <f aca="false">CW7*((1+'Executive Summary'!$I$7)^(1/12))</f>
        <v>1.23806266232475</v>
      </c>
      <c r="CY7" s="110" t="n">
        <f aca="false">CX7*((1+'Executive Summary'!$I$7)^(1/12))</f>
        <v>1.24111605884506</v>
      </c>
      <c r="CZ7" s="110" t="n">
        <f aca="false">CY7*((1+'Executive Summary'!$I$7)^(1/12))</f>
        <v>1.24417698586491</v>
      </c>
      <c r="DA7" s="110" t="n">
        <f aca="false">CZ7*((1+'Executive Summary'!$I$7)^(1/12))</f>
        <v>1.24724546195655</v>
      </c>
      <c r="DB7" s="110" t="n">
        <f aca="false">DA7*((1+'Executive Summary'!$I$7)^(1/12))</f>
        <v>1.25032150573801</v>
      </c>
      <c r="DC7" s="110" t="n">
        <f aca="false">DB7*((1+'Executive Summary'!$I$7)^(1/12))</f>
        <v>1.25340513587328</v>
      </c>
      <c r="DD7" s="110" t="n">
        <f aca="false">DC7*((1+'Executive Summary'!$I$7)^(1/12))</f>
        <v>1.25649637107233</v>
      </c>
      <c r="DE7" s="110" t="n">
        <f aca="false">DD7*((1+'Executive Summary'!$I$7)^(1/12))</f>
        <v>1.25959523009132</v>
      </c>
      <c r="DF7" s="110" t="n">
        <f aca="false">DE7*((1+'Executive Summary'!$I$7)^(1/12))</f>
        <v>1.26270173173263</v>
      </c>
      <c r="DG7" s="110" t="n">
        <f aca="false">DF7*((1+'Executive Summary'!$I$7)^(1/12))</f>
        <v>1.26581589484503</v>
      </c>
      <c r="DH7" s="110" t="n">
        <f aca="false">DG7*((1+'Executive Summary'!$I$7)^(1/12))</f>
        <v>1.26893773832379</v>
      </c>
      <c r="DI7" s="110" t="n">
        <f aca="false">DH7*((1+'Executive Summary'!$I$7)^(1/12))</f>
        <v>1.27206728111076</v>
      </c>
      <c r="DJ7" s="110" t="n">
        <f aca="false">DI7*((1+'Executive Summary'!$I$7)^(1/12))</f>
        <v>1.2752045421945</v>
      </c>
      <c r="DK7" s="110" t="n">
        <f aca="false">DJ7*((1+'Executive Summary'!$I$7)^(1/12))</f>
        <v>1.27834954061041</v>
      </c>
      <c r="DL7" s="110" t="n">
        <f aca="false">DK7*((1+'Executive Summary'!$I$7)^(1/12))</f>
        <v>1.28150229544086</v>
      </c>
      <c r="DM7" s="110" t="n">
        <f aca="false">DL7*((1+'Executive Summary'!$I$7)^(1/12))</f>
        <v>1.28466282581524</v>
      </c>
      <c r="DN7" s="110" t="n">
        <f aca="false">DM7*((1+'Executive Summary'!$I$7)^(1/12))</f>
        <v>1.28783115091015</v>
      </c>
      <c r="DO7" s="110" t="n">
        <f aca="false">DN7*((1+'Executive Summary'!$I$7)^(1/12))</f>
        <v>1.29100728994948</v>
      </c>
      <c r="DP7" s="110" t="n">
        <f aca="false">DO7*((1+'Executive Summary'!$I$7)^(1/12))</f>
        <v>1.2941912622045</v>
      </c>
      <c r="DQ7" s="110" t="n">
        <f aca="false">DP7*((1+'Executive Summary'!$I$7)^(1/12))</f>
        <v>1.29738308699406</v>
      </c>
      <c r="DR7" s="110" t="n">
        <f aca="false">DQ7*((1+'Executive Summary'!$I$7)^(1/12))</f>
        <v>1.30058278368461</v>
      </c>
      <c r="DS7" s="110" t="n">
        <f aca="false">DR7*((1+'Executive Summary'!$I$7)^(1/12))</f>
        <v>1.30379037169039</v>
      </c>
      <c r="DT7" s="110" t="n">
        <f aca="false">DS7*((1+'Executive Summary'!$I$7)^(1/12))</f>
        <v>1.30700587047351</v>
      </c>
      <c r="DU7" s="110" t="n">
        <f aca="false">DT7*((1+'Executive Summary'!$I$7)^(1/12))</f>
        <v>1.31022929954408</v>
      </c>
      <c r="DV7" s="110" t="n">
        <f aca="false">DU7*((1+'Executive Summary'!$I$7)^(1/12))</f>
        <v>1.31346067846033</v>
      </c>
      <c r="DW7" s="110" t="n">
        <f aca="false">DV7*((1+'Executive Summary'!$I$7)^(1/12))</f>
        <v>1.31670002682873</v>
      </c>
      <c r="DX7" s="110" t="n">
        <f aca="false">DW7*((1+'Executive Summary'!$I$7)^(1/12))</f>
        <v>1.31994736430409</v>
      </c>
      <c r="DY7" s="110" t="n">
        <f aca="false">DX7*((1+'Executive Summary'!$I$7)^(1/12))</f>
        <v>1.3232027105897</v>
      </c>
      <c r="DZ7" s="110" t="n">
        <f aca="false">DY7*((1+'Executive Summary'!$I$7)^(1/12))</f>
        <v>1.32646608543746</v>
      </c>
      <c r="EA7" s="110" t="n">
        <f aca="false">DZ7*((1+'Executive Summary'!$I$7)^(1/12))</f>
        <v>1.32973750864796</v>
      </c>
      <c r="EB7" s="110" t="n">
        <f aca="false">EA7*((1+'Executive Summary'!$I$7)^(1/12))</f>
        <v>1.33301700007064</v>
      </c>
      <c r="EC7" s="110" t="n">
        <f aca="false">EB7*((1+'Executive Summary'!$I$7)^(1/12))</f>
        <v>1.33630457960388</v>
      </c>
      <c r="ED7" s="110" t="n">
        <f aca="false">EC7*((1+'Executive Summary'!$I$7)^(1/12))</f>
        <v>1.33960026719515</v>
      </c>
      <c r="EE7" s="110" t="n">
        <f aca="false">ED7*((1+'Executive Summary'!$I$7)^(1/12))</f>
        <v>1.3429040828411</v>
      </c>
      <c r="EF7" s="110" t="n">
        <f aca="false">EE7*((1+'Executive Summary'!$I$7)^(1/12))</f>
        <v>1.34621604658771</v>
      </c>
      <c r="EG7" s="110" t="n">
        <f aca="false">EF7*((1+'Executive Summary'!$I$7)^(1/12))</f>
        <v>1.3495361785304</v>
      </c>
      <c r="EH7" s="110" t="n">
        <f aca="false">EG7*((1+'Executive Summary'!$I$7)^(1/12))</f>
        <v>1.35286449881414</v>
      </c>
      <c r="EI7" s="521" t="n">
        <f aca="false">EH7*((1+'Executive Summary'!$I$7)^(1/12))</f>
        <v>1.35620102763359</v>
      </c>
    </row>
    <row r="8" s="515" customFormat="true" ht="13.5" hidden="false" customHeight="true" outlineLevel="0" collapsed="false">
      <c r="B8" s="516" t="s">
        <v>560</v>
      </c>
      <c r="C8" s="517"/>
      <c r="D8" s="518"/>
      <c r="E8" s="519"/>
      <c r="F8" s="517"/>
      <c r="G8" s="520" t="n">
        <v>1</v>
      </c>
      <c r="H8" s="110" t="n">
        <f aca="false">G8*((1+'Executive Summary'!$I$8)^(1/12))</f>
        <v>1.00165158130192</v>
      </c>
      <c r="I8" s="110" t="n">
        <f aca="false">H8*((1+'Executive Summary'!$I$8)^(1/12))</f>
        <v>1.00330589032464</v>
      </c>
      <c r="J8" s="110" t="n">
        <f aca="false">I8*((1+'Executive Summary'!$I$8)^(1/12))</f>
        <v>1.0049629315732</v>
      </c>
      <c r="K8" s="110" t="n">
        <f aca="false">J8*((1+'Executive Summary'!$I$8)^(1/12))</f>
        <v>1.00662270956011</v>
      </c>
      <c r="L8" s="110" t="n">
        <f aca="false">K8*((1+'Executive Summary'!$I$8)^(1/12))</f>
        <v>1.00828522880531</v>
      </c>
      <c r="M8" s="110" t="n">
        <f aca="false">L8*((1+'Executive Summary'!$I$8)^(1/12))</f>
        <v>1.00995049383621</v>
      </c>
      <c r="N8" s="110" t="n">
        <f aca="false">M8*((1+'Executive Summary'!$I$8)^(1/12))</f>
        <v>1.01161850918769</v>
      </c>
      <c r="O8" s="110" t="n">
        <f aca="false">N8*((1+'Executive Summary'!$I$8)^(1/12))</f>
        <v>1.01328927940214</v>
      </c>
      <c r="P8" s="110" t="n">
        <f aca="false">O8*((1+'Executive Summary'!$I$8)^(1/12))</f>
        <v>1.01496280902944</v>
      </c>
      <c r="Q8" s="110" t="n">
        <f aca="false">P8*((1+'Executive Summary'!$I$8)^(1/12))</f>
        <v>1.01663910262698</v>
      </c>
      <c r="R8" s="110" t="n">
        <f aca="false">Q8*((1+'Executive Summary'!$I$8)^(1/12))</f>
        <v>1.01831816475968</v>
      </c>
      <c r="S8" s="110" t="n">
        <f aca="false">R8*((1+'Executive Summary'!$I$8)^(1/12))</f>
        <v>1.02</v>
      </c>
      <c r="T8" s="110" t="n">
        <f aca="false">S8*((1+'Executive Summary'!$I$9)^(1/12))</f>
        <v>1.02168461292796</v>
      </c>
      <c r="U8" s="110" t="n">
        <f aca="false">T8*((1+'Executive Summary'!$I$9)^(1/12))</f>
        <v>1.02337200813113</v>
      </c>
      <c r="V8" s="110" t="n">
        <f aca="false">U8*((1+'Executive Summary'!$I$9)^(1/12))</f>
        <v>1.02506219020467</v>
      </c>
      <c r="W8" s="110" t="n">
        <f aca="false">V8*((1+'Executive Summary'!$I$9)^(1/12))</f>
        <v>1.02675516375132</v>
      </c>
      <c r="X8" s="110" t="n">
        <f aca="false">W8*((1+'Executive Summary'!$I$9)^(1/12))</f>
        <v>1.02845093338142</v>
      </c>
      <c r="Y8" s="110" t="n">
        <f aca="false">X8*((1+'Executive Summary'!$I$9)^(1/12))</f>
        <v>1.03014950371293</v>
      </c>
      <c r="Z8" s="110" t="n">
        <f aca="false">Y8*((1+'Executive Summary'!$I$9)^(1/12))</f>
        <v>1.03185087937145</v>
      </c>
      <c r="AA8" s="110" t="n">
        <f aca="false">Z8*((1+'Executive Summary'!$I$9)^(1/12))</f>
        <v>1.03355506499019</v>
      </c>
      <c r="AB8" s="110" t="n">
        <f aca="false">AA8*((1+'Executive Summary'!$I$9)^(1/12))</f>
        <v>1.03526206521003</v>
      </c>
      <c r="AC8" s="110" t="n">
        <f aca="false">AB8*((1+'Executive Summary'!$I$9)^(1/12))</f>
        <v>1.03697188467952</v>
      </c>
      <c r="AD8" s="110" t="n">
        <f aca="false">AC8*((1+'Executive Summary'!$I$9)^(1/12))</f>
        <v>1.03868452805487</v>
      </c>
      <c r="AE8" s="110" t="n">
        <f aca="false">AD8*((1+'Executive Summary'!$I$9)^(1/12))</f>
        <v>1.0404</v>
      </c>
      <c r="AF8" s="110" t="n">
        <f aca="false">AE8*((1+'Executive Summary'!$I$10)^(1/12))</f>
        <v>1.04211830518652</v>
      </c>
      <c r="AG8" s="110" t="n">
        <f aca="false">AF8*((1+'Executive Summary'!$I$10)^(1/12))</f>
        <v>1.04383944829375</v>
      </c>
      <c r="AH8" s="110" t="n">
        <f aca="false">AG8*((1+'Executive Summary'!$I$10)^(1/12))</f>
        <v>1.04556343400876</v>
      </c>
      <c r="AI8" s="110" t="n">
        <f aca="false">AH8*((1+'Executive Summary'!$I$10)^(1/12))</f>
        <v>1.04729026702634</v>
      </c>
      <c r="AJ8" s="110" t="n">
        <f aca="false">AI8*((1+'Executive Summary'!$I$10)^(1/12))</f>
        <v>1.04901995204905</v>
      </c>
      <c r="AK8" s="110" t="n">
        <f aca="false">AJ8*((1+'Executive Summary'!$I$10)^(1/12))</f>
        <v>1.05075249378719</v>
      </c>
      <c r="AL8" s="110" t="n">
        <f aca="false">AK8*((1+'Executive Summary'!$I$10)^(1/12))</f>
        <v>1.05248789695888</v>
      </c>
      <c r="AM8" s="110" t="n">
        <f aca="false">AL8*((1+'Executive Summary'!$I$10)^(1/12))</f>
        <v>1.05422616628999</v>
      </c>
      <c r="AN8" s="110" t="n">
        <f aca="false">AM8*((1+'Executive Summary'!$I$10)^(1/12))</f>
        <v>1.05596730651423</v>
      </c>
      <c r="AO8" s="110" t="n">
        <f aca="false">AN8*((1+'Executive Summary'!$I$10)^(1/12))</f>
        <v>1.05771132237311</v>
      </c>
      <c r="AP8" s="110" t="n">
        <f aca="false">AO8*((1+'Executive Summary'!$I$10)^(1/12))</f>
        <v>1.05945821861597</v>
      </c>
      <c r="AQ8" s="110" t="n">
        <f aca="false">AP8*((1+'Executive Summary'!$I$10)^(1/12))</f>
        <v>1.061208</v>
      </c>
      <c r="AR8" s="110" t="n">
        <f aca="false">AQ8*((1+'Executive Summary'!$I$10)^(1/12))</f>
        <v>1.06296067129025</v>
      </c>
      <c r="AS8" s="110" t="n">
        <f aca="false">AR8*((1+'Executive Summary'!$I$10)^(1/12))</f>
        <v>1.06471623725963</v>
      </c>
      <c r="AT8" s="110" t="n">
        <f aca="false">AS8*((1+'Executive Summary'!$I$10)^(1/12))</f>
        <v>1.06647470268894</v>
      </c>
      <c r="AU8" s="110" t="n">
        <f aca="false">AT8*((1+'Executive Summary'!$I$10)^(1/12))</f>
        <v>1.06823607236687</v>
      </c>
      <c r="AV8" s="110" t="n">
        <f aca="false">AU8*((1+'Executive Summary'!$I$10)^(1/12))</f>
        <v>1.07000035109003</v>
      </c>
      <c r="AW8" s="110" t="n">
        <f aca="false">AV8*((1+'Executive Summary'!$I$10)^(1/12))</f>
        <v>1.07176754366294</v>
      </c>
      <c r="AX8" s="110" t="n">
        <f aca="false">AW8*((1+'Executive Summary'!$I$10)^(1/12))</f>
        <v>1.07353765489805</v>
      </c>
      <c r="AY8" s="110" t="n">
        <f aca="false">AX8*((1+'Executive Summary'!$I$10)^(1/12))</f>
        <v>1.07531068961579</v>
      </c>
      <c r="AZ8" s="110" t="n">
        <f aca="false">AY8*((1+'Executive Summary'!$I$10)^(1/12))</f>
        <v>1.07708665264452</v>
      </c>
      <c r="BA8" s="110" t="n">
        <f aca="false">AZ8*((1+'Executive Summary'!$I$10)^(1/12))</f>
        <v>1.07886554882057</v>
      </c>
      <c r="BB8" s="110" t="n">
        <f aca="false">BA8*((1+'Executive Summary'!$I$10)^(1/12))</f>
        <v>1.08064738298829</v>
      </c>
      <c r="BC8" s="110" t="n">
        <f aca="false">BB8*((1+'Executive Summary'!$I$10)^(1/12))</f>
        <v>1.08243216</v>
      </c>
      <c r="BD8" s="110" t="n">
        <f aca="false">BC8*((1+'Executive Summary'!$I$10)^(1/12))</f>
        <v>1.08421988471606</v>
      </c>
      <c r="BE8" s="110" t="n">
        <f aca="false">BD8*((1+'Executive Summary'!$I$10)^(1/12))</f>
        <v>1.08601056200482</v>
      </c>
      <c r="BF8" s="110" t="n">
        <f aca="false">BE8*((1+'Executive Summary'!$I$10)^(1/12))</f>
        <v>1.08780419674272</v>
      </c>
      <c r="BG8" s="110" t="n">
        <f aca="false">BF8*((1+'Executive Summary'!$I$10)^(1/12))</f>
        <v>1.08960079381421</v>
      </c>
      <c r="BH8" s="110" t="n">
        <f aca="false">BG8*((1+'Executive Summary'!$I$10)^(1/12))</f>
        <v>1.09140035811183</v>
      </c>
      <c r="BI8" s="110" t="n">
        <f aca="false">BH8*((1+'Executive Summary'!$I$10)^(1/12))</f>
        <v>1.0932028945362</v>
      </c>
      <c r="BJ8" s="110" t="n">
        <f aca="false">BI8*((1+'Executive Summary'!$I$10)^(1/12))</f>
        <v>1.09500840799602</v>
      </c>
      <c r="BK8" s="110" t="n">
        <f aca="false">BJ8*((1+'Executive Summary'!$I$10)^(1/12))</f>
        <v>1.09681690340811</v>
      </c>
      <c r="BL8" s="110" t="n">
        <f aca="false">BK8*((1+'Executive Summary'!$I$10)^(1/12))</f>
        <v>1.09862838569741</v>
      </c>
      <c r="BM8" s="110" t="n">
        <f aca="false">BL8*((1+'Executive Summary'!$I$10)^(1/12))</f>
        <v>1.10044285979698</v>
      </c>
      <c r="BN8" s="110" t="n">
        <f aca="false">BM8*((1+'Executive Summary'!$I$10)^(1/12))</f>
        <v>1.10226033064806</v>
      </c>
      <c r="BO8" s="110" t="n">
        <f aca="false">BN8*((1+'Executive Summary'!$I$10)^(1/12))</f>
        <v>1.1040808032</v>
      </c>
      <c r="BP8" s="110" t="n">
        <f aca="false">BO8*((1+'Executive Summary'!$I$10)^(1/12))</f>
        <v>1.10590428241038</v>
      </c>
      <c r="BQ8" s="110" t="n">
        <f aca="false">BP8*((1+'Executive Summary'!$I$10)^(1/12))</f>
        <v>1.10773077324492</v>
      </c>
      <c r="BR8" s="110" t="n">
        <f aca="false">BQ8*((1+'Executive Summary'!$I$10)^(1/12))</f>
        <v>1.10956028067757</v>
      </c>
      <c r="BS8" s="110" t="n">
        <f aca="false">BR8*((1+'Executive Summary'!$I$10)^(1/12))</f>
        <v>1.11139280969049</v>
      </c>
      <c r="BT8" s="110" t="n">
        <f aca="false">BS8*((1+'Executive Summary'!$I$10)^(1/12))</f>
        <v>1.11322836527407</v>
      </c>
      <c r="BU8" s="110" t="n">
        <f aca="false">BT8*((1+'Executive Summary'!$I$10)^(1/12))</f>
        <v>1.11506695242692</v>
      </c>
      <c r="BV8" s="110" t="n">
        <f aca="false">BU8*((1+'Executive Summary'!$I$10)^(1/12))</f>
        <v>1.11690857615594</v>
      </c>
      <c r="BW8" s="110" t="n">
        <f aca="false">BV8*((1+'Executive Summary'!$I$10)^(1/12))</f>
        <v>1.11875324147627</v>
      </c>
      <c r="BX8" s="110" t="n">
        <f aca="false">BW8*((1+'Executive Summary'!$I$10)^(1/12))</f>
        <v>1.12060095341136</v>
      </c>
      <c r="BY8" s="110" t="n">
        <f aca="false">BX8*((1+'Executive Summary'!$I$10)^(1/12))</f>
        <v>1.12245171699292</v>
      </c>
      <c r="BZ8" s="110" t="n">
        <f aca="false">BY8*((1+'Executive Summary'!$I$10)^(1/12))</f>
        <v>1.12430553726102</v>
      </c>
      <c r="CA8" s="110" t="n">
        <f aca="false">BZ8*((1+'Executive Summary'!$I$10)^(1/12))</f>
        <v>1.126162419264</v>
      </c>
      <c r="CB8" s="110" t="n">
        <f aca="false">CA8*((1+'Executive Summary'!$I$10)^(1/12))</f>
        <v>1.12802236805859</v>
      </c>
      <c r="CC8" s="110" t="n">
        <f aca="false">CB8*((1+'Executive Summary'!$I$10)^(1/12))</f>
        <v>1.12988538870982</v>
      </c>
      <c r="CD8" s="110" t="n">
        <f aca="false">CC8*((1+'Executive Summary'!$I$10)^(1/12))</f>
        <v>1.13175148629112</v>
      </c>
      <c r="CE8" s="110" t="n">
        <f aca="false">CD8*((1+'Executive Summary'!$I$10)^(1/12))</f>
        <v>1.1336206658843</v>
      </c>
      <c r="CF8" s="110" t="n">
        <f aca="false">CE8*((1+'Executive Summary'!$I$10)^(1/12))</f>
        <v>1.13549293257955</v>
      </c>
      <c r="CG8" s="110" t="n">
        <f aca="false">CF8*((1+'Executive Summary'!$I$10)^(1/12))</f>
        <v>1.13736829147546</v>
      </c>
      <c r="CH8" s="110" t="n">
        <f aca="false">CG8*((1+'Executive Summary'!$I$10)^(1/12))</f>
        <v>1.13924674767906</v>
      </c>
      <c r="CI8" s="110" t="n">
        <f aca="false">CH8*((1+'Executive Summary'!$I$10)^(1/12))</f>
        <v>1.1411283063058</v>
      </c>
      <c r="CJ8" s="110" t="n">
        <f aca="false">CI8*((1+'Executive Summary'!$I$10)^(1/12))</f>
        <v>1.14301297247958</v>
      </c>
      <c r="CK8" s="110" t="n">
        <f aca="false">CJ8*((1+'Executive Summary'!$I$10)^(1/12))</f>
        <v>1.14490075133278</v>
      </c>
      <c r="CL8" s="110" t="n">
        <f aca="false">CK8*((1+'Executive Summary'!$I$10)^(1/12))</f>
        <v>1.14679164800624</v>
      </c>
      <c r="CM8" s="110" t="n">
        <f aca="false">CL8*((1+'Executive Summary'!$I$10)^(1/12))</f>
        <v>1.14868566764928</v>
      </c>
      <c r="CN8" s="110" t="n">
        <f aca="false">CM8*((1+'Executive Summary'!$I$10)^(1/12))</f>
        <v>1.15058281541976</v>
      </c>
      <c r="CO8" s="110" t="n">
        <f aca="false">CN8*((1+'Executive Summary'!$I$10)^(1/12))</f>
        <v>1.15248309648402</v>
      </c>
      <c r="CP8" s="110" t="n">
        <f aca="false">CO8*((1+'Executive Summary'!$I$10)^(1/12))</f>
        <v>1.15438651601695</v>
      </c>
      <c r="CQ8" s="110" t="n">
        <f aca="false">CP8*((1+'Executive Summary'!$I$10)^(1/12))</f>
        <v>1.15629307920199</v>
      </c>
      <c r="CR8" s="110" t="n">
        <f aca="false">CQ8*((1+'Executive Summary'!$I$10)^(1/12))</f>
        <v>1.15820279123114</v>
      </c>
      <c r="CS8" s="110" t="n">
        <f aca="false">CR8*((1+'Executive Summary'!$I$10)^(1/12))</f>
        <v>1.16011565730497</v>
      </c>
      <c r="CT8" s="110" t="n">
        <f aca="false">CS8*((1+'Executive Summary'!$I$10)^(1/12))</f>
        <v>1.16203168263264</v>
      </c>
      <c r="CU8" s="110" t="n">
        <f aca="false">CT8*((1+'Executive Summary'!$I$10)^(1/12))</f>
        <v>1.16395087243191</v>
      </c>
      <c r="CV8" s="110" t="n">
        <f aca="false">CU8*((1+'Executive Summary'!$I$10)^(1/12))</f>
        <v>1.16587323192918</v>
      </c>
      <c r="CW8" s="110" t="n">
        <f aca="false">CV8*((1+'Executive Summary'!$I$10)^(1/12))</f>
        <v>1.16779876635944</v>
      </c>
      <c r="CX8" s="110" t="n">
        <f aca="false">CW8*((1+'Executive Summary'!$I$10)^(1/12))</f>
        <v>1.16972748096636</v>
      </c>
      <c r="CY8" s="110" t="n">
        <f aca="false">CX8*((1+'Executive Summary'!$I$10)^(1/12))</f>
        <v>1.17165938100227</v>
      </c>
      <c r="CZ8" s="110" t="n">
        <f aca="false">CY8*((1+'Executive Summary'!$I$10)^(1/12))</f>
        <v>1.17359447172815</v>
      </c>
      <c r="DA8" s="110" t="n">
        <f aca="false">CZ8*((1+'Executive Summary'!$I$10)^(1/12))</f>
        <v>1.1755327584137</v>
      </c>
      <c r="DB8" s="110" t="n">
        <f aca="false">DA8*((1+'Executive Summary'!$I$10)^(1/12))</f>
        <v>1.17747424633729</v>
      </c>
      <c r="DC8" s="110" t="n">
        <f aca="false">DB8*((1+'Executive Summary'!$I$10)^(1/12))</f>
        <v>1.17941894078603</v>
      </c>
      <c r="DD8" s="110" t="n">
        <f aca="false">DC8*((1+'Executive Summary'!$I$10)^(1/12))</f>
        <v>1.18136684705576</v>
      </c>
      <c r="DE8" s="110" t="n">
        <f aca="false">DD8*((1+'Executive Summary'!$I$10)^(1/12))</f>
        <v>1.18331797045107</v>
      </c>
      <c r="DF8" s="110" t="n">
        <f aca="false">DE8*((1+'Executive Summary'!$I$10)^(1/12))</f>
        <v>1.18527231628529</v>
      </c>
      <c r="DG8" s="110" t="n">
        <f aca="false">DF8*((1+'Executive Summary'!$I$10)^(1/12))</f>
        <v>1.18722988988055</v>
      </c>
      <c r="DH8" s="110" t="n">
        <f aca="false">DG8*((1+'Executive Summary'!$I$10)^(1/12))</f>
        <v>1.18919069656776</v>
      </c>
      <c r="DI8" s="110" t="n">
        <f aca="false">DH8*((1+'Executive Summary'!$I$10)^(1/12))</f>
        <v>1.19115474168663</v>
      </c>
      <c r="DJ8" s="110" t="n">
        <f aca="false">DI8*((1+'Executive Summary'!$I$10)^(1/12))</f>
        <v>1.19312203058569</v>
      </c>
      <c r="DK8" s="110" t="n">
        <f aca="false">DJ8*((1+'Executive Summary'!$I$10)^(1/12))</f>
        <v>1.19509256862232</v>
      </c>
      <c r="DL8" s="110" t="n">
        <f aca="false">DK8*((1+'Executive Summary'!$I$10)^(1/12))</f>
        <v>1.19706636116272</v>
      </c>
      <c r="DM8" s="110" t="n">
        <f aca="false">DL8*((1+'Executive Summary'!$I$10)^(1/12))</f>
        <v>1.19904341358197</v>
      </c>
      <c r="DN8" s="110" t="n">
        <f aca="false">DM8*((1+'Executive Summary'!$I$10)^(1/12))</f>
        <v>1.20102373126403</v>
      </c>
      <c r="DO8" s="110" t="n">
        <f aca="false">DN8*((1+'Executive Summary'!$I$10)^(1/12))</f>
        <v>1.20300731960175</v>
      </c>
      <c r="DP8" s="110" t="n">
        <f aca="false">DO8*((1+'Executive Summary'!$I$10)^(1/12))</f>
        <v>1.20499418399688</v>
      </c>
      <c r="DQ8" s="110" t="n">
        <f aca="false">DP8*((1+'Executive Summary'!$I$10)^(1/12))</f>
        <v>1.20698432986009</v>
      </c>
      <c r="DR8" s="110" t="n">
        <f aca="false">DQ8*((1+'Executive Summary'!$I$10)^(1/12))</f>
        <v>1.208977762611</v>
      </c>
      <c r="DS8" s="110" t="n">
        <f aca="false">DR8*((1+'Executive Summary'!$I$10)^(1/12))</f>
        <v>1.21097448767816</v>
      </c>
      <c r="DT8" s="110" t="n">
        <f aca="false">DS8*((1+'Executive Summary'!$I$10)^(1/12))</f>
        <v>1.21297451049912</v>
      </c>
      <c r="DU8" s="110" t="n">
        <f aca="false">DT8*((1+'Executive Summary'!$I$10)^(1/12))</f>
        <v>1.21497783652036</v>
      </c>
      <c r="DV8" s="110" t="n">
        <f aca="false">DU8*((1+'Executive Summary'!$I$10)^(1/12))</f>
        <v>1.21698447119741</v>
      </c>
      <c r="DW8" s="110" t="n">
        <f aca="false">DV8*((1+'Executive Summary'!$I$10)^(1/12))</f>
        <v>1.21899441999476</v>
      </c>
      <c r="DX8" s="110" t="n">
        <f aca="false">DW8*((1+'Executive Summary'!$I$10)^(1/12))</f>
        <v>1.22100768838597</v>
      </c>
      <c r="DY8" s="110" t="n">
        <f aca="false">DX8*((1+'Executive Summary'!$I$10)^(1/12))</f>
        <v>1.22302428185361</v>
      </c>
      <c r="DZ8" s="110" t="n">
        <f aca="false">DY8*((1+'Executive Summary'!$I$10)^(1/12))</f>
        <v>1.22504420588932</v>
      </c>
      <c r="EA8" s="110" t="n">
        <f aca="false">DZ8*((1+'Executive Summary'!$I$10)^(1/12))</f>
        <v>1.22706746599379</v>
      </c>
      <c r="EB8" s="110" t="n">
        <f aca="false">EA8*((1+'Executive Summary'!$I$10)^(1/12))</f>
        <v>1.22909406767682</v>
      </c>
      <c r="EC8" s="110" t="n">
        <f aca="false">EB8*((1+'Executive Summary'!$I$10)^(1/12))</f>
        <v>1.23112401645729</v>
      </c>
      <c r="ED8" s="110" t="n">
        <f aca="false">EC8*((1+'Executive Summary'!$I$10)^(1/12))</f>
        <v>1.23315731786322</v>
      </c>
      <c r="EE8" s="110" t="n">
        <f aca="false">ED8*((1+'Executive Summary'!$I$10)^(1/12))</f>
        <v>1.23519397743173</v>
      </c>
      <c r="EF8" s="110" t="n">
        <f aca="false">EE8*((1+'Executive Summary'!$I$10)^(1/12))</f>
        <v>1.2372340007091</v>
      </c>
      <c r="EG8" s="110" t="n">
        <f aca="false">EF8*((1+'Executive Summary'!$I$10)^(1/12))</f>
        <v>1.23927739325077</v>
      </c>
      <c r="EH8" s="110" t="n">
        <f aca="false">EG8*((1+'Executive Summary'!$I$10)^(1/12))</f>
        <v>1.24132416062136</v>
      </c>
      <c r="EI8" s="521" t="n">
        <f aca="false">EH8*((1+'Executive Summary'!$I$10)^(1/12))</f>
        <v>1.24337430839466</v>
      </c>
    </row>
    <row r="9" s="522" customFormat="true" ht="13.5" hidden="false" customHeight="true" outlineLevel="0" collapsed="false">
      <c r="B9" s="513" t="s">
        <v>486</v>
      </c>
      <c r="C9" s="421"/>
      <c r="D9" s="512"/>
      <c r="E9" s="472"/>
      <c r="F9" s="421"/>
      <c r="G9" s="523"/>
      <c r="H9" s="61" t="n">
        <f aca="false">MIN('Renovation Plan'!D9,'Executive Summary'!$C$12-G10)</f>
        <v>0</v>
      </c>
      <c r="I9" s="61" t="n">
        <f aca="false">MIN('Renovation Plan'!E9,'Executive Summary'!$C$12-H10)</f>
        <v>3</v>
      </c>
      <c r="J9" s="61" t="n">
        <f aca="false">MIN('Renovation Plan'!F9,'Executive Summary'!$C$12-I10)</f>
        <v>5</v>
      </c>
      <c r="K9" s="61" t="n">
        <f aca="false">MIN('Renovation Plan'!G9,'Executive Summary'!$C$12-J10)</f>
        <v>3</v>
      </c>
      <c r="L9" s="61" t="n">
        <f aca="false">MIN('Renovation Plan'!H9,'Executive Summary'!$C$12-K10)</f>
        <v>5</v>
      </c>
      <c r="M9" s="61" t="n">
        <f aca="false">MIN('Renovation Plan'!I9,'Executive Summary'!$C$12-L10)</f>
        <v>3</v>
      </c>
      <c r="N9" s="61" t="n">
        <f aca="false">MIN('Renovation Plan'!J9,'Executive Summary'!$C$12-M10)</f>
        <v>5</v>
      </c>
      <c r="O9" s="61" t="n">
        <f aca="false">MIN('Renovation Plan'!K9,'Executive Summary'!$C$12-N10)</f>
        <v>3</v>
      </c>
      <c r="P9" s="61" t="n">
        <f aca="false">MIN('Renovation Plan'!L9,'Executive Summary'!$C$12-O10)</f>
        <v>5</v>
      </c>
      <c r="Q9" s="61" t="n">
        <f aca="false">MIN('Renovation Plan'!M9,'Executive Summary'!$C$12-P10)</f>
        <v>3</v>
      </c>
      <c r="R9" s="61" t="n">
        <f aca="false">MIN('Renovation Plan'!N9,'Executive Summary'!$C$12-Q10)</f>
        <v>5</v>
      </c>
      <c r="S9" s="61" t="n">
        <f aca="false">MIN('Renovation Plan'!O9,'Executive Summary'!$C$12-R10)</f>
        <v>3</v>
      </c>
      <c r="T9" s="61" t="n">
        <f aca="false">MIN('Renovation Plan'!$P$9,'Executive Summary'!$C$12-S10)</f>
        <v>5</v>
      </c>
      <c r="U9" s="61" t="n">
        <f aca="false">MIN('Renovation Plan'!$P$9,'Executive Summary'!$C$12-T10)</f>
        <v>5</v>
      </c>
      <c r="V9" s="61" t="n">
        <f aca="false">MIN('Renovation Plan'!$P$9,'Executive Summary'!$C$12-U10)</f>
        <v>5</v>
      </c>
      <c r="W9" s="61" t="n">
        <f aca="false">MIN('Renovation Plan'!$P$9,'Executive Summary'!$C$12-V10)</f>
        <v>5</v>
      </c>
      <c r="X9" s="61" t="n">
        <f aca="false">MIN('Renovation Plan'!$P$9,'Executive Summary'!$C$12-W10)</f>
        <v>5</v>
      </c>
      <c r="Y9" s="61" t="n">
        <f aca="false">MIN('Renovation Plan'!$P$9,'Executive Summary'!$C$12-X10)</f>
        <v>5</v>
      </c>
      <c r="Z9" s="61" t="n">
        <f aca="false">MIN('Renovation Plan'!$P$9,'Executive Summary'!$C$12-Y10)</f>
        <v>5</v>
      </c>
      <c r="AA9" s="61" t="n">
        <f aca="false">MIN('Renovation Plan'!$P$9,'Executive Summary'!$C$12-Z10)</f>
        <v>2</v>
      </c>
      <c r="AB9" s="61" t="n">
        <f aca="false">MIN('Renovation Plan'!$P$9,'Executive Summary'!$C$12-AA10)</f>
        <v>0</v>
      </c>
      <c r="AC9" s="61" t="n">
        <f aca="false">MIN('Renovation Plan'!$P$9,'Executive Summary'!$C$12-AB10)</f>
        <v>0</v>
      </c>
      <c r="AD9" s="61" t="n">
        <f aca="false">MIN('Renovation Plan'!$P$9,'Executive Summary'!$C$12-AC10)</f>
        <v>0</v>
      </c>
      <c r="AE9" s="61" t="n">
        <f aca="false">MIN('Renovation Plan'!$P$9,'Executive Summary'!$C$12-AD10)</f>
        <v>0</v>
      </c>
      <c r="AF9" s="61" t="n">
        <f aca="false">MIN('Renovation Plan'!$P$9,'Executive Summary'!$C$12-AE10)</f>
        <v>0</v>
      </c>
      <c r="AG9" s="61" t="n">
        <f aca="false">MIN('Renovation Plan'!$P$9,'Executive Summary'!$C$12-AF10)</f>
        <v>0</v>
      </c>
      <c r="AH9" s="61" t="n">
        <f aca="false">MIN('Renovation Plan'!$P$9,'Executive Summary'!$C$12-AG10)</f>
        <v>0</v>
      </c>
      <c r="AI9" s="61" t="n">
        <f aca="false">MIN('Renovation Plan'!$P$9,'Executive Summary'!$C$12-AH10)</f>
        <v>0</v>
      </c>
      <c r="AJ9" s="61" t="n">
        <f aca="false">MIN('Renovation Plan'!$P$9,'Executive Summary'!$C$12-AI10)</f>
        <v>0</v>
      </c>
      <c r="AK9" s="61" t="n">
        <f aca="false">MIN('Renovation Plan'!$P$9,'Executive Summary'!$C$12-AJ10)</f>
        <v>0</v>
      </c>
      <c r="AL9" s="61" t="n">
        <f aca="false">MIN('Renovation Plan'!$P$9,'Executive Summary'!$C$12-AK10)</f>
        <v>0</v>
      </c>
      <c r="AM9" s="61" t="n">
        <f aca="false">MIN('Renovation Plan'!$P$9,'Executive Summary'!$C$12-AL10)</f>
        <v>0</v>
      </c>
      <c r="AN9" s="61" t="n">
        <f aca="false">MIN('Renovation Plan'!$P$9,'Executive Summary'!$C$12-AM10)</f>
        <v>0</v>
      </c>
      <c r="AO9" s="61" t="n">
        <f aca="false">MIN('Renovation Plan'!$P$9,'Executive Summary'!$C$12-AN10)</f>
        <v>0</v>
      </c>
      <c r="AP9" s="61" t="n">
        <f aca="false">MIN('Renovation Plan'!$P$9,'Executive Summary'!$C$12-AO10)</f>
        <v>0</v>
      </c>
      <c r="AQ9" s="61" t="n">
        <f aca="false">MIN('Renovation Plan'!$P$9,'Executive Summary'!$C$12-AP10)</f>
        <v>0</v>
      </c>
      <c r="AR9" s="61" t="n">
        <f aca="false">MIN('Renovation Plan'!$P$9,'Executive Summary'!$C$12-AQ10)</f>
        <v>0</v>
      </c>
      <c r="AS9" s="61" t="n">
        <f aca="false">MIN('Renovation Plan'!$P$9,'Executive Summary'!$C$12-AR10)</f>
        <v>0</v>
      </c>
      <c r="AT9" s="61" t="n">
        <f aca="false">MIN('Renovation Plan'!$P$9,'Executive Summary'!$C$12-AS10)</f>
        <v>0</v>
      </c>
      <c r="AU9" s="61" t="n">
        <f aca="false">MIN('Renovation Plan'!$P$9,'Executive Summary'!$C$12-AT10)</f>
        <v>0</v>
      </c>
      <c r="AV9" s="61" t="n">
        <f aca="false">MIN('Renovation Plan'!$P$9,'Executive Summary'!$C$12-AU10)</f>
        <v>0</v>
      </c>
      <c r="AW9" s="61" t="n">
        <f aca="false">MIN('Renovation Plan'!$P$9,'Executive Summary'!$C$12-AV10)</f>
        <v>0</v>
      </c>
      <c r="AX9" s="61" t="n">
        <f aca="false">MIN('Renovation Plan'!$P$9,'Executive Summary'!$C$12-AW10)</f>
        <v>0</v>
      </c>
      <c r="AY9" s="61" t="n">
        <f aca="false">MIN('Renovation Plan'!$P$9,'Executive Summary'!$C$12-AX10)</f>
        <v>0</v>
      </c>
      <c r="AZ9" s="61" t="n">
        <f aca="false">MIN('Renovation Plan'!$P$9,'Executive Summary'!$C$12-AY10)</f>
        <v>0</v>
      </c>
      <c r="BA9" s="61" t="n">
        <f aca="false">MIN('Renovation Plan'!$P$9,'Executive Summary'!$C$12-AZ10)</f>
        <v>0</v>
      </c>
      <c r="BB9" s="61" t="n">
        <f aca="false">MIN('Renovation Plan'!$P$9,'Executive Summary'!$C$12-BA10)</f>
        <v>0</v>
      </c>
      <c r="BC9" s="61" t="n">
        <f aca="false">MIN('Renovation Plan'!$P$9,'Executive Summary'!$C$12-BB10)</f>
        <v>0</v>
      </c>
      <c r="BD9" s="61" t="n">
        <f aca="false">MIN('Renovation Plan'!$P$9,'Executive Summary'!$C$12-BC10)</f>
        <v>0</v>
      </c>
      <c r="BE9" s="61" t="n">
        <f aca="false">MIN('Renovation Plan'!$P$9,'Executive Summary'!$C$12-BD10)</f>
        <v>0</v>
      </c>
      <c r="BF9" s="61" t="n">
        <f aca="false">MIN('Renovation Plan'!$P$9,'Executive Summary'!$C$12-BE10)</f>
        <v>0</v>
      </c>
      <c r="BG9" s="61" t="n">
        <f aca="false">MIN('Renovation Plan'!$P$9,'Executive Summary'!$C$12-BF10)</f>
        <v>0</v>
      </c>
      <c r="BH9" s="61" t="n">
        <f aca="false">MIN('Renovation Plan'!$P$9,'Executive Summary'!$C$12-BG10)</f>
        <v>0</v>
      </c>
      <c r="BI9" s="61" t="n">
        <f aca="false">MIN('Renovation Plan'!$P$9,'Executive Summary'!$C$12-BH10)</f>
        <v>0</v>
      </c>
      <c r="BJ9" s="61" t="n">
        <f aca="false">MIN('Renovation Plan'!$P$9,'Executive Summary'!$C$12-BI10)</f>
        <v>0</v>
      </c>
      <c r="BK9" s="61" t="n">
        <f aca="false">MIN('Renovation Plan'!$P$9,'Executive Summary'!$C$12-BJ10)</f>
        <v>0</v>
      </c>
      <c r="BL9" s="61" t="n">
        <f aca="false">MIN('Renovation Plan'!$P$9,'Executive Summary'!$C$12-BK10)</f>
        <v>0</v>
      </c>
      <c r="BM9" s="61" t="n">
        <f aca="false">MIN('Renovation Plan'!$P$9,'Executive Summary'!$C$12-BL10)</f>
        <v>0</v>
      </c>
      <c r="BN9" s="61" t="n">
        <f aca="false">MIN('Renovation Plan'!$P$9,'Executive Summary'!$C$12-BM10)</f>
        <v>0</v>
      </c>
      <c r="BO9" s="61" t="n">
        <f aca="false">MIN('Renovation Plan'!$P$9,'Executive Summary'!$C$12-BN10)</f>
        <v>0</v>
      </c>
      <c r="BP9" s="61" t="n">
        <f aca="false">MIN('Renovation Plan'!$P$9,'Executive Summary'!$C$12-BO10)</f>
        <v>0</v>
      </c>
      <c r="BQ9" s="61" t="n">
        <f aca="false">MIN('Renovation Plan'!$P$9,'Executive Summary'!$C$12-BP10)</f>
        <v>0</v>
      </c>
      <c r="BR9" s="61" t="n">
        <f aca="false">MIN('Renovation Plan'!$P$9,'Executive Summary'!$C$12-BQ10)</f>
        <v>0</v>
      </c>
      <c r="BS9" s="61" t="n">
        <f aca="false">MIN('Renovation Plan'!$P$9,'Executive Summary'!$C$12-BR10)</f>
        <v>0</v>
      </c>
      <c r="BT9" s="61" t="n">
        <f aca="false">MIN('Renovation Plan'!$P$9,'Executive Summary'!$C$12-BS10)</f>
        <v>0</v>
      </c>
      <c r="BU9" s="61" t="n">
        <f aca="false">MIN('Renovation Plan'!$P$9,'Executive Summary'!$C$12-BT10)</f>
        <v>0</v>
      </c>
      <c r="BV9" s="61" t="n">
        <f aca="false">MIN('Renovation Plan'!$P$9,'Executive Summary'!$C$12-BU10)</f>
        <v>0</v>
      </c>
      <c r="BW9" s="61" t="n">
        <f aca="false">MIN('Renovation Plan'!$P$9,'Executive Summary'!$C$12-BV10)</f>
        <v>0</v>
      </c>
      <c r="BX9" s="61" t="n">
        <f aca="false">MIN('Renovation Plan'!$P$9,'Executive Summary'!$C$12-BW10)</f>
        <v>0</v>
      </c>
      <c r="BY9" s="61" t="n">
        <f aca="false">MIN('Renovation Plan'!$P$9,'Executive Summary'!$C$12-BX10)</f>
        <v>0</v>
      </c>
      <c r="BZ9" s="61" t="n">
        <f aca="false">MIN('Renovation Plan'!$P$9,'Executive Summary'!$C$12-BY10)</f>
        <v>0</v>
      </c>
      <c r="CA9" s="61" t="n">
        <f aca="false">MIN('Renovation Plan'!$P$9,'Executive Summary'!$C$12-BZ10)</f>
        <v>0</v>
      </c>
      <c r="CB9" s="61" t="n">
        <f aca="false">MIN('Renovation Plan'!$P$9,'Executive Summary'!$C$12-CA10)</f>
        <v>0</v>
      </c>
      <c r="CC9" s="61" t="n">
        <f aca="false">MIN('Renovation Plan'!$P$9,'Executive Summary'!$C$12-CB10)</f>
        <v>0</v>
      </c>
      <c r="CD9" s="61" t="n">
        <f aca="false">MIN('Renovation Plan'!$P$9,'Executive Summary'!$C$12-CC10)</f>
        <v>0</v>
      </c>
      <c r="CE9" s="61" t="n">
        <f aca="false">MIN('Renovation Plan'!$P$9,'Executive Summary'!$C$12-CD10)</f>
        <v>0</v>
      </c>
      <c r="CF9" s="61" t="n">
        <f aca="false">MIN('Renovation Plan'!$P$9,'Executive Summary'!$C$12-CE10)</f>
        <v>0</v>
      </c>
      <c r="CG9" s="61" t="n">
        <f aca="false">MIN('Renovation Plan'!$P$9,'Executive Summary'!$C$12-CF10)</f>
        <v>0</v>
      </c>
      <c r="CH9" s="61" t="n">
        <f aca="false">MIN('Renovation Plan'!$P$9,'Executive Summary'!$C$12-CG10)</f>
        <v>0</v>
      </c>
      <c r="CI9" s="61" t="n">
        <f aca="false">MIN('Renovation Plan'!$P$9,'Executive Summary'!$C$12-CH10)</f>
        <v>0</v>
      </c>
      <c r="CJ9" s="61" t="n">
        <f aca="false">MIN('Renovation Plan'!$P$9,'Executive Summary'!$C$12-CI10)</f>
        <v>0</v>
      </c>
      <c r="CK9" s="61" t="n">
        <f aca="false">MIN('Renovation Plan'!$P$9,'Executive Summary'!$C$12-CJ10)</f>
        <v>0</v>
      </c>
      <c r="CL9" s="61" t="n">
        <f aca="false">MIN('Renovation Plan'!$P$9,'Executive Summary'!$C$12-CK10)</f>
        <v>0</v>
      </c>
      <c r="CM9" s="61" t="n">
        <f aca="false">MIN('Renovation Plan'!$P$9,'Executive Summary'!$C$12-CL10)</f>
        <v>0</v>
      </c>
      <c r="CN9" s="61" t="n">
        <f aca="false">MIN('Renovation Plan'!$P$9,'Executive Summary'!$C$12-CM10)</f>
        <v>0</v>
      </c>
      <c r="CO9" s="61" t="n">
        <f aca="false">MIN('Renovation Plan'!$P$9,'Executive Summary'!$C$12-CN10)</f>
        <v>0</v>
      </c>
      <c r="CP9" s="61" t="n">
        <f aca="false">MIN('Renovation Plan'!$P$9,'Executive Summary'!$C$12-CO10)</f>
        <v>0</v>
      </c>
      <c r="CQ9" s="61" t="n">
        <f aca="false">MIN('Renovation Plan'!$P$9,'Executive Summary'!$C$12-CP10)</f>
        <v>0</v>
      </c>
      <c r="CR9" s="61" t="n">
        <f aca="false">MIN('Renovation Plan'!$P$9,'Executive Summary'!$C$12-CQ10)</f>
        <v>0</v>
      </c>
      <c r="CS9" s="61" t="n">
        <f aca="false">MIN('Renovation Plan'!$P$9,'Executive Summary'!$C$12-CR10)</f>
        <v>0</v>
      </c>
      <c r="CT9" s="61" t="n">
        <f aca="false">MIN('Renovation Plan'!$P$9,'Executive Summary'!$C$12-CS10)</f>
        <v>0</v>
      </c>
      <c r="CU9" s="61" t="n">
        <f aca="false">MIN('Renovation Plan'!$P$9,'Executive Summary'!$C$12-CT10)</f>
        <v>0</v>
      </c>
      <c r="CV9" s="61" t="n">
        <f aca="false">MIN('Renovation Plan'!$P$9,'Executive Summary'!$C$12-CU10)</f>
        <v>0</v>
      </c>
      <c r="CW9" s="61" t="n">
        <f aca="false">MIN('Renovation Plan'!$P$9,'Executive Summary'!$C$12-CV10)</f>
        <v>0</v>
      </c>
      <c r="CX9" s="61" t="n">
        <f aca="false">MIN('Renovation Plan'!$P$9,'Executive Summary'!$C$12-CW10)</f>
        <v>0</v>
      </c>
      <c r="CY9" s="61" t="n">
        <f aca="false">MIN('Renovation Plan'!$P$9,'Executive Summary'!$C$12-CX10)</f>
        <v>0</v>
      </c>
      <c r="CZ9" s="61" t="n">
        <f aca="false">MIN('Renovation Plan'!$P$9,'Executive Summary'!$C$12-CY10)</f>
        <v>0</v>
      </c>
      <c r="DA9" s="61" t="n">
        <f aca="false">MIN('Renovation Plan'!$P$9,'Executive Summary'!$C$12-CZ10)</f>
        <v>0</v>
      </c>
      <c r="DB9" s="61" t="n">
        <f aca="false">MIN('Renovation Plan'!$P$9,'Executive Summary'!$C$12-DA10)</f>
        <v>0</v>
      </c>
      <c r="DC9" s="61" t="n">
        <f aca="false">MIN('Renovation Plan'!$P$9,'Executive Summary'!$C$12-DB10)</f>
        <v>0</v>
      </c>
      <c r="DD9" s="61" t="n">
        <f aca="false">MIN('Renovation Plan'!$P$9,'Executive Summary'!$C$12-DC10)</f>
        <v>0</v>
      </c>
      <c r="DE9" s="61" t="n">
        <f aca="false">MIN('Renovation Plan'!$P$9,'Executive Summary'!$C$12-DD10)</f>
        <v>0</v>
      </c>
      <c r="DF9" s="61" t="n">
        <f aca="false">MIN('Renovation Plan'!$P$9,'Executive Summary'!$C$12-DE10)</f>
        <v>0</v>
      </c>
      <c r="DG9" s="61" t="n">
        <f aca="false">MIN('Renovation Plan'!$P$9,'Executive Summary'!$C$12-DF10)</f>
        <v>0</v>
      </c>
      <c r="DH9" s="61" t="n">
        <f aca="false">MIN('Renovation Plan'!$P$9,'Executive Summary'!$C$12-DG10)</f>
        <v>0</v>
      </c>
      <c r="DI9" s="61" t="n">
        <f aca="false">MIN('Renovation Plan'!$P$9,'Executive Summary'!$C$12-DH10)</f>
        <v>0</v>
      </c>
      <c r="DJ9" s="61" t="n">
        <f aca="false">MIN('Renovation Plan'!$P$9,'Executive Summary'!$C$12-DI10)</f>
        <v>0</v>
      </c>
      <c r="DK9" s="61" t="n">
        <f aca="false">MIN('Renovation Plan'!$P$9,'Executive Summary'!$C$12-DJ10)</f>
        <v>0</v>
      </c>
      <c r="DL9" s="61" t="n">
        <f aca="false">MIN('Renovation Plan'!$P$9,'Executive Summary'!$C$12-DK10)</f>
        <v>0</v>
      </c>
      <c r="DM9" s="61" t="n">
        <f aca="false">MIN('Renovation Plan'!$P$9,'Executive Summary'!$C$12-DL10)</f>
        <v>0</v>
      </c>
      <c r="DN9" s="61" t="n">
        <f aca="false">MIN('Renovation Plan'!$P$9,'Executive Summary'!$C$12-DM10)</f>
        <v>0</v>
      </c>
      <c r="DO9" s="61" t="n">
        <f aca="false">MIN('Renovation Plan'!$P$9,'Executive Summary'!$C$12-DN10)</f>
        <v>0</v>
      </c>
      <c r="DP9" s="61" t="n">
        <f aca="false">MIN('Renovation Plan'!$P$9,'Executive Summary'!$C$12-DO10)</f>
        <v>0</v>
      </c>
      <c r="DQ9" s="61" t="n">
        <f aca="false">MIN('Renovation Plan'!$P$9,'Executive Summary'!$C$12-DP10)</f>
        <v>0</v>
      </c>
      <c r="DR9" s="61" t="n">
        <f aca="false">MIN('Renovation Plan'!$P$9,'Executive Summary'!$C$12-DQ10)</f>
        <v>0</v>
      </c>
      <c r="DS9" s="61" t="n">
        <f aca="false">MIN('Renovation Plan'!$P$9,'Executive Summary'!$C$12-DR10)</f>
        <v>0</v>
      </c>
      <c r="DT9" s="61" t="n">
        <f aca="false">MIN('Renovation Plan'!$P$9,'Executive Summary'!$C$12-DS10)</f>
        <v>0</v>
      </c>
      <c r="DU9" s="61" t="n">
        <f aca="false">MIN('Renovation Plan'!$P$9,'Executive Summary'!$C$12-DT10)</f>
        <v>0</v>
      </c>
      <c r="DV9" s="61" t="n">
        <f aca="false">MIN('Renovation Plan'!$P$9,'Executive Summary'!$C$12-DU10)</f>
        <v>0</v>
      </c>
      <c r="DW9" s="61" t="n">
        <f aca="false">MIN('Renovation Plan'!$P$9,'Executive Summary'!$C$12-DV10)</f>
        <v>0</v>
      </c>
      <c r="DX9" s="61" t="n">
        <f aca="false">MIN('Renovation Plan'!$P$9,'Executive Summary'!$C$12-DW10)</f>
        <v>0</v>
      </c>
      <c r="DY9" s="61" t="n">
        <f aca="false">MIN('Renovation Plan'!$P$9,'Executive Summary'!$C$12-DX10)</f>
        <v>0</v>
      </c>
      <c r="DZ9" s="61" t="n">
        <f aca="false">MIN('Renovation Plan'!$P$9,'Executive Summary'!$C$12-DY10)</f>
        <v>0</v>
      </c>
      <c r="EA9" s="61" t="n">
        <f aca="false">MIN('Renovation Plan'!$P$9,'Executive Summary'!$C$12-DZ10)</f>
        <v>0</v>
      </c>
      <c r="EB9" s="61" t="n">
        <f aca="false">MIN('Renovation Plan'!$P$9,'Executive Summary'!$C$12-EA10)</f>
        <v>0</v>
      </c>
      <c r="EC9" s="61" t="n">
        <f aca="false">MIN('Renovation Plan'!$P$9,'Executive Summary'!$C$12-EB10)</f>
        <v>0</v>
      </c>
      <c r="ED9" s="61" t="n">
        <f aca="false">MIN('Renovation Plan'!$P$9,'Executive Summary'!$C$12-EC10)</f>
        <v>0</v>
      </c>
      <c r="EE9" s="61" t="n">
        <f aca="false">MIN('Renovation Plan'!$P$9,'Executive Summary'!$C$12-ED10)</f>
        <v>0</v>
      </c>
      <c r="EF9" s="61" t="n">
        <f aca="false">MIN('Renovation Plan'!$P$9,'Executive Summary'!$C$12-EE10)</f>
        <v>0</v>
      </c>
      <c r="EG9" s="61" t="n">
        <f aca="false">MIN('Renovation Plan'!$P$9,'Executive Summary'!$C$12-EF10)</f>
        <v>0</v>
      </c>
      <c r="EH9" s="61" t="n">
        <f aca="false">MIN('Renovation Plan'!$P$9,'Executive Summary'!$C$12-EG10)</f>
        <v>0</v>
      </c>
      <c r="EI9" s="524" t="n">
        <f aca="false">MIN('Renovation Plan'!$P$9,'Executive Summary'!$C$12-EH10)</f>
        <v>0</v>
      </c>
    </row>
    <row r="10" s="522" customFormat="true" ht="13.5" hidden="false" customHeight="true" outlineLevel="0" collapsed="false">
      <c r="B10" s="513" t="s">
        <v>561</v>
      </c>
      <c r="C10" s="421"/>
      <c r="D10" s="512"/>
      <c r="E10" s="472"/>
      <c r="F10" s="421"/>
      <c r="G10" s="525" t="n">
        <f aca="false">'Renovation Plan'!C13</f>
        <v>0</v>
      </c>
      <c r="H10" s="61" t="n">
        <f aca="false">G10+H9</f>
        <v>0</v>
      </c>
      <c r="I10" s="61" t="n">
        <f aca="false">H10+I9</f>
        <v>3</v>
      </c>
      <c r="J10" s="61" t="n">
        <f aca="false">I10+J9</f>
        <v>8</v>
      </c>
      <c r="K10" s="61" t="n">
        <f aca="false">J10+K9</f>
        <v>11</v>
      </c>
      <c r="L10" s="61" t="n">
        <f aca="false">K10+L9</f>
        <v>16</v>
      </c>
      <c r="M10" s="61" t="n">
        <f aca="false">L10+M9</f>
        <v>19</v>
      </c>
      <c r="N10" s="61" t="n">
        <f aca="false">M10+N9</f>
        <v>24</v>
      </c>
      <c r="O10" s="61" t="n">
        <f aca="false">N10+O9</f>
        <v>27</v>
      </c>
      <c r="P10" s="61" t="n">
        <f aca="false">O10+P9</f>
        <v>32</v>
      </c>
      <c r="Q10" s="61" t="n">
        <f aca="false">P10+Q9</f>
        <v>35</v>
      </c>
      <c r="R10" s="61" t="n">
        <f aca="false">Q10+R9</f>
        <v>40</v>
      </c>
      <c r="S10" s="61" t="n">
        <f aca="false">R10+S9</f>
        <v>43</v>
      </c>
      <c r="T10" s="61" t="n">
        <f aca="false">S10+T9</f>
        <v>48</v>
      </c>
      <c r="U10" s="61" t="n">
        <f aca="false">T10+U9</f>
        <v>53</v>
      </c>
      <c r="V10" s="61" t="n">
        <f aca="false">U10+V9</f>
        <v>58</v>
      </c>
      <c r="W10" s="61" t="n">
        <f aca="false">V10+W9</f>
        <v>63</v>
      </c>
      <c r="X10" s="61" t="n">
        <f aca="false">W10+X9</f>
        <v>68</v>
      </c>
      <c r="Y10" s="61" t="n">
        <f aca="false">X10+Y9</f>
        <v>73</v>
      </c>
      <c r="Z10" s="61" t="n">
        <f aca="false">Y10+Z9</f>
        <v>78</v>
      </c>
      <c r="AA10" s="61" t="n">
        <f aca="false">Z10+AA9</f>
        <v>80</v>
      </c>
      <c r="AB10" s="61" t="n">
        <f aca="false">AA10+AB9</f>
        <v>80</v>
      </c>
      <c r="AC10" s="61" t="n">
        <f aca="false">AB10+AC9</f>
        <v>80</v>
      </c>
      <c r="AD10" s="61" t="n">
        <f aca="false">AC10+AD9</f>
        <v>80</v>
      </c>
      <c r="AE10" s="61" t="n">
        <f aca="false">AD10+AE9</f>
        <v>80</v>
      </c>
      <c r="AF10" s="61" t="n">
        <f aca="false">AE10+AF9</f>
        <v>80</v>
      </c>
      <c r="AG10" s="61" t="n">
        <f aca="false">AF10+AG9</f>
        <v>80</v>
      </c>
      <c r="AH10" s="61" t="n">
        <f aca="false">AG10+AH9</f>
        <v>80</v>
      </c>
      <c r="AI10" s="61" t="n">
        <f aca="false">AH10+AI9</f>
        <v>80</v>
      </c>
      <c r="AJ10" s="61" t="n">
        <f aca="false">AI10+AJ9</f>
        <v>80</v>
      </c>
      <c r="AK10" s="61" t="n">
        <f aca="false">AJ10+AK9</f>
        <v>80</v>
      </c>
      <c r="AL10" s="61" t="n">
        <f aca="false">AK10+AL9</f>
        <v>80</v>
      </c>
      <c r="AM10" s="61" t="n">
        <f aca="false">AL10+AM9</f>
        <v>80</v>
      </c>
      <c r="AN10" s="61" t="n">
        <f aca="false">AM10+AN9</f>
        <v>80</v>
      </c>
      <c r="AO10" s="61" t="n">
        <f aca="false">AN10+AO9</f>
        <v>80</v>
      </c>
      <c r="AP10" s="61" t="n">
        <f aca="false">AO10+AP9</f>
        <v>80</v>
      </c>
      <c r="AQ10" s="61" t="n">
        <f aca="false">AP10+AQ9</f>
        <v>80</v>
      </c>
      <c r="AR10" s="61" t="n">
        <f aca="false">AQ10+AR9</f>
        <v>80</v>
      </c>
      <c r="AS10" s="61" t="n">
        <f aca="false">AR10+AS9</f>
        <v>80</v>
      </c>
      <c r="AT10" s="61" t="n">
        <f aca="false">AS10+AT9</f>
        <v>80</v>
      </c>
      <c r="AU10" s="61" t="n">
        <f aca="false">AT10+AU9</f>
        <v>80</v>
      </c>
      <c r="AV10" s="61" t="n">
        <f aca="false">AU10+AV9</f>
        <v>80</v>
      </c>
      <c r="AW10" s="61" t="n">
        <f aca="false">AV10+AW9</f>
        <v>80</v>
      </c>
      <c r="AX10" s="61" t="n">
        <f aca="false">AW10+AX9</f>
        <v>80</v>
      </c>
      <c r="AY10" s="61" t="n">
        <f aca="false">AX10+AY9</f>
        <v>80</v>
      </c>
      <c r="AZ10" s="61" t="n">
        <f aca="false">AY10+AZ9</f>
        <v>80</v>
      </c>
      <c r="BA10" s="61" t="n">
        <f aca="false">AZ10+BA9</f>
        <v>80</v>
      </c>
      <c r="BB10" s="61" t="n">
        <f aca="false">BA10+BB9</f>
        <v>80</v>
      </c>
      <c r="BC10" s="61" t="n">
        <f aca="false">BB10+BC9</f>
        <v>80</v>
      </c>
      <c r="BD10" s="61" t="n">
        <f aca="false">BC10+BD9</f>
        <v>80</v>
      </c>
      <c r="BE10" s="61" t="n">
        <f aca="false">BD10+BE9</f>
        <v>80</v>
      </c>
      <c r="BF10" s="61" t="n">
        <f aca="false">BE10+BF9</f>
        <v>80</v>
      </c>
      <c r="BG10" s="61" t="n">
        <f aca="false">BF10+BG9</f>
        <v>80</v>
      </c>
      <c r="BH10" s="61" t="n">
        <f aca="false">BG10+BH9</f>
        <v>80</v>
      </c>
      <c r="BI10" s="61" t="n">
        <f aca="false">BH10+BI9</f>
        <v>80</v>
      </c>
      <c r="BJ10" s="61" t="n">
        <f aca="false">BI10+BJ9</f>
        <v>80</v>
      </c>
      <c r="BK10" s="61" t="n">
        <f aca="false">BJ10+BK9</f>
        <v>80</v>
      </c>
      <c r="BL10" s="61" t="n">
        <f aca="false">BK10+BL9</f>
        <v>80</v>
      </c>
      <c r="BM10" s="61" t="n">
        <f aca="false">BL10+BM9</f>
        <v>80</v>
      </c>
      <c r="BN10" s="61" t="n">
        <f aca="false">BM10+BN9</f>
        <v>80</v>
      </c>
      <c r="BO10" s="61" t="n">
        <f aca="false">BN10+BO9</f>
        <v>80</v>
      </c>
      <c r="BP10" s="61" t="n">
        <f aca="false">BO10+BP9</f>
        <v>80</v>
      </c>
      <c r="BQ10" s="61" t="n">
        <f aca="false">BP10+BQ9</f>
        <v>80</v>
      </c>
      <c r="BR10" s="61" t="n">
        <f aca="false">BQ10+BR9</f>
        <v>80</v>
      </c>
      <c r="BS10" s="61" t="n">
        <f aca="false">BR10+BS9</f>
        <v>80</v>
      </c>
      <c r="BT10" s="61" t="n">
        <f aca="false">BS10+BT9</f>
        <v>80</v>
      </c>
      <c r="BU10" s="61" t="n">
        <f aca="false">BT10+BU9</f>
        <v>80</v>
      </c>
      <c r="BV10" s="61" t="n">
        <f aca="false">BU10+BV9</f>
        <v>80</v>
      </c>
      <c r="BW10" s="61" t="n">
        <f aca="false">BV10+BW9</f>
        <v>80</v>
      </c>
      <c r="BX10" s="61" t="n">
        <f aca="false">BW10+BX9</f>
        <v>80</v>
      </c>
      <c r="BY10" s="61" t="n">
        <f aca="false">BX10+BY9</f>
        <v>80</v>
      </c>
      <c r="BZ10" s="61" t="n">
        <f aca="false">BY10+BZ9</f>
        <v>80</v>
      </c>
      <c r="CA10" s="61" t="n">
        <f aca="false">BZ10+CA9</f>
        <v>80</v>
      </c>
      <c r="CB10" s="61" t="n">
        <f aca="false">CA10+CB9</f>
        <v>80</v>
      </c>
      <c r="CC10" s="61" t="n">
        <f aca="false">CB10+CC9</f>
        <v>80</v>
      </c>
      <c r="CD10" s="61" t="n">
        <f aca="false">CC10+CD9</f>
        <v>80</v>
      </c>
      <c r="CE10" s="61" t="n">
        <f aca="false">CD10+CE9</f>
        <v>80</v>
      </c>
      <c r="CF10" s="61" t="n">
        <f aca="false">CE10+CF9</f>
        <v>80</v>
      </c>
      <c r="CG10" s="61" t="n">
        <f aca="false">CF10+CG9</f>
        <v>80</v>
      </c>
      <c r="CH10" s="61" t="n">
        <f aca="false">CG10+CH9</f>
        <v>80</v>
      </c>
      <c r="CI10" s="61" t="n">
        <f aca="false">CH10+CI9</f>
        <v>80</v>
      </c>
      <c r="CJ10" s="61" t="n">
        <f aca="false">CI10+CJ9</f>
        <v>80</v>
      </c>
      <c r="CK10" s="61" t="n">
        <f aca="false">CJ10+CK9</f>
        <v>80</v>
      </c>
      <c r="CL10" s="61" t="n">
        <f aca="false">CK10+CL9</f>
        <v>80</v>
      </c>
      <c r="CM10" s="61" t="n">
        <f aca="false">CL10+CM9</f>
        <v>80</v>
      </c>
      <c r="CN10" s="61" t="n">
        <f aca="false">CM10+CN9</f>
        <v>80</v>
      </c>
      <c r="CO10" s="61" t="n">
        <f aca="false">CN10+CO9</f>
        <v>80</v>
      </c>
      <c r="CP10" s="61" t="n">
        <f aca="false">CO10+CP9</f>
        <v>80</v>
      </c>
      <c r="CQ10" s="61" t="n">
        <f aca="false">CP10+CQ9</f>
        <v>80</v>
      </c>
      <c r="CR10" s="61" t="n">
        <f aca="false">CQ10+CR9</f>
        <v>80</v>
      </c>
      <c r="CS10" s="61" t="n">
        <f aca="false">CR10+CS9</f>
        <v>80</v>
      </c>
      <c r="CT10" s="61" t="n">
        <f aca="false">CS10+CT9</f>
        <v>80</v>
      </c>
      <c r="CU10" s="61" t="n">
        <f aca="false">CT10+CU9</f>
        <v>80</v>
      </c>
      <c r="CV10" s="61" t="n">
        <f aca="false">CU10+CV9</f>
        <v>80</v>
      </c>
      <c r="CW10" s="61" t="n">
        <f aca="false">CV10+CW9</f>
        <v>80</v>
      </c>
      <c r="CX10" s="61" t="n">
        <f aca="false">CW10+CX9</f>
        <v>80</v>
      </c>
      <c r="CY10" s="61" t="n">
        <f aca="false">CX10+CY9</f>
        <v>80</v>
      </c>
      <c r="CZ10" s="61" t="n">
        <f aca="false">CY10+CZ9</f>
        <v>80</v>
      </c>
      <c r="DA10" s="61" t="n">
        <f aca="false">CZ10+DA9</f>
        <v>80</v>
      </c>
      <c r="DB10" s="61" t="n">
        <f aca="false">DA10+DB9</f>
        <v>80</v>
      </c>
      <c r="DC10" s="61" t="n">
        <f aca="false">DB10+DC9</f>
        <v>80</v>
      </c>
      <c r="DD10" s="61" t="n">
        <f aca="false">DC10+DD9</f>
        <v>80</v>
      </c>
      <c r="DE10" s="61" t="n">
        <f aca="false">DD10+DE9</f>
        <v>80</v>
      </c>
      <c r="DF10" s="61" t="n">
        <f aca="false">DE10+DF9</f>
        <v>80</v>
      </c>
      <c r="DG10" s="61" t="n">
        <f aca="false">DF10+DG9</f>
        <v>80</v>
      </c>
      <c r="DH10" s="61" t="n">
        <f aca="false">DG10+DH9</f>
        <v>80</v>
      </c>
      <c r="DI10" s="61" t="n">
        <f aca="false">DH10+DI9</f>
        <v>80</v>
      </c>
      <c r="DJ10" s="61" t="n">
        <f aca="false">DI10+DJ9</f>
        <v>80</v>
      </c>
      <c r="DK10" s="61" t="n">
        <f aca="false">DJ10+DK9</f>
        <v>80</v>
      </c>
      <c r="DL10" s="61" t="n">
        <f aca="false">DK10+DL9</f>
        <v>80</v>
      </c>
      <c r="DM10" s="61" t="n">
        <f aca="false">DL10+DM9</f>
        <v>80</v>
      </c>
      <c r="DN10" s="61" t="n">
        <f aca="false">DM10+DN9</f>
        <v>80</v>
      </c>
      <c r="DO10" s="61" t="n">
        <f aca="false">DN10+DO9</f>
        <v>80</v>
      </c>
      <c r="DP10" s="61" t="n">
        <f aca="false">DO10+DP9</f>
        <v>80</v>
      </c>
      <c r="DQ10" s="61" t="n">
        <f aca="false">DP10+DQ9</f>
        <v>80</v>
      </c>
      <c r="DR10" s="61" t="n">
        <f aca="false">DQ10+DR9</f>
        <v>80</v>
      </c>
      <c r="DS10" s="61" t="n">
        <f aca="false">DR10+DS9</f>
        <v>80</v>
      </c>
      <c r="DT10" s="61" t="n">
        <f aca="false">DS10+DT9</f>
        <v>80</v>
      </c>
      <c r="DU10" s="61" t="n">
        <f aca="false">DT10+DU9</f>
        <v>80</v>
      </c>
      <c r="DV10" s="61" t="n">
        <f aca="false">DU10+DV9</f>
        <v>80</v>
      </c>
      <c r="DW10" s="61" t="n">
        <f aca="false">DV10+DW9</f>
        <v>80</v>
      </c>
      <c r="DX10" s="61" t="n">
        <f aca="false">DW10+DX9</f>
        <v>80</v>
      </c>
      <c r="DY10" s="61" t="n">
        <f aca="false">DX10+DY9</f>
        <v>80</v>
      </c>
      <c r="DZ10" s="61" t="n">
        <f aca="false">DY10+DZ9</f>
        <v>80</v>
      </c>
      <c r="EA10" s="61" t="n">
        <f aca="false">DZ10+EA9</f>
        <v>80</v>
      </c>
      <c r="EB10" s="61" t="n">
        <f aca="false">EA10+EB9</f>
        <v>80</v>
      </c>
      <c r="EC10" s="61" t="n">
        <f aca="false">EB10+EC9</f>
        <v>80</v>
      </c>
      <c r="ED10" s="61" t="n">
        <f aca="false">EC10+ED9</f>
        <v>80</v>
      </c>
      <c r="EE10" s="61" t="n">
        <f aca="false">ED10+EE9</f>
        <v>80</v>
      </c>
      <c r="EF10" s="61" t="n">
        <f aca="false">EE10+EF9</f>
        <v>80</v>
      </c>
      <c r="EG10" s="61" t="n">
        <f aca="false">EF10+EG9</f>
        <v>80</v>
      </c>
      <c r="EH10" s="61" t="n">
        <f aca="false">EG10+EH9</f>
        <v>80</v>
      </c>
      <c r="EI10" s="524" t="n">
        <f aca="false">EH10+EI9</f>
        <v>80</v>
      </c>
    </row>
    <row r="11" s="526" customFormat="true" ht="12.75" hidden="true" customHeight="true" outlineLevel="0" collapsed="false">
      <c r="B11" s="527" t="s">
        <v>562</v>
      </c>
      <c r="C11" s="528"/>
      <c r="D11" s="529"/>
      <c r="E11" s="530"/>
      <c r="F11" s="528"/>
      <c r="G11" s="531" t="n">
        <f aca="false">('Unit Mix &amp; Comparables'!$Q$55-((('Executive Summary'!$C$12-G10)/'Executive Summary'!$C$12)*'Unit Mix &amp; Comparables'!$N$55))/MAX(1,1+'Unit Mix &amp; Comparables'!$D$51-('Unit Mix &amp; Comparables'!$D$51*G4/'Renovation Plan'!$D$19))*G7</f>
        <v>777.225</v>
      </c>
      <c r="H11" s="532" t="n">
        <f aca="false">('Unit Mix &amp; Comparables'!$Q$55-((('Executive Summary'!$C$12-H10)/'Executive Summary'!$C$12)*'Unit Mix &amp; Comparables'!$N$55))/MAX(1,1+'Unit Mix &amp; Comparables'!$D$51-('Unit Mix &amp; Comparables'!$D$51*H4/'Renovation Plan'!$D$19))*H7</f>
        <v>777.651186068406</v>
      </c>
      <c r="I11" s="532" t="n">
        <f aca="false">('Unit Mix &amp; Comparables'!$Q$55-((('Executive Summary'!$C$12-I10)/'Executive Summary'!$C$12)*'Unit Mix &amp; Comparables'!$N$55))/MAX(1,1+'Unit Mix &amp; Comparables'!$D$51-('Unit Mix &amp; Comparables'!$D$51*I4/'Renovation Plan'!$D$19))*I7</f>
        <v>779.954662683954</v>
      </c>
      <c r="J11" s="532" t="n">
        <f aca="false">('Unit Mix &amp; Comparables'!$Q$55-((('Executive Summary'!$C$12-J10)/'Executive Summary'!$C$12)*'Unit Mix &amp; Comparables'!$N$55))/MAX(1,1+'Unit Mix &amp; Comparables'!$D$51-('Unit Mix &amp; Comparables'!$D$51*J4/'Renovation Plan'!$D$19))*J7</f>
        <v>783.51248908161</v>
      </c>
      <c r="K11" s="532" t="n">
        <f aca="false">('Unit Mix &amp; Comparables'!$Q$55-((('Executive Summary'!$C$12-K10)/'Executive Summary'!$C$12)*'Unit Mix &amp; Comparables'!$N$55))/MAX(1,1+'Unit Mix &amp; Comparables'!$D$51-('Unit Mix &amp; Comparables'!$D$51*K4/'Renovation Plan'!$D$19))*K7</f>
        <v>785.821238810229</v>
      </c>
      <c r="L11" s="532" t="n">
        <f aca="false">('Unit Mix &amp; Comparables'!$Q$55-((('Executive Summary'!$C$12-L10)/'Executive Summary'!$C$12)*'Unit Mix &amp; Comparables'!$N$55))/MAX(1,1+'Unit Mix &amp; Comparables'!$D$51-('Unit Mix &amp; Comparables'!$D$51*L4/'Renovation Plan'!$D$19))*L7</f>
        <v>789.385715832418</v>
      </c>
      <c r="M11" s="532" t="n">
        <f aca="false">('Unit Mix &amp; Comparables'!$Q$55-((('Executive Summary'!$C$12-M10)/'Executive Summary'!$C$12)*'Unit Mix &amp; Comparables'!$N$55))/MAX(1,1+'Unit Mix &amp; Comparables'!$D$51-('Unit Mix &amp; Comparables'!$D$51*M4/'Renovation Plan'!$D$19))*M7</f>
        <v>791.699747471223</v>
      </c>
      <c r="N11" s="532" t="n">
        <f aca="false">('Unit Mix &amp; Comparables'!$Q$55-((('Executive Summary'!$C$12-N10)/'Executive Summary'!$C$12)*'Unit Mix &amp; Comparables'!$N$55))/MAX(1,1+'Unit Mix &amp; Comparables'!$D$51-('Unit Mix &amp; Comparables'!$D$51*N4/'Renovation Plan'!$D$19))*N7</f>
        <v>795.270885427824</v>
      </c>
      <c r="O11" s="532" t="n">
        <f aca="false">('Unit Mix &amp; Comparables'!$Q$55-((('Executive Summary'!$C$12-O10)/'Executive Summary'!$C$12)*'Unit Mix &amp; Comparables'!$N$55))/MAX(1,1+'Unit Mix &amp; Comparables'!$D$51-('Unit Mix &amp; Comparables'!$D$51*O4/'Renovation Plan'!$D$19))*O7</f>
        <v>797.590207786887</v>
      </c>
      <c r="P11" s="532" t="n">
        <f aca="false">('Unit Mix &amp; Comparables'!$Q$55-((('Executive Summary'!$C$12-P10)/'Executive Summary'!$C$12)*'Unit Mix &amp; Comparables'!$N$55))/MAX(1,1+'Unit Mix &amp; Comparables'!$D$51-('Unit Mix &amp; Comparables'!$D$51*P4/'Renovation Plan'!$D$19))*P7</f>
        <v>801.168017002395</v>
      </c>
      <c r="Q11" s="532" t="n">
        <f aca="false">('Unit Mix &amp; Comparables'!$Q$55-((('Executive Summary'!$C$12-Q10)/'Executive Summary'!$C$12)*'Unit Mix &amp; Comparables'!$N$55))/MAX(1,1+'Unit Mix &amp; Comparables'!$D$51-('Unit Mix &amp; Comparables'!$D$51*Q4/'Renovation Plan'!$D$19))*Q7</f>
        <v>803.492638904756</v>
      </c>
      <c r="R11" s="532" t="n">
        <f aca="false">('Unit Mix &amp; Comparables'!$Q$55-((('Executive Summary'!$C$12-R10)/'Executive Summary'!$C$12)*'Unit Mix &amp; Comparables'!$N$55))/MAX(1,1+'Unit Mix &amp; Comparables'!$D$51-('Unit Mix &amp; Comparables'!$D$51*R4/'Renovation Plan'!$D$19))*R7</f>
        <v>807.077129718304</v>
      </c>
      <c r="S11" s="532" t="n">
        <f aca="false">('Unit Mix &amp; Comparables'!$Q$55-((('Executive Summary'!$C$12-S10)/'Executive Summary'!$C$12)*'Unit Mix &amp; Comparables'!$N$55))/MAX(1,1+'Unit Mix &amp; Comparables'!$D$51-('Unit Mix &amp; Comparables'!$D$51*S4/'Renovation Plan'!$D$19))*S7</f>
        <v>809.407059999999</v>
      </c>
      <c r="T11" s="532" t="n">
        <f aca="false">('Unit Mix &amp; Comparables'!$Q$55-((('Executive Summary'!$C$12-T10)/'Executive Summary'!$C$12)*'Unit Mix &amp; Comparables'!$N$55))/MAX(1,1+'Unit Mix &amp; Comparables'!$D$51-('Unit Mix &amp; Comparables'!$D$51*T4/'Renovation Plan'!$D$19))*T7</f>
        <v>814.727808073463</v>
      </c>
      <c r="U11" s="532" t="n">
        <f aca="false">('Unit Mix &amp; Comparables'!$Q$55-((('Executive Summary'!$C$12-U10)/'Executive Summary'!$C$12)*'Unit Mix &amp; Comparables'!$N$55))/MAX(1,1+'Unit Mix &amp; Comparables'!$D$51-('Unit Mix &amp; Comparables'!$D$51*U4/'Renovation Plan'!$D$19))*U7</f>
        <v>820.071242330165</v>
      </c>
      <c r="V11" s="532" t="n">
        <f aca="false">('Unit Mix &amp; Comparables'!$Q$55-((('Executive Summary'!$C$12-V10)/'Executive Summary'!$C$12)*'Unit Mix &amp; Comparables'!$N$55))/MAX(1,1+'Unit Mix &amp; Comparables'!$D$51-('Unit Mix &amp; Comparables'!$D$51*V4/'Renovation Plan'!$D$19))*V7</f>
        <v>825.437446100027</v>
      </c>
      <c r="W11" s="532" t="n">
        <f aca="false">('Unit Mix &amp; Comparables'!$Q$55-((('Executive Summary'!$C$12-W10)/'Executive Summary'!$C$12)*'Unit Mix &amp; Comparables'!$N$55))/MAX(1,1+'Unit Mix &amp; Comparables'!$D$51-('Unit Mix &amp; Comparables'!$D$51*W4/'Renovation Plan'!$D$19))*W7</f>
        <v>830.826502996537</v>
      </c>
      <c r="X11" s="532" t="n">
        <f aca="false">('Unit Mix &amp; Comparables'!$Q$55-((('Executive Summary'!$C$12-X10)/'Executive Summary'!$C$12)*'Unit Mix &amp; Comparables'!$N$55))/MAX(1,1+'Unit Mix &amp; Comparables'!$D$51-('Unit Mix &amp; Comparables'!$D$51*X4/'Renovation Plan'!$D$19))*X7</f>
        <v>836.238496917674</v>
      </c>
      <c r="Y11" s="532" t="n">
        <f aca="false">('Unit Mix &amp; Comparables'!$Q$55-((('Executive Summary'!$C$12-Y10)/'Executive Summary'!$C$12)*'Unit Mix &amp; Comparables'!$N$55))/MAX(1,1+'Unit Mix &amp; Comparables'!$D$51-('Unit Mix &amp; Comparables'!$D$51*Y4/'Renovation Plan'!$D$19))*Y7</f>
        <v>841.673512046825</v>
      </c>
      <c r="Z11" s="532" t="n">
        <f aca="false">('Unit Mix &amp; Comparables'!$Q$55-((('Executive Summary'!$C$12-Z10)/'Executive Summary'!$C$12)*'Unit Mix &amp; Comparables'!$N$55))/MAX(1,1+'Unit Mix &amp; Comparables'!$D$51-('Unit Mix &amp; Comparables'!$D$51*Z4/'Renovation Plan'!$D$19))*Z7</f>
        <v>847.131632853721</v>
      </c>
      <c r="AA11" s="532" t="n">
        <f aca="false">('Unit Mix &amp; Comparables'!$Q$55-((('Executive Summary'!$C$12-AA10)/'Executive Summary'!$C$12)*'Unit Mix &amp; Comparables'!$N$55))/MAX(1,1+'Unit Mix &amp; Comparables'!$D$51-('Unit Mix &amp; Comparables'!$D$51*AA4/'Renovation Plan'!$D$19))*AA7</f>
        <v>850.684769845957</v>
      </c>
      <c r="AB11" s="532" t="n">
        <f aca="false">('Unit Mix &amp; Comparables'!$Q$55-((('Executive Summary'!$C$12-AB10)/'Executive Summary'!$C$12)*'Unit Mix &amp; Comparables'!$N$55))/MAX(1,1+'Unit Mix &amp; Comparables'!$D$51-('Unit Mix &amp; Comparables'!$D$51*AB4/'Renovation Plan'!$D$19))*AB7</f>
        <v>852.961968734466</v>
      </c>
      <c r="AC11" s="532" t="n">
        <f aca="false">('Unit Mix &amp; Comparables'!$Q$55-((('Executive Summary'!$C$12-AC10)/'Executive Summary'!$C$12)*'Unit Mix &amp; Comparables'!$N$55))/MAX(1,1+'Unit Mix &amp; Comparables'!$D$51-('Unit Mix &amp; Comparables'!$D$51*AC4/'Renovation Plan'!$D$19))*AC7</f>
        <v>855.245263458896</v>
      </c>
      <c r="AD11" s="532" t="n">
        <f aca="false">('Unit Mix &amp; Comparables'!$Q$55-((('Executive Summary'!$C$12-AD10)/'Executive Summary'!$C$12)*'Unit Mix &amp; Comparables'!$N$55))/MAX(1,1+'Unit Mix &amp; Comparables'!$D$51-('Unit Mix &amp; Comparables'!$D$51*AD4/'Renovation Plan'!$D$19))*AD7</f>
        <v>857.534670337196</v>
      </c>
      <c r="AE11" s="532" t="n">
        <f aca="false">('Unit Mix &amp; Comparables'!$Q$55-((('Executive Summary'!$C$12-AE10)/'Executive Summary'!$C$12)*'Unit Mix &amp; Comparables'!$N$55))/MAX(1,1+'Unit Mix &amp; Comparables'!$D$51-('Unit Mix &amp; Comparables'!$D$51*AE4/'Renovation Plan'!$D$19))*AE7</f>
        <v>859.830205730997</v>
      </c>
      <c r="AF11" s="532" t="n">
        <f aca="false">('Unit Mix &amp; Comparables'!$Q$55-((('Executive Summary'!$C$12-AF10)/'Executive Summary'!$C$12)*'Unit Mix &amp; Comparables'!$N$55))/MAX(1,1+'Unit Mix &amp; Comparables'!$D$51-('Unit Mix &amp; Comparables'!$D$51*AF4/'Renovation Plan'!$D$19))*AF7</f>
        <v>861.950778976705</v>
      </c>
      <c r="AG11" s="532" t="n">
        <f aca="false">('Unit Mix &amp; Comparables'!$Q$55-((('Executive Summary'!$C$12-AG10)/'Executive Summary'!$C$12)*'Unit Mix &amp; Comparables'!$N$55))/MAX(1,1+'Unit Mix &amp; Comparables'!$D$51-('Unit Mix &amp; Comparables'!$D$51*AG4/'Renovation Plan'!$D$19))*AG7</f>
        <v>864.076582128109</v>
      </c>
      <c r="AH11" s="532" t="n">
        <f aca="false">('Unit Mix &amp; Comparables'!$Q$55-((('Executive Summary'!$C$12-AH10)/'Executive Summary'!$C$12)*'Unit Mix &amp; Comparables'!$N$55))/MAX(1,1+'Unit Mix &amp; Comparables'!$D$51-('Unit Mix &amp; Comparables'!$D$51*AH4/'Renovation Plan'!$D$19))*AH7</f>
        <v>866.207628083567</v>
      </c>
      <c r="AI11" s="532" t="n">
        <f aca="false">('Unit Mix &amp; Comparables'!$Q$55-((('Executive Summary'!$C$12-AI10)/'Executive Summary'!$C$12)*'Unit Mix &amp; Comparables'!$N$55))/MAX(1,1+'Unit Mix &amp; Comparables'!$D$51-('Unit Mix &amp; Comparables'!$D$51*AI4/'Renovation Plan'!$D$19))*AI7</f>
        <v>868.343929773249</v>
      </c>
      <c r="AJ11" s="532" t="n">
        <f aca="false">('Unit Mix &amp; Comparables'!$Q$55-((('Executive Summary'!$C$12-AJ10)/'Executive Summary'!$C$12)*'Unit Mix &amp; Comparables'!$N$55))/MAX(1,1+'Unit Mix &amp; Comparables'!$D$51-('Unit Mix &amp; Comparables'!$D$51*AJ4/'Renovation Plan'!$D$19))*AJ7</f>
        <v>870.485500159212</v>
      </c>
      <c r="AK11" s="532" t="n">
        <f aca="false">('Unit Mix &amp; Comparables'!$Q$55-((('Executive Summary'!$C$12-AK10)/'Executive Summary'!$C$12)*'Unit Mix &amp; Comparables'!$N$55))/MAX(1,1+'Unit Mix &amp; Comparables'!$D$51-('Unit Mix &amp; Comparables'!$D$51*AK4/'Renovation Plan'!$D$19))*AK7</f>
        <v>872.632352235483</v>
      </c>
      <c r="AL11" s="532" t="n">
        <f aca="false">('Unit Mix &amp; Comparables'!$Q$55-((('Executive Summary'!$C$12-AL10)/'Executive Summary'!$C$12)*'Unit Mix &amp; Comparables'!$N$55))/MAX(1,1+'Unit Mix &amp; Comparables'!$D$51-('Unit Mix &amp; Comparables'!$D$51*AL4/'Renovation Plan'!$D$19))*AL7</f>
        <v>874.784499028136</v>
      </c>
      <c r="AM11" s="532" t="n">
        <f aca="false">('Unit Mix &amp; Comparables'!$Q$55-((('Executive Summary'!$C$12-AM10)/'Executive Summary'!$C$12)*'Unit Mix &amp; Comparables'!$N$55))/MAX(1,1+'Unit Mix &amp; Comparables'!$D$51-('Unit Mix &amp; Comparables'!$D$51*AM4/'Renovation Plan'!$D$19))*AM7</f>
        <v>876.941953595369</v>
      </c>
      <c r="AN11" s="532" t="n">
        <f aca="false">('Unit Mix &amp; Comparables'!$Q$55-((('Executive Summary'!$C$12-AN10)/'Executive Summary'!$C$12)*'Unit Mix &amp; Comparables'!$N$55))/MAX(1,1+'Unit Mix &amp; Comparables'!$D$51-('Unit Mix &amp; Comparables'!$D$51*AN4/'Renovation Plan'!$D$19))*AN7</f>
        <v>879.104729027586</v>
      </c>
      <c r="AO11" s="532" t="n">
        <f aca="false">('Unit Mix &amp; Comparables'!$Q$55-((('Executive Summary'!$C$12-AO10)/'Executive Summary'!$C$12)*'Unit Mix &amp; Comparables'!$N$55))/MAX(1,1+'Unit Mix &amp; Comparables'!$D$51-('Unit Mix &amp; Comparables'!$D$51*AO4/'Renovation Plan'!$D$19))*AO7</f>
        <v>881.272838447476</v>
      </c>
      <c r="AP11" s="532" t="n">
        <f aca="false">('Unit Mix &amp; Comparables'!$Q$55-((('Executive Summary'!$C$12-AP10)/'Executive Summary'!$C$12)*'Unit Mix &amp; Comparables'!$N$55))/MAX(1,1+'Unit Mix &amp; Comparables'!$D$51-('Unit Mix &amp; Comparables'!$D$51*AP4/'Renovation Plan'!$D$19))*AP7</f>
        <v>883.446295010091</v>
      </c>
      <c r="AQ11" s="532" t="n">
        <f aca="false">('Unit Mix &amp; Comparables'!$Q$55-((('Executive Summary'!$C$12-AQ10)/'Executive Summary'!$C$12)*'Unit Mix &amp; Comparables'!$N$55))/MAX(1,1+'Unit Mix &amp; Comparables'!$D$51-('Unit Mix &amp; Comparables'!$D$51*AQ4/'Renovation Plan'!$D$19))*AQ7</f>
        <v>885.625111902928</v>
      </c>
      <c r="AR11" s="532" t="n">
        <f aca="false">('Unit Mix &amp; Comparables'!$Q$55-((('Executive Summary'!$C$12-AR10)/'Executive Summary'!$C$12)*'Unit Mix &amp; Comparables'!$N$55))/MAX(1,1+'Unit Mix &amp; Comparables'!$D$51-('Unit Mix &amp; Comparables'!$D$51*AR4/'Renovation Plan'!$D$19))*AR7</f>
        <v>887.809302346007</v>
      </c>
      <c r="AS11" s="532" t="n">
        <f aca="false">('Unit Mix &amp; Comparables'!$Q$55-((('Executive Summary'!$C$12-AS10)/'Executive Summary'!$C$12)*'Unit Mix &amp; Comparables'!$N$55))/MAX(1,1+'Unit Mix &amp; Comparables'!$D$51-('Unit Mix &amp; Comparables'!$D$51*AS4/'Renovation Plan'!$D$19))*AS7</f>
        <v>889.998879591953</v>
      </c>
      <c r="AT11" s="532" t="n">
        <f aca="false">('Unit Mix &amp; Comparables'!$Q$55-((('Executive Summary'!$C$12-AT10)/'Executive Summary'!$C$12)*'Unit Mix &amp; Comparables'!$N$55))/MAX(1,1+'Unit Mix &amp; Comparables'!$D$51-('Unit Mix &amp; Comparables'!$D$51*AT4/'Renovation Plan'!$D$19))*AT7</f>
        <v>892.193856926075</v>
      </c>
      <c r="AU11" s="532" t="n">
        <f aca="false">('Unit Mix &amp; Comparables'!$Q$55-((('Executive Summary'!$C$12-AU10)/'Executive Summary'!$C$12)*'Unit Mix &amp; Comparables'!$N$55))/MAX(1,1+'Unit Mix &amp; Comparables'!$D$51-('Unit Mix &amp; Comparables'!$D$51*AU4/'Renovation Plan'!$D$19))*AU7</f>
        <v>894.394247666447</v>
      </c>
      <c r="AV11" s="532" t="n">
        <f aca="false">('Unit Mix &amp; Comparables'!$Q$55-((('Executive Summary'!$C$12-AV10)/'Executive Summary'!$C$12)*'Unit Mix &amp; Comparables'!$N$55))/MAX(1,1+'Unit Mix &amp; Comparables'!$D$51-('Unit Mix &amp; Comparables'!$D$51*AV4/'Renovation Plan'!$D$19))*AV7</f>
        <v>896.600065163989</v>
      </c>
      <c r="AW11" s="532" t="n">
        <f aca="false">('Unit Mix &amp; Comparables'!$Q$55-((('Executive Summary'!$C$12-AW10)/'Executive Summary'!$C$12)*'Unit Mix &amp; Comparables'!$N$55))/MAX(1,1+'Unit Mix &amp; Comparables'!$D$51-('Unit Mix &amp; Comparables'!$D$51*AW4/'Renovation Plan'!$D$19))*AW7</f>
        <v>898.811322802549</v>
      </c>
      <c r="AX11" s="532" t="n">
        <f aca="false">('Unit Mix &amp; Comparables'!$Q$55-((('Executive Summary'!$C$12-AX10)/'Executive Summary'!$C$12)*'Unit Mix &amp; Comparables'!$N$55))/MAX(1,1+'Unit Mix &amp; Comparables'!$D$51-('Unit Mix &amp; Comparables'!$D$51*AX4/'Renovation Plan'!$D$19))*AX7</f>
        <v>901.028033998981</v>
      </c>
      <c r="AY11" s="532" t="n">
        <f aca="false">('Unit Mix &amp; Comparables'!$Q$55-((('Executive Summary'!$C$12-AY10)/'Executive Summary'!$C$12)*'Unit Mix &amp; Comparables'!$N$55))/MAX(1,1+'Unit Mix &amp; Comparables'!$D$51-('Unit Mix &amp; Comparables'!$D$51*AY4/'Renovation Plan'!$D$19))*AY7</f>
        <v>903.250212203231</v>
      </c>
      <c r="AZ11" s="532" t="n">
        <f aca="false">('Unit Mix &amp; Comparables'!$Q$55-((('Executive Summary'!$C$12-AZ10)/'Executive Summary'!$C$12)*'Unit Mix &amp; Comparables'!$N$55))/MAX(1,1+'Unit Mix &amp; Comparables'!$D$51-('Unit Mix &amp; Comparables'!$D$51*AZ4/'Renovation Plan'!$D$19))*AZ7</f>
        <v>905.477870898414</v>
      </c>
      <c r="BA11" s="532" t="n">
        <f aca="false">('Unit Mix &amp; Comparables'!$Q$55-((('Executive Summary'!$C$12-BA10)/'Executive Summary'!$C$12)*'Unit Mix &amp; Comparables'!$N$55))/MAX(1,1+'Unit Mix &amp; Comparables'!$D$51-('Unit Mix &amp; Comparables'!$D$51*BA4/'Renovation Plan'!$D$19))*BA7</f>
        <v>907.711023600901</v>
      </c>
      <c r="BB11" s="532" t="n">
        <f aca="false">('Unit Mix &amp; Comparables'!$Q$55-((('Executive Summary'!$C$12-BB10)/'Executive Summary'!$C$12)*'Unit Mix &amp; Comparables'!$N$55))/MAX(1,1+'Unit Mix &amp; Comparables'!$D$51-('Unit Mix &amp; Comparables'!$D$51*BB4/'Renovation Plan'!$D$19))*BB7</f>
        <v>909.949683860395</v>
      </c>
      <c r="BC11" s="532" t="n">
        <f aca="false">('Unit Mix &amp; Comparables'!$Q$55-((('Executive Summary'!$C$12-BC10)/'Executive Summary'!$C$12)*'Unit Mix &amp; Comparables'!$N$55))/MAX(1,1+'Unit Mix &amp; Comparables'!$D$51-('Unit Mix &amp; Comparables'!$D$51*BC4/'Renovation Plan'!$D$19))*BC7</f>
        <v>912.193865260017</v>
      </c>
      <c r="BD11" s="532" t="n">
        <f aca="false">('Unit Mix &amp; Comparables'!$Q$55-((('Executive Summary'!$C$12-BD10)/'Executive Summary'!$C$12)*'Unit Mix &amp; Comparables'!$N$55))/MAX(1,1+'Unit Mix &amp; Comparables'!$D$51-('Unit Mix &amp; Comparables'!$D$51*BD4/'Renovation Plan'!$D$19))*BD7</f>
        <v>914.443581416388</v>
      </c>
      <c r="BE11" s="532" t="n">
        <f aca="false">('Unit Mix &amp; Comparables'!$Q$55-((('Executive Summary'!$C$12-BE10)/'Executive Summary'!$C$12)*'Unit Mix &amp; Comparables'!$N$55))/MAX(1,1+'Unit Mix &amp; Comparables'!$D$51-('Unit Mix &amp; Comparables'!$D$51*BE4/'Renovation Plan'!$D$19))*BE7</f>
        <v>916.698845979713</v>
      </c>
      <c r="BF11" s="532" t="n">
        <f aca="false">('Unit Mix &amp; Comparables'!$Q$55-((('Executive Summary'!$C$12-BF10)/'Executive Summary'!$C$12)*'Unit Mix &amp; Comparables'!$N$55))/MAX(1,1+'Unit Mix &amp; Comparables'!$D$51-('Unit Mix &amp; Comparables'!$D$51*BF4/'Renovation Plan'!$D$19))*BF7</f>
        <v>918.959672633858</v>
      </c>
      <c r="BG11" s="532" t="n">
        <f aca="false">('Unit Mix &amp; Comparables'!$Q$55-((('Executive Summary'!$C$12-BG10)/'Executive Summary'!$C$12)*'Unit Mix &amp; Comparables'!$N$55))/MAX(1,1+'Unit Mix &amp; Comparables'!$D$51-('Unit Mix &amp; Comparables'!$D$51*BG4/'Renovation Plan'!$D$19))*BG7</f>
        <v>921.226075096441</v>
      </c>
      <c r="BH11" s="532" t="n">
        <f aca="false">('Unit Mix &amp; Comparables'!$Q$55-((('Executive Summary'!$C$12-BH10)/'Executive Summary'!$C$12)*'Unit Mix &amp; Comparables'!$N$55))/MAX(1,1+'Unit Mix &amp; Comparables'!$D$51-('Unit Mix &amp; Comparables'!$D$51*BH4/'Renovation Plan'!$D$19))*BH7</f>
        <v>923.498067118909</v>
      </c>
      <c r="BI11" s="532" t="n">
        <f aca="false">('Unit Mix &amp; Comparables'!$Q$55-((('Executive Summary'!$C$12-BI10)/'Executive Summary'!$C$12)*'Unit Mix &amp; Comparables'!$N$55))/MAX(1,1+'Unit Mix &amp; Comparables'!$D$51-('Unit Mix &amp; Comparables'!$D$51*BI4/'Renovation Plan'!$D$19))*BI7</f>
        <v>925.775662486626</v>
      </c>
      <c r="BJ11" s="532" t="n">
        <f aca="false">('Unit Mix &amp; Comparables'!$Q$55-((('Executive Summary'!$C$12-BJ10)/'Executive Summary'!$C$12)*'Unit Mix &amp; Comparables'!$N$55))/MAX(1,1+'Unit Mix &amp; Comparables'!$D$51-('Unit Mix &amp; Comparables'!$D$51*BJ4/'Renovation Plan'!$D$19))*BJ7</f>
        <v>928.058875018951</v>
      </c>
      <c r="BK11" s="532" t="n">
        <f aca="false">('Unit Mix &amp; Comparables'!$Q$55-((('Executive Summary'!$C$12-BK10)/'Executive Summary'!$C$12)*'Unit Mix &amp; Comparables'!$N$55))/MAX(1,1+'Unit Mix &amp; Comparables'!$D$51-('Unit Mix &amp; Comparables'!$D$51*BK4/'Renovation Plan'!$D$19))*BK7</f>
        <v>930.347718569328</v>
      </c>
      <c r="BL11" s="532" t="n">
        <f aca="false">('Unit Mix &amp; Comparables'!$Q$55-((('Executive Summary'!$C$12-BL10)/'Executive Summary'!$C$12)*'Unit Mix &amp; Comparables'!$N$55))/MAX(1,1+'Unit Mix &amp; Comparables'!$D$51-('Unit Mix &amp; Comparables'!$D$51*BL4/'Renovation Plan'!$D$19))*BL7</f>
        <v>932.642207025368</v>
      </c>
      <c r="BM11" s="532" t="n">
        <f aca="false">('Unit Mix &amp; Comparables'!$Q$55-((('Executive Summary'!$C$12-BM10)/'Executive Summary'!$C$12)*'Unit Mix &amp; Comparables'!$N$55))/MAX(1,1+'Unit Mix &amp; Comparables'!$D$51-('Unit Mix &amp; Comparables'!$D$51*BM4/'Renovation Plan'!$D$19))*BM7</f>
        <v>934.942354308929</v>
      </c>
      <c r="BN11" s="532" t="n">
        <f aca="false">('Unit Mix &amp; Comparables'!$Q$55-((('Executive Summary'!$C$12-BN10)/'Executive Summary'!$C$12)*'Unit Mix &amp; Comparables'!$N$55))/MAX(1,1+'Unit Mix &amp; Comparables'!$D$51-('Unit Mix &amp; Comparables'!$D$51*BN4/'Renovation Plan'!$D$19))*BN7</f>
        <v>937.248174376207</v>
      </c>
      <c r="BO11" s="532" t="n">
        <f aca="false">('Unit Mix &amp; Comparables'!$Q$55-((('Executive Summary'!$C$12-BO10)/'Executive Summary'!$C$12)*'Unit Mix &amp; Comparables'!$N$55))/MAX(1,1+'Unit Mix &amp; Comparables'!$D$51-('Unit Mix &amp; Comparables'!$D$51*BO4/'Renovation Plan'!$D$19))*BO7</f>
        <v>939.559681217818</v>
      </c>
      <c r="BP11" s="532" t="n">
        <f aca="false">('Unit Mix &amp; Comparables'!$Q$55-((('Executive Summary'!$C$12-BP10)/'Executive Summary'!$C$12)*'Unit Mix &amp; Comparables'!$N$55))/MAX(1,1+'Unit Mix &amp; Comparables'!$D$51-('Unit Mix &amp; Comparables'!$D$51*BP4/'Renovation Plan'!$D$19))*BP7</f>
        <v>941.876888858881</v>
      </c>
      <c r="BQ11" s="532" t="n">
        <f aca="false">('Unit Mix &amp; Comparables'!$Q$55-((('Executive Summary'!$C$12-BQ10)/'Executive Summary'!$C$12)*'Unit Mix &amp; Comparables'!$N$55))/MAX(1,1+'Unit Mix &amp; Comparables'!$D$51-('Unit Mix &amp; Comparables'!$D$51*BQ4/'Renovation Plan'!$D$19))*BQ7</f>
        <v>944.199811359105</v>
      </c>
      <c r="BR11" s="532" t="n">
        <f aca="false">('Unit Mix &amp; Comparables'!$Q$55-((('Executive Summary'!$C$12-BR10)/'Executive Summary'!$C$12)*'Unit Mix &amp; Comparables'!$N$55))/MAX(1,1+'Unit Mix &amp; Comparables'!$D$51-('Unit Mix &amp; Comparables'!$D$51*BR4/'Renovation Plan'!$D$19))*BR7</f>
        <v>946.528462812875</v>
      </c>
      <c r="BS11" s="532" t="n">
        <f aca="false">('Unit Mix &amp; Comparables'!$Q$55-((('Executive Summary'!$C$12-BS10)/'Executive Summary'!$C$12)*'Unit Mix &amp; Comparables'!$N$55))/MAX(1,1+'Unit Mix &amp; Comparables'!$D$51-('Unit Mix &amp; Comparables'!$D$51*BS4/'Renovation Plan'!$D$19))*BS7</f>
        <v>948.862857349335</v>
      </c>
      <c r="BT11" s="532" t="n">
        <f aca="false">('Unit Mix &amp; Comparables'!$Q$55-((('Executive Summary'!$C$12-BT10)/'Executive Summary'!$C$12)*'Unit Mix &amp; Comparables'!$N$55))/MAX(1,1+'Unit Mix &amp; Comparables'!$D$51-('Unit Mix &amp; Comparables'!$D$51*BT4/'Renovation Plan'!$D$19))*BT7</f>
        <v>951.203009132478</v>
      </c>
      <c r="BU11" s="532" t="n">
        <f aca="false">('Unit Mix &amp; Comparables'!$Q$55-((('Executive Summary'!$C$12-BU10)/'Executive Summary'!$C$12)*'Unit Mix &amp; Comparables'!$N$55))/MAX(1,1+'Unit Mix &amp; Comparables'!$D$51-('Unit Mix &amp; Comparables'!$D$51*BU4/'Renovation Plan'!$D$19))*BU7</f>
        <v>953.548932361225</v>
      </c>
      <c r="BV11" s="532" t="n">
        <f aca="false">('Unit Mix &amp; Comparables'!$Q$55-((('Executive Summary'!$C$12-BV10)/'Executive Summary'!$C$12)*'Unit Mix &amp; Comparables'!$N$55))/MAX(1,1+'Unit Mix &amp; Comparables'!$D$51-('Unit Mix &amp; Comparables'!$D$51*BV4/'Renovation Plan'!$D$19))*BV7</f>
        <v>955.90064126952</v>
      </c>
      <c r="BW11" s="532" t="n">
        <f aca="false">('Unit Mix &amp; Comparables'!$Q$55-((('Executive Summary'!$C$12-BW10)/'Executive Summary'!$C$12)*'Unit Mix &amp; Comparables'!$N$55))/MAX(1,1+'Unit Mix &amp; Comparables'!$D$51-('Unit Mix &amp; Comparables'!$D$51*BW4/'Renovation Plan'!$D$19))*BW7</f>
        <v>958.258150126409</v>
      </c>
      <c r="BX11" s="532" t="n">
        <f aca="false">('Unit Mix &amp; Comparables'!$Q$55-((('Executive Summary'!$C$12-BX10)/'Executive Summary'!$C$12)*'Unit Mix &amp; Comparables'!$N$55))/MAX(1,1+'Unit Mix &amp; Comparables'!$D$51-('Unit Mix &amp; Comparables'!$D$51*BX4/'Renovation Plan'!$D$19))*BX7</f>
        <v>960.62147323613</v>
      </c>
      <c r="BY11" s="532" t="n">
        <f aca="false">('Unit Mix &amp; Comparables'!$Q$55-((('Executive Summary'!$C$12-BY10)/'Executive Summary'!$C$12)*'Unit Mix &amp; Comparables'!$N$55))/MAX(1,1+'Unit Mix &amp; Comparables'!$D$51-('Unit Mix &amp; Comparables'!$D$51*BY4/'Renovation Plan'!$D$19))*BY7</f>
        <v>962.990624938198</v>
      </c>
      <c r="BZ11" s="532" t="n">
        <f aca="false">('Unit Mix &amp; Comparables'!$Q$55-((('Executive Summary'!$C$12-BZ10)/'Executive Summary'!$C$12)*'Unit Mix &amp; Comparables'!$N$55))/MAX(1,1+'Unit Mix &amp; Comparables'!$D$51-('Unit Mix &amp; Comparables'!$D$51*BZ4/'Renovation Plan'!$D$19))*BZ7</f>
        <v>965.365619607495</v>
      </c>
      <c r="CA11" s="532" t="n">
        <f aca="false">('Unit Mix &amp; Comparables'!$Q$55-((('Executive Summary'!$C$12-CA10)/'Executive Summary'!$C$12)*'Unit Mix &amp; Comparables'!$N$55))/MAX(1,1+'Unit Mix &amp; Comparables'!$D$51-('Unit Mix &amp; Comparables'!$D$51*CA4/'Renovation Plan'!$D$19))*CA7</f>
        <v>967.746471654354</v>
      </c>
      <c r="CB11" s="532" t="n">
        <f aca="false">('Unit Mix &amp; Comparables'!$Q$55-((('Executive Summary'!$C$12-CB10)/'Executive Summary'!$C$12)*'Unit Mix &amp; Comparables'!$N$55))/MAX(1,1+'Unit Mix &amp; Comparables'!$D$51-('Unit Mix &amp; Comparables'!$D$51*CB4/'Renovation Plan'!$D$19))*CB7</f>
        <v>970.133195524649</v>
      </c>
      <c r="CC11" s="532" t="n">
        <f aca="false">('Unit Mix &amp; Comparables'!$Q$55-((('Executive Summary'!$C$12-CC10)/'Executive Summary'!$C$12)*'Unit Mix &amp; Comparables'!$N$55))/MAX(1,1+'Unit Mix &amp; Comparables'!$D$51-('Unit Mix &amp; Comparables'!$D$51*CC4/'Renovation Plan'!$D$19))*CC7</f>
        <v>972.525805699879</v>
      </c>
      <c r="CD11" s="532" t="n">
        <f aca="false">('Unit Mix &amp; Comparables'!$Q$55-((('Executive Summary'!$C$12-CD10)/'Executive Summary'!$C$12)*'Unit Mix &amp; Comparables'!$N$55))/MAX(1,1+'Unit Mix &amp; Comparables'!$D$51-('Unit Mix &amp; Comparables'!$D$51*CD4/'Renovation Plan'!$D$19))*CD7</f>
        <v>974.924316697262</v>
      </c>
      <c r="CE11" s="532" t="n">
        <f aca="false">('Unit Mix &amp; Comparables'!$Q$55-((('Executive Summary'!$C$12-CE10)/'Executive Summary'!$C$12)*'Unit Mix &amp; Comparables'!$N$55))/MAX(1,1+'Unit Mix &amp; Comparables'!$D$51-('Unit Mix &amp; Comparables'!$D$51*CE4/'Renovation Plan'!$D$19))*CE7</f>
        <v>977.328743069817</v>
      </c>
      <c r="CF11" s="532" t="n">
        <f aca="false">('Unit Mix &amp; Comparables'!$Q$55-((('Executive Summary'!$C$12-CF10)/'Executive Summary'!$C$12)*'Unit Mix &amp; Comparables'!$N$55))/MAX(1,1+'Unit Mix &amp; Comparables'!$D$51-('Unit Mix &amp; Comparables'!$D$51*CF4/'Renovation Plan'!$D$19))*CF7</f>
        <v>979.739099406453</v>
      </c>
      <c r="CG11" s="532" t="n">
        <f aca="false">('Unit Mix &amp; Comparables'!$Q$55-((('Executive Summary'!$C$12-CG10)/'Executive Summary'!$C$12)*'Unit Mix &amp; Comparables'!$N$55))/MAX(1,1+'Unit Mix &amp; Comparables'!$D$51-('Unit Mix &amp; Comparables'!$D$51*CG4/'Renovation Plan'!$D$19))*CG7</f>
        <v>982.155400332063</v>
      </c>
      <c r="CH11" s="532" t="n">
        <f aca="false">('Unit Mix &amp; Comparables'!$Q$55-((('Executive Summary'!$C$12-CH10)/'Executive Summary'!$C$12)*'Unit Mix &amp; Comparables'!$N$55))/MAX(1,1+'Unit Mix &amp; Comparables'!$D$51-('Unit Mix &amp; Comparables'!$D$51*CH4/'Renovation Plan'!$D$19))*CH7</f>
        <v>984.577660507607</v>
      </c>
      <c r="CI11" s="532" t="n">
        <f aca="false">('Unit Mix &amp; Comparables'!$Q$55-((('Executive Summary'!$C$12-CI10)/'Executive Summary'!$C$12)*'Unit Mix &amp; Comparables'!$N$55))/MAX(1,1+'Unit Mix &amp; Comparables'!$D$51-('Unit Mix &amp; Comparables'!$D$51*CI4/'Renovation Plan'!$D$19))*CI7</f>
        <v>987.005894630202</v>
      </c>
      <c r="CJ11" s="532" t="n">
        <f aca="false">('Unit Mix &amp; Comparables'!$Q$55-((('Executive Summary'!$C$12-CJ10)/'Executive Summary'!$C$12)*'Unit Mix &amp; Comparables'!$N$55))/MAX(1,1+'Unit Mix &amp; Comparables'!$D$51-('Unit Mix &amp; Comparables'!$D$51*CJ4/'Renovation Plan'!$D$19))*CJ7</f>
        <v>989.440117433215</v>
      </c>
      <c r="CK11" s="532" t="n">
        <f aca="false">('Unit Mix &amp; Comparables'!$Q$55-((('Executive Summary'!$C$12-CK10)/'Executive Summary'!$C$12)*'Unit Mix &amp; Comparables'!$N$55))/MAX(1,1+'Unit Mix &amp; Comparables'!$D$51-('Unit Mix &amp; Comparables'!$D$51*CK4/'Renovation Plan'!$D$19))*CK7</f>
        <v>991.880343686345</v>
      </c>
      <c r="CL11" s="532" t="n">
        <f aca="false">('Unit Mix &amp; Comparables'!$Q$55-((('Executive Summary'!$C$12-CL10)/'Executive Summary'!$C$12)*'Unit Mix &amp; Comparables'!$N$55))/MAX(1,1+'Unit Mix &amp; Comparables'!$D$51-('Unit Mix &amp; Comparables'!$D$51*CL4/'Renovation Plan'!$D$19))*CL7</f>
        <v>994.326588195721</v>
      </c>
      <c r="CM11" s="532" t="n">
        <f aca="false">('Unit Mix &amp; Comparables'!$Q$55-((('Executive Summary'!$C$12-CM10)/'Executive Summary'!$C$12)*'Unit Mix &amp; Comparables'!$N$55))/MAX(1,1+'Unit Mix &amp; Comparables'!$D$51-('Unit Mix &amp; Comparables'!$D$51*CM4/'Renovation Plan'!$D$19))*CM7</f>
        <v>996.778865803986</v>
      </c>
      <c r="CN11" s="532" t="n">
        <f aca="false">('Unit Mix &amp; Comparables'!$Q$55-((('Executive Summary'!$C$12-CN10)/'Executive Summary'!$C$12)*'Unit Mix &amp; Comparables'!$N$55))/MAX(1,1+'Unit Mix &amp; Comparables'!$D$51-('Unit Mix &amp; Comparables'!$D$51*CN4/'Renovation Plan'!$D$19))*CN7</f>
        <v>999.237191390389</v>
      </c>
      <c r="CO11" s="532" t="n">
        <f aca="false">('Unit Mix &amp; Comparables'!$Q$55-((('Executive Summary'!$C$12-CO10)/'Executive Summary'!$C$12)*'Unit Mix &amp; Comparables'!$N$55))/MAX(1,1+'Unit Mix &amp; Comparables'!$D$51-('Unit Mix &amp; Comparables'!$D$51*CO4/'Renovation Plan'!$D$19))*CO7</f>
        <v>1001.70157987088</v>
      </c>
      <c r="CP11" s="532" t="n">
        <f aca="false">('Unit Mix &amp; Comparables'!$Q$55-((('Executive Summary'!$C$12-CP10)/'Executive Summary'!$C$12)*'Unit Mix &amp; Comparables'!$N$55))/MAX(1,1+'Unit Mix &amp; Comparables'!$D$51-('Unit Mix &amp; Comparables'!$D$51*CP4/'Renovation Plan'!$D$19))*CP7</f>
        <v>1004.17204619818</v>
      </c>
      <c r="CQ11" s="532" t="n">
        <f aca="false">('Unit Mix &amp; Comparables'!$Q$55-((('Executive Summary'!$C$12-CQ10)/'Executive Summary'!$C$12)*'Unit Mix &amp; Comparables'!$N$55))/MAX(1,1+'Unit Mix &amp; Comparables'!$D$51-('Unit Mix &amp; Comparables'!$D$51*CQ4/'Renovation Plan'!$D$19))*CQ7</f>
        <v>1006.64860536191</v>
      </c>
      <c r="CR11" s="532" t="n">
        <f aca="false">('Unit Mix &amp; Comparables'!$Q$55-((('Executive Summary'!$C$12-CR10)/'Executive Summary'!$C$12)*'Unit Mix &amp; Comparables'!$N$55))/MAX(1,1+'Unit Mix &amp; Comparables'!$D$51-('Unit Mix &amp; Comparables'!$D$51*CR4/'Renovation Plan'!$D$19))*CR7</f>
        <v>1009.13127238865</v>
      </c>
      <c r="CS11" s="532" t="n">
        <f aca="false">('Unit Mix &amp; Comparables'!$Q$55-((('Executive Summary'!$C$12-CS10)/'Executive Summary'!$C$12)*'Unit Mix &amp; Comparables'!$N$55))/MAX(1,1+'Unit Mix &amp; Comparables'!$D$51-('Unit Mix &amp; Comparables'!$D$51*CS4/'Renovation Plan'!$D$19))*CS7</f>
        <v>1011.62006234203</v>
      </c>
      <c r="CT11" s="532" t="n">
        <f aca="false">('Unit Mix &amp; Comparables'!$Q$55-((('Executive Summary'!$C$12-CT10)/'Executive Summary'!$C$12)*'Unit Mix &amp; Comparables'!$N$55))/MAX(1,1+'Unit Mix &amp; Comparables'!$D$51-('Unit Mix &amp; Comparables'!$D$51*CT4/'Renovation Plan'!$D$19))*CT7</f>
        <v>1014.11499032284</v>
      </c>
      <c r="CU11" s="532" t="n">
        <f aca="false">('Unit Mix &amp; Comparables'!$Q$55-((('Executive Summary'!$C$12-CU10)/'Executive Summary'!$C$12)*'Unit Mix &amp; Comparables'!$N$55))/MAX(1,1+'Unit Mix &amp; Comparables'!$D$51-('Unit Mix &amp; Comparables'!$D$51*CU4/'Renovation Plan'!$D$19))*CU7</f>
        <v>1016.61607146911</v>
      </c>
      <c r="CV11" s="532" t="n">
        <f aca="false">('Unit Mix &amp; Comparables'!$Q$55-((('Executive Summary'!$C$12-CV10)/'Executive Summary'!$C$12)*'Unit Mix &amp; Comparables'!$N$55))/MAX(1,1+'Unit Mix &amp; Comparables'!$D$51-('Unit Mix &amp; Comparables'!$D$51*CV4/'Renovation Plan'!$D$19))*CV7</f>
        <v>1019.12332095621</v>
      </c>
      <c r="CW11" s="532" t="n">
        <f aca="false">('Unit Mix &amp; Comparables'!$Q$55-((('Executive Summary'!$C$12-CW10)/'Executive Summary'!$C$12)*'Unit Mix &amp; Comparables'!$N$55))/MAX(1,1+'Unit Mix &amp; Comparables'!$D$51-('Unit Mix &amp; Comparables'!$D$51*CW4/'Renovation Plan'!$D$19))*CW7</f>
        <v>1021.63675399694</v>
      </c>
      <c r="CX11" s="532" t="n">
        <f aca="false">('Unit Mix &amp; Comparables'!$Q$55-((('Executive Summary'!$C$12-CX10)/'Executive Summary'!$C$12)*'Unit Mix &amp; Comparables'!$N$55))/MAX(1,1+'Unit Mix &amp; Comparables'!$D$51-('Unit Mix &amp; Comparables'!$D$51*CX4/'Renovation Plan'!$D$19))*CX7</f>
        <v>1024.15638584159</v>
      </c>
      <c r="CY11" s="532" t="n">
        <f aca="false">('Unit Mix &amp; Comparables'!$Q$55-((('Executive Summary'!$C$12-CY10)/'Executive Summary'!$C$12)*'Unit Mix &amp; Comparables'!$N$55))/MAX(1,1+'Unit Mix &amp; Comparables'!$D$51-('Unit Mix &amp; Comparables'!$D$51*CY4/'Renovation Plan'!$D$19))*CY7</f>
        <v>1026.68223177811</v>
      </c>
      <c r="CZ11" s="532" t="n">
        <f aca="false">('Unit Mix &amp; Comparables'!$Q$55-((('Executive Summary'!$C$12-CZ10)/'Executive Summary'!$C$12)*'Unit Mix &amp; Comparables'!$N$55))/MAX(1,1+'Unit Mix &amp; Comparables'!$D$51-('Unit Mix &amp; Comparables'!$D$51*CZ4/'Renovation Plan'!$D$19))*CZ7</f>
        <v>1029.2143071321</v>
      </c>
      <c r="DA11" s="532" t="n">
        <f aca="false">('Unit Mix &amp; Comparables'!$Q$55-((('Executive Summary'!$C$12-DA10)/'Executive Summary'!$C$12)*'Unit Mix &amp; Comparables'!$N$55))/MAX(1,1+'Unit Mix &amp; Comparables'!$D$51-('Unit Mix &amp; Comparables'!$D$51*DA4/'Renovation Plan'!$D$19))*DA7</f>
        <v>1031.752627267</v>
      </c>
      <c r="DB11" s="532" t="n">
        <f aca="false">('Unit Mix &amp; Comparables'!$Q$55-((('Executive Summary'!$C$12-DB10)/'Executive Summary'!$C$12)*'Unit Mix &amp; Comparables'!$N$55))/MAX(1,1+'Unit Mix &amp; Comparables'!$D$51-('Unit Mix &amp; Comparables'!$D$51*DB4/'Renovation Plan'!$D$19))*DB7</f>
        <v>1034.29720758413</v>
      </c>
      <c r="DC11" s="532" t="n">
        <f aca="false">('Unit Mix &amp; Comparables'!$Q$55-((('Executive Summary'!$C$12-DC10)/'Executive Summary'!$C$12)*'Unit Mix &amp; Comparables'!$N$55))/MAX(1,1+'Unit Mix &amp; Comparables'!$D$51-('Unit Mix &amp; Comparables'!$D$51*DC4/'Renovation Plan'!$D$19))*DC7</f>
        <v>1036.84806352277</v>
      </c>
      <c r="DD11" s="532" t="n">
        <f aca="false">('Unit Mix &amp; Comparables'!$Q$55-((('Executive Summary'!$C$12-DD10)/'Executive Summary'!$C$12)*'Unit Mix &amp; Comparables'!$N$55))/MAX(1,1+'Unit Mix &amp; Comparables'!$D$51-('Unit Mix &amp; Comparables'!$D$51*DD4/'Renovation Plan'!$D$19))*DD7</f>
        <v>1039.40521056031</v>
      </c>
      <c r="DE11" s="532" t="n">
        <f aca="false">('Unit Mix &amp; Comparables'!$Q$55-((('Executive Summary'!$C$12-DE10)/'Executive Summary'!$C$12)*'Unit Mix &amp; Comparables'!$N$55))/MAX(1,1+'Unit Mix &amp; Comparables'!$D$51-('Unit Mix &amp; Comparables'!$D$51*DE4/'Renovation Plan'!$D$19))*DE7</f>
        <v>1041.96866421229</v>
      </c>
      <c r="DF11" s="532" t="n">
        <f aca="false">('Unit Mix &amp; Comparables'!$Q$55-((('Executive Summary'!$C$12-DF10)/'Executive Summary'!$C$12)*'Unit Mix &amp; Comparables'!$N$55))/MAX(1,1+'Unit Mix &amp; Comparables'!$D$51-('Unit Mix &amp; Comparables'!$D$51*DF4/'Renovation Plan'!$D$19))*DF7</f>
        <v>1044.53844003252</v>
      </c>
      <c r="DG11" s="532" t="n">
        <f aca="false">('Unit Mix &amp; Comparables'!$Q$55-((('Executive Summary'!$C$12-DG10)/'Executive Summary'!$C$12)*'Unit Mix &amp; Comparables'!$N$55))/MAX(1,1+'Unit Mix &amp; Comparables'!$D$51-('Unit Mix &amp; Comparables'!$D$51*DG4/'Renovation Plan'!$D$19))*DG7</f>
        <v>1047.11455361318</v>
      </c>
      <c r="DH11" s="532" t="n">
        <f aca="false">('Unit Mix &amp; Comparables'!$Q$55-((('Executive Summary'!$C$12-DH10)/'Executive Summary'!$C$12)*'Unit Mix &amp; Comparables'!$N$55))/MAX(1,1+'Unit Mix &amp; Comparables'!$D$51-('Unit Mix &amp; Comparables'!$D$51*DH4/'Renovation Plan'!$D$19))*DH7</f>
        <v>1049.6970205849</v>
      </c>
      <c r="DI11" s="532" t="n">
        <f aca="false">('Unit Mix &amp; Comparables'!$Q$55-((('Executive Summary'!$C$12-DI10)/'Executive Summary'!$C$12)*'Unit Mix &amp; Comparables'!$N$55))/MAX(1,1+'Unit Mix &amp; Comparables'!$D$51-('Unit Mix &amp; Comparables'!$D$51*DI4/'Renovation Plan'!$D$19))*DI7</f>
        <v>1052.28585661685</v>
      </c>
      <c r="DJ11" s="532" t="n">
        <f aca="false">('Unit Mix &amp; Comparables'!$Q$55-((('Executive Summary'!$C$12-DJ10)/'Executive Summary'!$C$12)*'Unit Mix &amp; Comparables'!$N$55))/MAX(1,1+'Unit Mix &amp; Comparables'!$D$51-('Unit Mix &amp; Comparables'!$D$51*DJ4/'Renovation Plan'!$D$19))*DJ7</f>
        <v>1054.88107741684</v>
      </c>
      <c r="DK11" s="532" t="n">
        <f aca="false">('Unit Mix &amp; Comparables'!$Q$55-((('Executive Summary'!$C$12-DK10)/'Executive Summary'!$C$12)*'Unit Mix &amp; Comparables'!$N$55))/MAX(1,1+'Unit Mix &amp; Comparables'!$D$51-('Unit Mix &amp; Comparables'!$D$51*DK4/'Renovation Plan'!$D$19))*DK7</f>
        <v>1057.48269873145</v>
      </c>
      <c r="DL11" s="532" t="n">
        <f aca="false">('Unit Mix &amp; Comparables'!$Q$55-((('Executive Summary'!$C$12-DL10)/'Executive Summary'!$C$12)*'Unit Mix &amp; Comparables'!$N$55))/MAX(1,1+'Unit Mix &amp; Comparables'!$D$51-('Unit Mix &amp; Comparables'!$D$51*DL4/'Renovation Plan'!$D$19))*DL7</f>
        <v>1060.09073634607</v>
      </c>
      <c r="DM11" s="532" t="n">
        <f aca="false">('Unit Mix &amp; Comparables'!$Q$55-((('Executive Summary'!$C$12-DM10)/'Executive Summary'!$C$12)*'Unit Mix &amp; Comparables'!$N$55))/MAX(1,1+'Unit Mix &amp; Comparables'!$D$51-('Unit Mix &amp; Comparables'!$D$51*DM4/'Renovation Plan'!$D$19))*DM7</f>
        <v>1062.70520608502</v>
      </c>
      <c r="DN11" s="532" t="n">
        <f aca="false">('Unit Mix &amp; Comparables'!$Q$55-((('Executive Summary'!$C$12-DN10)/'Executive Summary'!$C$12)*'Unit Mix &amp; Comparables'!$N$55))/MAX(1,1+'Unit Mix &amp; Comparables'!$D$51-('Unit Mix &amp; Comparables'!$D$51*DN4/'Renovation Plan'!$D$19))*DN7</f>
        <v>1065.32612381165</v>
      </c>
      <c r="DO11" s="532" t="n">
        <f aca="false">('Unit Mix &amp; Comparables'!$Q$55-((('Executive Summary'!$C$12-DO10)/'Executive Summary'!$C$12)*'Unit Mix &amp; Comparables'!$N$55))/MAX(1,1+'Unit Mix &amp; Comparables'!$D$51-('Unit Mix &amp; Comparables'!$D$51*DO4/'Renovation Plan'!$D$19))*DO7</f>
        <v>1067.95350542845</v>
      </c>
      <c r="DP11" s="532" t="n">
        <f aca="false">('Unit Mix &amp; Comparables'!$Q$55-((('Executive Summary'!$C$12-DP10)/'Executive Summary'!$C$12)*'Unit Mix &amp; Comparables'!$N$55))/MAX(1,1+'Unit Mix &amp; Comparables'!$D$51-('Unit Mix &amp; Comparables'!$D$51*DP4/'Renovation Plan'!$D$19))*DP7</f>
        <v>1070.58736687712</v>
      </c>
      <c r="DQ11" s="532" t="n">
        <f aca="false">('Unit Mix &amp; Comparables'!$Q$55-((('Executive Summary'!$C$12-DQ10)/'Executive Summary'!$C$12)*'Unit Mix &amp; Comparables'!$N$55))/MAX(1,1+'Unit Mix &amp; Comparables'!$D$51-('Unit Mix &amp; Comparables'!$D$51*DQ4/'Renovation Plan'!$D$19))*DQ7</f>
        <v>1073.22772413866</v>
      </c>
      <c r="DR11" s="532" t="n">
        <f aca="false">('Unit Mix &amp; Comparables'!$Q$55-((('Executive Summary'!$C$12-DR10)/'Executive Summary'!$C$12)*'Unit Mix &amp; Comparables'!$N$55))/MAX(1,1+'Unit Mix &amp; Comparables'!$D$51-('Unit Mix &amp; Comparables'!$D$51*DR4/'Renovation Plan'!$D$19))*DR7</f>
        <v>1075.8745932335</v>
      </c>
      <c r="DS11" s="532" t="n">
        <f aca="false">('Unit Mix &amp; Comparables'!$Q$55-((('Executive Summary'!$C$12-DS10)/'Executive Summary'!$C$12)*'Unit Mix &amp; Comparables'!$N$55))/MAX(1,1+'Unit Mix &amp; Comparables'!$D$51-('Unit Mix &amp; Comparables'!$D$51*DS4/'Renovation Plan'!$D$19))*DS7</f>
        <v>1078.52799022158</v>
      </c>
      <c r="DT11" s="532" t="n">
        <f aca="false">('Unit Mix &amp; Comparables'!$Q$55-((('Executive Summary'!$C$12-DT10)/'Executive Summary'!$C$12)*'Unit Mix &amp; Comparables'!$N$55))/MAX(1,1+'Unit Mix &amp; Comparables'!$D$51-('Unit Mix &amp; Comparables'!$D$51*DT4/'Renovation Plan'!$D$19))*DT7</f>
        <v>1081.18793120245</v>
      </c>
      <c r="DU11" s="532" t="n">
        <f aca="false">('Unit Mix &amp; Comparables'!$Q$55-((('Executive Summary'!$C$12-DU10)/'Executive Summary'!$C$12)*'Unit Mix &amp; Comparables'!$N$55))/MAX(1,1+'Unit Mix &amp; Comparables'!$D$51-('Unit Mix &amp; Comparables'!$D$51*DU4/'Renovation Plan'!$D$19))*DU7</f>
        <v>1083.85443231535</v>
      </c>
      <c r="DV11" s="532" t="n">
        <f aca="false">('Unit Mix &amp; Comparables'!$Q$55-((('Executive Summary'!$C$12-DV10)/'Executive Summary'!$C$12)*'Unit Mix &amp; Comparables'!$N$55))/MAX(1,1+'Unit Mix &amp; Comparables'!$D$51-('Unit Mix &amp; Comparables'!$D$51*DV4/'Renovation Plan'!$D$19))*DV7</f>
        <v>1086.52750973935</v>
      </c>
      <c r="DW11" s="532" t="n">
        <f aca="false">('Unit Mix &amp; Comparables'!$Q$55-((('Executive Summary'!$C$12-DW10)/'Executive Summary'!$C$12)*'Unit Mix &amp; Comparables'!$N$55))/MAX(1,1+'Unit Mix &amp; Comparables'!$D$51-('Unit Mix &amp; Comparables'!$D$51*DW4/'Renovation Plan'!$D$19))*DW7</f>
        <v>1089.2071796934</v>
      </c>
      <c r="DX11" s="532" t="n">
        <f aca="false">('Unit Mix &amp; Comparables'!$Q$55-((('Executive Summary'!$C$12-DX10)/'Executive Summary'!$C$12)*'Unit Mix &amp; Comparables'!$N$55))/MAX(1,1+'Unit Mix &amp; Comparables'!$D$51-('Unit Mix &amp; Comparables'!$D$51*DX4/'Renovation Plan'!$D$19))*DX7</f>
        <v>1091.89345843645</v>
      </c>
      <c r="DY11" s="532" t="n">
        <f aca="false">('Unit Mix &amp; Comparables'!$Q$55-((('Executive Summary'!$C$12-DY10)/'Executive Summary'!$C$12)*'Unit Mix &amp; Comparables'!$N$55))/MAX(1,1+'Unit Mix &amp; Comparables'!$D$51-('Unit Mix &amp; Comparables'!$D$51*DY4/'Renovation Plan'!$D$19))*DY7</f>
        <v>1094.58636226757</v>
      </c>
      <c r="DZ11" s="532" t="n">
        <f aca="false">('Unit Mix &amp; Comparables'!$Q$55-((('Executive Summary'!$C$12-DZ10)/'Executive Summary'!$C$12)*'Unit Mix &amp; Comparables'!$N$55))/MAX(1,1+'Unit Mix &amp; Comparables'!$D$51-('Unit Mix &amp; Comparables'!$D$51*DZ4/'Renovation Plan'!$D$19))*DZ7</f>
        <v>1097.285907526</v>
      </c>
      <c r="EA11" s="532" t="n">
        <f aca="false">('Unit Mix &amp; Comparables'!$Q$55-((('Executive Summary'!$C$12-EA10)/'Executive Summary'!$C$12)*'Unit Mix &amp; Comparables'!$N$55))/MAX(1,1+'Unit Mix &amp; Comparables'!$D$51-('Unit Mix &amp; Comparables'!$D$51*EA4/'Renovation Plan'!$D$19))*EA7</f>
        <v>1099.99211059131</v>
      </c>
      <c r="EB11" s="532" t="n">
        <f aca="false">('Unit Mix &amp; Comparables'!$Q$55-((('Executive Summary'!$C$12-EB10)/'Executive Summary'!$C$12)*'Unit Mix &amp; Comparables'!$N$55))/MAX(1,1+'Unit Mix &amp; Comparables'!$D$51-('Unit Mix &amp; Comparables'!$D$51*EB4/'Renovation Plan'!$D$19))*EB7</f>
        <v>1102.70498788343</v>
      </c>
      <c r="EC11" s="532" t="n">
        <f aca="false">('Unit Mix &amp; Comparables'!$Q$55-((('Executive Summary'!$C$12-EC10)/'Executive Summary'!$C$12)*'Unit Mix &amp; Comparables'!$N$55))/MAX(1,1+'Unit Mix &amp; Comparables'!$D$51-('Unit Mix &amp; Comparables'!$D$51*EC4/'Renovation Plan'!$D$19))*EC7</f>
        <v>1105.42455586282</v>
      </c>
      <c r="ED11" s="532" t="n">
        <f aca="false">('Unit Mix &amp; Comparables'!$Q$55-((('Executive Summary'!$C$12-ED10)/'Executive Summary'!$C$12)*'Unit Mix &amp; Comparables'!$N$55))/MAX(1,1+'Unit Mix &amp; Comparables'!$D$51-('Unit Mix &amp; Comparables'!$D$51*ED4/'Renovation Plan'!$D$19))*ED7</f>
        <v>1108.15083103051</v>
      </c>
      <c r="EE11" s="532" t="n">
        <f aca="false">('Unit Mix &amp; Comparables'!$Q$55-((('Executive Summary'!$C$12-EE10)/'Executive Summary'!$C$12)*'Unit Mix &amp; Comparables'!$N$55))/MAX(1,1+'Unit Mix &amp; Comparables'!$D$51-('Unit Mix &amp; Comparables'!$D$51*EE4/'Renovation Plan'!$D$19))*EE7</f>
        <v>1110.88382992823</v>
      </c>
      <c r="EF11" s="532" t="n">
        <f aca="false">('Unit Mix &amp; Comparables'!$Q$55-((('Executive Summary'!$C$12-EF10)/'Executive Summary'!$C$12)*'Unit Mix &amp; Comparables'!$N$55))/MAX(1,1+'Unit Mix &amp; Comparables'!$D$51-('Unit Mix &amp; Comparables'!$D$51*EF4/'Renovation Plan'!$D$19))*EF7</f>
        <v>1113.62356913852</v>
      </c>
      <c r="EG11" s="532" t="n">
        <f aca="false">('Unit Mix &amp; Comparables'!$Q$55-((('Executive Summary'!$C$12-EG10)/'Executive Summary'!$C$12)*'Unit Mix &amp; Comparables'!$N$55))/MAX(1,1+'Unit Mix &amp; Comparables'!$D$51-('Unit Mix &amp; Comparables'!$D$51*EG4/'Renovation Plan'!$D$19))*EG7</f>
        <v>1116.37006528481</v>
      </c>
      <c r="EH11" s="532" t="n">
        <f aca="false">('Unit Mix &amp; Comparables'!$Q$55-((('Executive Summary'!$C$12-EH10)/'Executive Summary'!$C$12)*'Unit Mix &amp; Comparables'!$N$55))/MAX(1,1+'Unit Mix &amp; Comparables'!$D$51-('Unit Mix &amp; Comparables'!$D$51*EH4/'Renovation Plan'!$D$19))*EH7</f>
        <v>1119.12333503153</v>
      </c>
      <c r="EI11" s="533" t="n">
        <f aca="false">('Unit Mix &amp; Comparables'!$Q$55-((('Executive Summary'!$C$12-EI10)/'Executive Summary'!$C$12)*'Unit Mix &amp; Comparables'!$N$55))/MAX(1,1+'Unit Mix &amp; Comparables'!$D$51-('Unit Mix &amp; Comparables'!$D$51*EI4/'Renovation Plan'!$D$19))*EI7</f>
        <v>1121.8833950842</v>
      </c>
    </row>
    <row r="12" s="515" customFormat="true" ht="12.75" hidden="true" customHeight="true" outlineLevel="0" collapsed="false">
      <c r="B12" s="516" t="s">
        <v>563</v>
      </c>
      <c r="C12" s="517"/>
      <c r="D12" s="518"/>
      <c r="E12" s="519"/>
      <c r="F12" s="517"/>
      <c r="G12" s="534" t="n">
        <f aca="false">'Renovation Plan'!C11</f>
        <v>0.97</v>
      </c>
      <c r="H12" s="464" t="n">
        <f aca="false">'Renovation Plan'!D11</f>
        <v>0.944</v>
      </c>
      <c r="I12" s="464" t="n">
        <f aca="false">'Renovation Plan'!E11</f>
        <v>0.944</v>
      </c>
      <c r="J12" s="464" t="n">
        <f aca="false">'Renovation Plan'!F11</f>
        <v>0.944</v>
      </c>
      <c r="K12" s="464" t="n">
        <f aca="false">'Renovation Plan'!G11</f>
        <v>0.944</v>
      </c>
      <c r="L12" s="464" t="n">
        <f aca="false">'Renovation Plan'!H11</f>
        <v>0.944</v>
      </c>
      <c r="M12" s="464" t="n">
        <f aca="false">'Renovation Plan'!I11</f>
        <v>0.944</v>
      </c>
      <c r="N12" s="464" t="n">
        <f aca="false">'Renovation Plan'!J11</f>
        <v>0.944</v>
      </c>
      <c r="O12" s="464" t="n">
        <f aca="false">'Renovation Plan'!K11</f>
        <v>0.944</v>
      </c>
      <c r="P12" s="464" t="n">
        <f aca="false">'Renovation Plan'!L11</f>
        <v>0.944</v>
      </c>
      <c r="Q12" s="464" t="n">
        <f aca="false">'Renovation Plan'!M11</f>
        <v>0.944</v>
      </c>
      <c r="R12" s="464" t="n">
        <f aca="false">'Renovation Plan'!N11</f>
        <v>0.944</v>
      </c>
      <c r="S12" s="464" t="n">
        <f aca="false">'Renovation Plan'!O11</f>
        <v>0.944</v>
      </c>
      <c r="T12" s="464" t="n">
        <f aca="false">'Renovation Plan'!$P$11</f>
        <v>0.944</v>
      </c>
      <c r="U12" s="464" t="n">
        <f aca="false">'Renovation Plan'!$P$11</f>
        <v>0.944</v>
      </c>
      <c r="V12" s="464" t="n">
        <f aca="false">'Renovation Plan'!$P$11</f>
        <v>0.944</v>
      </c>
      <c r="W12" s="464" t="n">
        <f aca="false">'Renovation Plan'!$P$11</f>
        <v>0.944</v>
      </c>
      <c r="X12" s="464" t="n">
        <f aca="false">'Renovation Plan'!$P$11</f>
        <v>0.944</v>
      </c>
      <c r="Y12" s="464" t="n">
        <f aca="false">'Renovation Plan'!$P$11</f>
        <v>0.944</v>
      </c>
      <c r="Z12" s="464" t="n">
        <f aca="false">'Renovation Plan'!$P$11</f>
        <v>0.944</v>
      </c>
      <c r="AA12" s="464" t="n">
        <f aca="false">'Renovation Plan'!$P$11</f>
        <v>0.944</v>
      </c>
      <c r="AB12" s="464" t="n">
        <f aca="false">'Renovation Plan'!$P$11</f>
        <v>0.944</v>
      </c>
      <c r="AC12" s="464" t="n">
        <f aca="false">'Renovation Plan'!$P$11</f>
        <v>0.944</v>
      </c>
      <c r="AD12" s="464" t="n">
        <f aca="false">'Renovation Plan'!$P$11</f>
        <v>0.944</v>
      </c>
      <c r="AE12" s="464" t="n">
        <f aca="false">'Renovation Plan'!$P$11</f>
        <v>0.944</v>
      </c>
      <c r="AF12" s="464" t="n">
        <f aca="false">1+'Operating Inputs'!$P$12</f>
        <v>0.944</v>
      </c>
      <c r="AG12" s="464" t="n">
        <f aca="false">1+'Operating Inputs'!$P$12</f>
        <v>0.944</v>
      </c>
      <c r="AH12" s="464" t="n">
        <f aca="false">1+'Operating Inputs'!$P$12</f>
        <v>0.944</v>
      </c>
      <c r="AI12" s="464" t="n">
        <f aca="false">1+'Operating Inputs'!$P$12</f>
        <v>0.944</v>
      </c>
      <c r="AJ12" s="464" t="n">
        <f aca="false">1+'Operating Inputs'!$P$12</f>
        <v>0.944</v>
      </c>
      <c r="AK12" s="464" t="n">
        <f aca="false">1+'Operating Inputs'!$P$12</f>
        <v>0.944</v>
      </c>
      <c r="AL12" s="464" t="n">
        <f aca="false">1+'Operating Inputs'!$P$12</f>
        <v>0.944</v>
      </c>
      <c r="AM12" s="464" t="n">
        <f aca="false">1+'Operating Inputs'!$P$12</f>
        <v>0.944</v>
      </c>
      <c r="AN12" s="464" t="n">
        <f aca="false">1+'Operating Inputs'!$P$12</f>
        <v>0.944</v>
      </c>
      <c r="AO12" s="464" t="n">
        <f aca="false">1+'Operating Inputs'!$P$12</f>
        <v>0.944</v>
      </c>
      <c r="AP12" s="464" t="n">
        <f aca="false">1+'Operating Inputs'!$P$12</f>
        <v>0.944</v>
      </c>
      <c r="AQ12" s="464" t="n">
        <f aca="false">1+'Operating Inputs'!$P$12</f>
        <v>0.944</v>
      </c>
      <c r="AR12" s="464" t="n">
        <f aca="false">1+'Operating Inputs'!$P$12</f>
        <v>0.944</v>
      </c>
      <c r="AS12" s="464" t="n">
        <f aca="false">1+'Operating Inputs'!$P$12</f>
        <v>0.944</v>
      </c>
      <c r="AT12" s="464" t="n">
        <f aca="false">1+'Operating Inputs'!$P$12</f>
        <v>0.944</v>
      </c>
      <c r="AU12" s="464" t="n">
        <f aca="false">1+'Operating Inputs'!$P$12</f>
        <v>0.944</v>
      </c>
      <c r="AV12" s="464" t="n">
        <f aca="false">1+'Operating Inputs'!$P$12</f>
        <v>0.944</v>
      </c>
      <c r="AW12" s="464" t="n">
        <f aca="false">1+'Operating Inputs'!$P$12</f>
        <v>0.944</v>
      </c>
      <c r="AX12" s="464" t="n">
        <f aca="false">1+'Operating Inputs'!$P$12</f>
        <v>0.944</v>
      </c>
      <c r="AY12" s="464" t="n">
        <f aca="false">1+'Operating Inputs'!$P$12</f>
        <v>0.944</v>
      </c>
      <c r="AZ12" s="464" t="n">
        <f aca="false">1+'Operating Inputs'!$P$12</f>
        <v>0.944</v>
      </c>
      <c r="BA12" s="464" t="n">
        <f aca="false">1+'Operating Inputs'!$P$12</f>
        <v>0.944</v>
      </c>
      <c r="BB12" s="464" t="n">
        <f aca="false">1+'Operating Inputs'!$P$12</f>
        <v>0.944</v>
      </c>
      <c r="BC12" s="464" t="n">
        <f aca="false">1+'Operating Inputs'!$P$12</f>
        <v>0.944</v>
      </c>
      <c r="BD12" s="464" t="n">
        <f aca="false">1+'Operating Inputs'!$P$12</f>
        <v>0.944</v>
      </c>
      <c r="BE12" s="464" t="n">
        <f aca="false">1+'Operating Inputs'!$P$12</f>
        <v>0.944</v>
      </c>
      <c r="BF12" s="464" t="n">
        <f aca="false">1+'Operating Inputs'!$P$12</f>
        <v>0.944</v>
      </c>
      <c r="BG12" s="464" t="n">
        <f aca="false">1+'Operating Inputs'!$P$12</f>
        <v>0.944</v>
      </c>
      <c r="BH12" s="464" t="n">
        <f aca="false">1+'Operating Inputs'!$P$12</f>
        <v>0.944</v>
      </c>
      <c r="BI12" s="464" t="n">
        <f aca="false">1+'Operating Inputs'!$P$12</f>
        <v>0.944</v>
      </c>
      <c r="BJ12" s="464" t="n">
        <f aca="false">1+'Operating Inputs'!$P$12</f>
        <v>0.944</v>
      </c>
      <c r="BK12" s="464" t="n">
        <f aca="false">1+'Operating Inputs'!$P$12</f>
        <v>0.944</v>
      </c>
      <c r="BL12" s="464" t="n">
        <f aca="false">1+'Operating Inputs'!$P$12</f>
        <v>0.944</v>
      </c>
      <c r="BM12" s="464" t="n">
        <f aca="false">1+'Operating Inputs'!$P$12</f>
        <v>0.944</v>
      </c>
      <c r="BN12" s="464" t="n">
        <f aca="false">1+'Operating Inputs'!$P$12</f>
        <v>0.944</v>
      </c>
      <c r="BO12" s="464" t="n">
        <f aca="false">1+'Operating Inputs'!$P$12</f>
        <v>0.944</v>
      </c>
      <c r="BP12" s="464" t="n">
        <f aca="false">1+'Operating Inputs'!$P$12</f>
        <v>0.944</v>
      </c>
      <c r="BQ12" s="464" t="n">
        <f aca="false">1+'Operating Inputs'!$P$12</f>
        <v>0.944</v>
      </c>
      <c r="BR12" s="464" t="n">
        <f aca="false">1+'Operating Inputs'!$P$12</f>
        <v>0.944</v>
      </c>
      <c r="BS12" s="464" t="n">
        <f aca="false">1+'Operating Inputs'!$P$12</f>
        <v>0.944</v>
      </c>
      <c r="BT12" s="464" t="n">
        <f aca="false">1+'Operating Inputs'!$P$12</f>
        <v>0.944</v>
      </c>
      <c r="BU12" s="464" t="n">
        <f aca="false">1+'Operating Inputs'!$P$12</f>
        <v>0.944</v>
      </c>
      <c r="BV12" s="464" t="n">
        <f aca="false">1+'Operating Inputs'!$P$12</f>
        <v>0.944</v>
      </c>
      <c r="BW12" s="464" t="n">
        <f aca="false">1+'Operating Inputs'!$P$12</f>
        <v>0.944</v>
      </c>
      <c r="BX12" s="464" t="n">
        <f aca="false">1+'Operating Inputs'!$P$12</f>
        <v>0.944</v>
      </c>
      <c r="BY12" s="464" t="n">
        <f aca="false">1+'Operating Inputs'!$P$12</f>
        <v>0.944</v>
      </c>
      <c r="BZ12" s="464" t="n">
        <f aca="false">1+'Operating Inputs'!$P$12</f>
        <v>0.944</v>
      </c>
      <c r="CA12" s="464" t="n">
        <f aca="false">1+'Operating Inputs'!$P$12</f>
        <v>0.944</v>
      </c>
      <c r="CB12" s="464" t="n">
        <f aca="false">1+'Operating Inputs'!$P$12</f>
        <v>0.944</v>
      </c>
      <c r="CC12" s="464" t="n">
        <f aca="false">1+'Operating Inputs'!$P$12</f>
        <v>0.944</v>
      </c>
      <c r="CD12" s="464" t="n">
        <f aca="false">1+'Operating Inputs'!$P$12</f>
        <v>0.944</v>
      </c>
      <c r="CE12" s="464" t="n">
        <f aca="false">1+'Operating Inputs'!$P$12</f>
        <v>0.944</v>
      </c>
      <c r="CF12" s="464" t="n">
        <f aca="false">1+'Operating Inputs'!$P$12</f>
        <v>0.944</v>
      </c>
      <c r="CG12" s="464" t="n">
        <f aca="false">1+'Operating Inputs'!$P$12</f>
        <v>0.944</v>
      </c>
      <c r="CH12" s="464" t="n">
        <f aca="false">1+'Operating Inputs'!$P$12</f>
        <v>0.944</v>
      </c>
      <c r="CI12" s="464" t="n">
        <f aca="false">1+'Operating Inputs'!$P$12</f>
        <v>0.944</v>
      </c>
      <c r="CJ12" s="464" t="n">
        <f aca="false">1+'Operating Inputs'!$P$12</f>
        <v>0.944</v>
      </c>
      <c r="CK12" s="464" t="n">
        <f aca="false">1+'Operating Inputs'!$P$12</f>
        <v>0.944</v>
      </c>
      <c r="CL12" s="464" t="n">
        <f aca="false">1+'Operating Inputs'!$P$12</f>
        <v>0.944</v>
      </c>
      <c r="CM12" s="464" t="n">
        <f aca="false">1+'Operating Inputs'!$P$12</f>
        <v>0.944</v>
      </c>
      <c r="CN12" s="464" t="n">
        <f aca="false">1+'Operating Inputs'!$P$12</f>
        <v>0.944</v>
      </c>
      <c r="CO12" s="464" t="n">
        <f aca="false">1+'Operating Inputs'!$P$12</f>
        <v>0.944</v>
      </c>
      <c r="CP12" s="464" t="n">
        <f aca="false">1+'Operating Inputs'!$P$12</f>
        <v>0.944</v>
      </c>
      <c r="CQ12" s="464" t="n">
        <f aca="false">1+'Operating Inputs'!$P$12</f>
        <v>0.944</v>
      </c>
      <c r="CR12" s="464" t="n">
        <f aca="false">1+'Operating Inputs'!$P$12</f>
        <v>0.944</v>
      </c>
      <c r="CS12" s="464" t="n">
        <f aca="false">1+'Operating Inputs'!$P$12</f>
        <v>0.944</v>
      </c>
      <c r="CT12" s="464" t="n">
        <f aca="false">1+'Operating Inputs'!$P$12</f>
        <v>0.944</v>
      </c>
      <c r="CU12" s="464" t="n">
        <f aca="false">1+'Operating Inputs'!$P$12</f>
        <v>0.944</v>
      </c>
      <c r="CV12" s="464" t="n">
        <f aca="false">1+'Operating Inputs'!$P$12</f>
        <v>0.944</v>
      </c>
      <c r="CW12" s="464" t="n">
        <f aca="false">1+'Operating Inputs'!$P$12</f>
        <v>0.944</v>
      </c>
      <c r="CX12" s="464" t="n">
        <f aca="false">1+'Operating Inputs'!$P$12</f>
        <v>0.944</v>
      </c>
      <c r="CY12" s="464" t="n">
        <f aca="false">1+'Operating Inputs'!$P$12</f>
        <v>0.944</v>
      </c>
      <c r="CZ12" s="464" t="n">
        <f aca="false">1+'Operating Inputs'!$P$12</f>
        <v>0.944</v>
      </c>
      <c r="DA12" s="464" t="n">
        <f aca="false">1+'Operating Inputs'!$P$12</f>
        <v>0.944</v>
      </c>
      <c r="DB12" s="464" t="n">
        <f aca="false">1+'Operating Inputs'!$P$12</f>
        <v>0.944</v>
      </c>
      <c r="DC12" s="464" t="n">
        <f aca="false">1+'Operating Inputs'!$P$12</f>
        <v>0.944</v>
      </c>
      <c r="DD12" s="464" t="n">
        <f aca="false">1+'Operating Inputs'!$P$12</f>
        <v>0.944</v>
      </c>
      <c r="DE12" s="464" t="n">
        <f aca="false">1+'Operating Inputs'!$P$12</f>
        <v>0.944</v>
      </c>
      <c r="DF12" s="464" t="n">
        <f aca="false">1+'Operating Inputs'!$P$12</f>
        <v>0.944</v>
      </c>
      <c r="DG12" s="464" t="n">
        <f aca="false">1+'Operating Inputs'!$P$12</f>
        <v>0.944</v>
      </c>
      <c r="DH12" s="464" t="n">
        <f aca="false">1+'Operating Inputs'!$P$12</f>
        <v>0.944</v>
      </c>
      <c r="DI12" s="464" t="n">
        <f aca="false">1+'Operating Inputs'!$P$12</f>
        <v>0.944</v>
      </c>
      <c r="DJ12" s="464" t="n">
        <f aca="false">1+'Operating Inputs'!$P$12</f>
        <v>0.944</v>
      </c>
      <c r="DK12" s="464" t="n">
        <f aca="false">1+'Operating Inputs'!$P$12</f>
        <v>0.944</v>
      </c>
      <c r="DL12" s="464" t="n">
        <f aca="false">1+'Operating Inputs'!$P$12</f>
        <v>0.944</v>
      </c>
      <c r="DM12" s="464" t="n">
        <f aca="false">1+'Operating Inputs'!$P$12</f>
        <v>0.944</v>
      </c>
      <c r="DN12" s="464" t="n">
        <f aca="false">1+'Operating Inputs'!$P$12</f>
        <v>0.944</v>
      </c>
      <c r="DO12" s="464" t="n">
        <f aca="false">1+'Operating Inputs'!$P$12</f>
        <v>0.944</v>
      </c>
      <c r="DP12" s="464" t="n">
        <f aca="false">1+'Operating Inputs'!$P$12</f>
        <v>0.944</v>
      </c>
      <c r="DQ12" s="464" t="n">
        <f aca="false">1+'Operating Inputs'!$P$12</f>
        <v>0.944</v>
      </c>
      <c r="DR12" s="464" t="n">
        <f aca="false">1+'Operating Inputs'!$P$12</f>
        <v>0.944</v>
      </c>
      <c r="DS12" s="464" t="n">
        <f aca="false">1+'Operating Inputs'!$P$12</f>
        <v>0.944</v>
      </c>
      <c r="DT12" s="464" t="n">
        <f aca="false">1+'Operating Inputs'!$P$12</f>
        <v>0.944</v>
      </c>
      <c r="DU12" s="464" t="n">
        <f aca="false">1+'Operating Inputs'!$P$12</f>
        <v>0.944</v>
      </c>
      <c r="DV12" s="464" t="n">
        <f aca="false">1+'Operating Inputs'!$P$12</f>
        <v>0.944</v>
      </c>
      <c r="DW12" s="464" t="n">
        <f aca="false">1+'Operating Inputs'!$P$12</f>
        <v>0.944</v>
      </c>
      <c r="DX12" s="464" t="n">
        <f aca="false">1+'Operating Inputs'!$P$12</f>
        <v>0.944</v>
      </c>
      <c r="DY12" s="464" t="n">
        <f aca="false">1+'Operating Inputs'!$P$12</f>
        <v>0.944</v>
      </c>
      <c r="DZ12" s="464" t="n">
        <f aca="false">1+'Operating Inputs'!$P$12</f>
        <v>0.944</v>
      </c>
      <c r="EA12" s="464" t="n">
        <f aca="false">1+'Operating Inputs'!$P$12</f>
        <v>0.944</v>
      </c>
      <c r="EB12" s="464" t="n">
        <f aca="false">1+'Operating Inputs'!$P$12</f>
        <v>0.944</v>
      </c>
      <c r="EC12" s="464" t="n">
        <f aca="false">1+'Operating Inputs'!$P$12</f>
        <v>0.944</v>
      </c>
      <c r="ED12" s="464" t="n">
        <f aca="false">1+'Operating Inputs'!$P$12</f>
        <v>0.944</v>
      </c>
      <c r="EE12" s="464" t="n">
        <f aca="false">1+'Operating Inputs'!$P$12</f>
        <v>0.944</v>
      </c>
      <c r="EF12" s="464" t="n">
        <f aca="false">1+'Operating Inputs'!$P$12</f>
        <v>0.944</v>
      </c>
      <c r="EG12" s="464" t="n">
        <f aca="false">1+'Operating Inputs'!$P$12</f>
        <v>0.944</v>
      </c>
      <c r="EH12" s="464" t="n">
        <f aca="false">1+'Operating Inputs'!$P$12</f>
        <v>0.944</v>
      </c>
      <c r="EI12" s="102" t="n">
        <f aca="false">1+'Operating Inputs'!$P$12</f>
        <v>0.944</v>
      </c>
    </row>
    <row r="13" s="522" customFormat="true" ht="10.5" hidden="true" customHeight="true" outlineLevel="0" collapsed="false">
      <c r="B13" s="513" t="s">
        <v>564</v>
      </c>
      <c r="C13" s="421"/>
      <c r="D13" s="512"/>
      <c r="E13" s="472"/>
      <c r="F13" s="421"/>
      <c r="G13" s="525"/>
      <c r="H13" s="61" t="n">
        <f aca="false">$G$18/12</f>
        <v>6.46666666666667</v>
      </c>
      <c r="I13" s="61" t="n">
        <f aca="false">$G$18/12</f>
        <v>6.46666666666667</v>
      </c>
      <c r="J13" s="61" t="n">
        <f aca="false">$G$18/12</f>
        <v>6.46666666666667</v>
      </c>
      <c r="K13" s="61" t="n">
        <f aca="false">$G$18/12</f>
        <v>6.46666666666667</v>
      </c>
      <c r="L13" s="61" t="n">
        <f aca="false">$G$18/12</f>
        <v>6.46666666666667</v>
      </c>
      <c r="M13" s="61" t="n">
        <f aca="false">$G$18/12</f>
        <v>6.46666666666667</v>
      </c>
      <c r="N13" s="61" t="n">
        <f aca="false">$G$18/12</f>
        <v>6.46666666666667</v>
      </c>
      <c r="O13" s="61" t="n">
        <f aca="false">$G$18/12</f>
        <v>6.46666666666667</v>
      </c>
      <c r="P13" s="61" t="n">
        <f aca="false">$G$18/12</f>
        <v>6.46666666666667</v>
      </c>
      <c r="Q13" s="61" t="n">
        <f aca="false">$G$18/12</f>
        <v>6.46666666666667</v>
      </c>
      <c r="R13" s="61" t="n">
        <f aca="false">$G$18/12</f>
        <v>6.46666666666667</v>
      </c>
      <c r="S13" s="61" t="n">
        <f aca="false">$G$18/12</f>
        <v>6.46666666666667</v>
      </c>
      <c r="T13" s="61" t="n">
        <f aca="false">H16</f>
        <v>4.38666666666666</v>
      </c>
      <c r="U13" s="61" t="n">
        <f aca="false">I16</f>
        <v>3.46666666666667</v>
      </c>
      <c r="V13" s="61" t="n">
        <f aca="false">J16</f>
        <v>1.46666666666667</v>
      </c>
      <c r="W13" s="61" t="n">
        <f aca="false">K16</f>
        <v>3.46666666666667</v>
      </c>
      <c r="X13" s="61" t="n">
        <f aca="false">L16</f>
        <v>1.46666666666667</v>
      </c>
      <c r="Y13" s="61" t="n">
        <f aca="false">M16</f>
        <v>3.46666666666667</v>
      </c>
      <c r="Z13" s="61" t="n">
        <f aca="false">N16</f>
        <v>1.46666666666667</v>
      </c>
      <c r="AA13" s="61" t="n">
        <f aca="false">O16</f>
        <v>3.46666666666667</v>
      </c>
      <c r="AB13" s="61" t="n">
        <f aca="false">P16</f>
        <v>1.46666666666667</v>
      </c>
      <c r="AC13" s="61" t="n">
        <f aca="false">Q16</f>
        <v>3.46666666666667</v>
      </c>
      <c r="AD13" s="61" t="n">
        <f aca="false">R16</f>
        <v>1.46666666666667</v>
      </c>
      <c r="AE13" s="61" t="n">
        <f aca="false">S16</f>
        <v>3.46666666666667</v>
      </c>
      <c r="AF13" s="61" t="n">
        <f aca="false">T16</f>
        <v>0</v>
      </c>
      <c r="AG13" s="61" t="n">
        <f aca="false">U16</f>
        <v>0</v>
      </c>
      <c r="AH13" s="61" t="n">
        <f aca="false">V16</f>
        <v>0</v>
      </c>
      <c r="AI13" s="61" t="n">
        <f aca="false">W16</f>
        <v>0</v>
      </c>
      <c r="AJ13" s="61" t="n">
        <f aca="false">X16</f>
        <v>0</v>
      </c>
      <c r="AK13" s="61" t="n">
        <f aca="false">Y16</f>
        <v>0</v>
      </c>
      <c r="AL13" s="61" t="n">
        <f aca="false">Z16</f>
        <v>0</v>
      </c>
      <c r="AM13" s="61" t="n">
        <f aca="false">AA16</f>
        <v>0</v>
      </c>
      <c r="AN13" s="61" t="n">
        <f aca="false">AB16</f>
        <v>0</v>
      </c>
      <c r="AO13" s="61" t="n">
        <f aca="false">AC16</f>
        <v>0</v>
      </c>
      <c r="AP13" s="61" t="n">
        <f aca="false">AD16</f>
        <v>0</v>
      </c>
      <c r="AQ13" s="61" t="n">
        <f aca="false">AE16</f>
        <v>0</v>
      </c>
      <c r="AR13" s="61" t="n">
        <f aca="false">AF16</f>
        <v>0</v>
      </c>
      <c r="AS13" s="61" t="n">
        <f aca="false">AG16</f>
        <v>0</v>
      </c>
      <c r="AT13" s="61" t="n">
        <f aca="false">AH16</f>
        <v>0</v>
      </c>
      <c r="AU13" s="61" t="n">
        <f aca="false">AI16</f>
        <v>0</v>
      </c>
      <c r="AV13" s="61" t="n">
        <f aca="false">AJ16</f>
        <v>0</v>
      </c>
      <c r="AW13" s="61" t="n">
        <f aca="false">AK16</f>
        <v>0</v>
      </c>
      <c r="AX13" s="61" t="n">
        <f aca="false">AL16</f>
        <v>0</v>
      </c>
      <c r="AY13" s="61" t="n">
        <f aca="false">AM16</f>
        <v>0</v>
      </c>
      <c r="AZ13" s="61" t="n">
        <f aca="false">AN16</f>
        <v>0</v>
      </c>
      <c r="BA13" s="61" t="n">
        <f aca="false">AO16</f>
        <v>0</v>
      </c>
      <c r="BB13" s="61" t="n">
        <f aca="false">AP16</f>
        <v>0</v>
      </c>
      <c r="BC13" s="61" t="n">
        <f aca="false">AQ16</f>
        <v>0</v>
      </c>
      <c r="BD13" s="61" t="n">
        <f aca="false">AR16</f>
        <v>0</v>
      </c>
      <c r="BE13" s="61" t="n">
        <f aca="false">AS16</f>
        <v>0</v>
      </c>
      <c r="BF13" s="61" t="n">
        <f aca="false">AT16</f>
        <v>0</v>
      </c>
      <c r="BG13" s="61" t="n">
        <f aca="false">AU16</f>
        <v>0</v>
      </c>
      <c r="BH13" s="61" t="n">
        <f aca="false">AV16</f>
        <v>0</v>
      </c>
      <c r="BI13" s="61" t="n">
        <f aca="false">AW16</f>
        <v>0</v>
      </c>
      <c r="BJ13" s="61" t="n">
        <f aca="false">AX16</f>
        <v>0</v>
      </c>
      <c r="BK13" s="61" t="n">
        <f aca="false">AY16</f>
        <v>0</v>
      </c>
      <c r="BL13" s="61" t="n">
        <f aca="false">AZ16</f>
        <v>0</v>
      </c>
      <c r="BM13" s="61" t="n">
        <f aca="false">BA16</f>
        <v>0</v>
      </c>
      <c r="BN13" s="61" t="n">
        <f aca="false">BB16</f>
        <v>0</v>
      </c>
      <c r="BO13" s="61" t="n">
        <f aca="false">BC16</f>
        <v>0</v>
      </c>
      <c r="BP13" s="61" t="n">
        <f aca="false">BD16</f>
        <v>0</v>
      </c>
      <c r="BQ13" s="61" t="n">
        <f aca="false">BE16</f>
        <v>0</v>
      </c>
      <c r="BR13" s="61" t="n">
        <f aca="false">BF16</f>
        <v>0</v>
      </c>
      <c r="BS13" s="61" t="n">
        <f aca="false">BG16</f>
        <v>0</v>
      </c>
      <c r="BT13" s="61" t="n">
        <f aca="false">BH16</f>
        <v>0</v>
      </c>
      <c r="BU13" s="61" t="n">
        <f aca="false">BI16</f>
        <v>0</v>
      </c>
      <c r="BV13" s="61" t="n">
        <f aca="false">BJ16</f>
        <v>0</v>
      </c>
      <c r="BW13" s="61" t="n">
        <f aca="false">BK16</f>
        <v>0</v>
      </c>
      <c r="BX13" s="61" t="n">
        <f aca="false">BL16</f>
        <v>0</v>
      </c>
      <c r="BY13" s="61" t="n">
        <f aca="false">BM16</f>
        <v>0</v>
      </c>
      <c r="BZ13" s="61" t="n">
        <f aca="false">BN16</f>
        <v>0</v>
      </c>
      <c r="CA13" s="61" t="n">
        <f aca="false">BO16</f>
        <v>0</v>
      </c>
      <c r="CB13" s="61" t="n">
        <f aca="false">BP16</f>
        <v>0</v>
      </c>
      <c r="CC13" s="61" t="n">
        <f aca="false">BQ16</f>
        <v>0</v>
      </c>
      <c r="CD13" s="61" t="n">
        <f aca="false">BR16</f>
        <v>0</v>
      </c>
      <c r="CE13" s="61" t="n">
        <f aca="false">BS16</f>
        <v>0</v>
      </c>
      <c r="CF13" s="61" t="n">
        <f aca="false">BT16</f>
        <v>0</v>
      </c>
      <c r="CG13" s="61" t="n">
        <f aca="false">BU16</f>
        <v>0</v>
      </c>
      <c r="CH13" s="61" t="n">
        <f aca="false">BV16</f>
        <v>0</v>
      </c>
      <c r="CI13" s="61" t="n">
        <f aca="false">BW16</f>
        <v>0</v>
      </c>
      <c r="CJ13" s="61" t="n">
        <f aca="false">BX16</f>
        <v>0</v>
      </c>
      <c r="CK13" s="61" t="n">
        <f aca="false">BY16</f>
        <v>0</v>
      </c>
      <c r="CL13" s="61" t="n">
        <f aca="false">BZ16</f>
        <v>0</v>
      </c>
      <c r="CM13" s="61" t="n">
        <f aca="false">CA16</f>
        <v>0</v>
      </c>
      <c r="CN13" s="61" t="n">
        <f aca="false">CB16</f>
        <v>0</v>
      </c>
      <c r="CO13" s="61" t="n">
        <f aca="false">CC16</f>
        <v>0</v>
      </c>
      <c r="CP13" s="61" t="n">
        <f aca="false">CD16</f>
        <v>0</v>
      </c>
      <c r="CQ13" s="61" t="n">
        <f aca="false">CE16</f>
        <v>0</v>
      </c>
      <c r="CR13" s="61" t="n">
        <f aca="false">CF16</f>
        <v>0</v>
      </c>
      <c r="CS13" s="61" t="n">
        <f aca="false">CG16</f>
        <v>0</v>
      </c>
      <c r="CT13" s="61" t="n">
        <f aca="false">CH16</f>
        <v>0</v>
      </c>
      <c r="CU13" s="61" t="n">
        <f aca="false">CI16</f>
        <v>0</v>
      </c>
      <c r="CV13" s="61" t="n">
        <f aca="false">CJ16</f>
        <v>0</v>
      </c>
      <c r="CW13" s="61" t="n">
        <f aca="false">CK16</f>
        <v>0</v>
      </c>
      <c r="CX13" s="61" t="n">
        <f aca="false">CL16</f>
        <v>0</v>
      </c>
      <c r="CY13" s="61" t="n">
        <f aca="false">CM16</f>
        <v>0</v>
      </c>
      <c r="CZ13" s="61" t="n">
        <f aca="false">CN16</f>
        <v>0</v>
      </c>
      <c r="DA13" s="61" t="n">
        <f aca="false">CO16</f>
        <v>0</v>
      </c>
      <c r="DB13" s="61" t="n">
        <f aca="false">CP16</f>
        <v>0</v>
      </c>
      <c r="DC13" s="61" t="n">
        <f aca="false">CQ16</f>
        <v>0</v>
      </c>
      <c r="DD13" s="61" t="n">
        <f aca="false">CR16</f>
        <v>0</v>
      </c>
      <c r="DE13" s="61" t="n">
        <f aca="false">CS16</f>
        <v>0</v>
      </c>
      <c r="DF13" s="61" t="n">
        <f aca="false">CT16</f>
        <v>0</v>
      </c>
      <c r="DG13" s="61" t="n">
        <f aca="false">CU16</f>
        <v>0</v>
      </c>
      <c r="DH13" s="61" t="n">
        <f aca="false">CV16</f>
        <v>0</v>
      </c>
      <c r="DI13" s="61" t="n">
        <f aca="false">CW16</f>
        <v>0</v>
      </c>
      <c r="DJ13" s="61" t="n">
        <f aca="false">CX16</f>
        <v>0</v>
      </c>
      <c r="DK13" s="61" t="n">
        <f aca="false">CY16</f>
        <v>0</v>
      </c>
      <c r="DL13" s="61" t="n">
        <f aca="false">CZ16</f>
        <v>0</v>
      </c>
      <c r="DM13" s="61" t="n">
        <f aca="false">DA16</f>
        <v>0</v>
      </c>
      <c r="DN13" s="61" t="n">
        <f aca="false">DB16</f>
        <v>0</v>
      </c>
      <c r="DO13" s="61" t="n">
        <f aca="false">DC16</f>
        <v>0</v>
      </c>
      <c r="DP13" s="61" t="n">
        <f aca="false">DD16</f>
        <v>0</v>
      </c>
      <c r="DQ13" s="61" t="n">
        <f aca="false">DE16</f>
        <v>0</v>
      </c>
      <c r="DR13" s="61" t="n">
        <f aca="false">DF16</f>
        <v>0</v>
      </c>
      <c r="DS13" s="61" t="n">
        <f aca="false">DG16</f>
        <v>0</v>
      </c>
      <c r="DT13" s="61" t="n">
        <f aca="false">DH16</f>
        <v>0</v>
      </c>
      <c r="DU13" s="61" t="n">
        <f aca="false">DI16</f>
        <v>0</v>
      </c>
      <c r="DV13" s="61" t="n">
        <f aca="false">DJ16</f>
        <v>0</v>
      </c>
      <c r="DW13" s="61" t="n">
        <f aca="false">DK16</f>
        <v>0</v>
      </c>
      <c r="DX13" s="61" t="n">
        <f aca="false">DL16</f>
        <v>0</v>
      </c>
      <c r="DY13" s="61" t="n">
        <f aca="false">DM16</f>
        <v>0</v>
      </c>
      <c r="DZ13" s="61" t="n">
        <f aca="false">DN16</f>
        <v>0</v>
      </c>
      <c r="EA13" s="61" t="n">
        <f aca="false">DO16</f>
        <v>0</v>
      </c>
      <c r="EB13" s="61" t="n">
        <f aca="false">DP16</f>
        <v>0</v>
      </c>
      <c r="EC13" s="61" t="n">
        <f aca="false">DQ16</f>
        <v>0</v>
      </c>
      <c r="ED13" s="61" t="n">
        <f aca="false">DR16</f>
        <v>0</v>
      </c>
      <c r="EE13" s="61" t="n">
        <f aca="false">DS16</f>
        <v>0</v>
      </c>
      <c r="EF13" s="61" t="n">
        <f aca="false">DT16</f>
        <v>0</v>
      </c>
      <c r="EG13" s="61" t="n">
        <f aca="false">DU16</f>
        <v>0</v>
      </c>
      <c r="EH13" s="61" t="n">
        <f aca="false">DV16</f>
        <v>0</v>
      </c>
      <c r="EI13" s="524" t="n">
        <f aca="false">DW16</f>
        <v>0</v>
      </c>
    </row>
    <row r="14" s="522" customFormat="true" ht="12.75" hidden="true" customHeight="true" outlineLevel="0" collapsed="false">
      <c r="B14" s="513" t="s">
        <v>565</v>
      </c>
      <c r="C14" s="421"/>
      <c r="D14" s="512"/>
      <c r="E14" s="472"/>
      <c r="F14" s="421"/>
      <c r="G14" s="525"/>
      <c r="H14" s="61" t="n">
        <f aca="false">$G$19/12</f>
        <v>0</v>
      </c>
      <c r="I14" s="61" t="n">
        <f aca="false">$G$19/12</f>
        <v>0</v>
      </c>
      <c r="J14" s="61" t="n">
        <f aca="false">$G$19/12</f>
        <v>0</v>
      </c>
      <c r="K14" s="61" t="n">
        <f aca="false">$G$19/12</f>
        <v>0</v>
      </c>
      <c r="L14" s="61" t="n">
        <f aca="false">$G$19/12</f>
        <v>0</v>
      </c>
      <c r="M14" s="61" t="n">
        <f aca="false">$G$19/12</f>
        <v>0</v>
      </c>
      <c r="N14" s="61" t="n">
        <f aca="false">$G$19/12</f>
        <v>0</v>
      </c>
      <c r="O14" s="61" t="n">
        <f aca="false">$G$19/12</f>
        <v>0</v>
      </c>
      <c r="P14" s="61" t="n">
        <f aca="false">$G$19/12</f>
        <v>0</v>
      </c>
      <c r="Q14" s="61" t="n">
        <f aca="false">$G$19/12</f>
        <v>0</v>
      </c>
      <c r="R14" s="61" t="n">
        <f aca="false">$G$19/12</f>
        <v>0</v>
      </c>
      <c r="S14" s="61" t="n">
        <f aca="false">$G$19/12</f>
        <v>0</v>
      </c>
      <c r="T14" s="61" t="n">
        <f aca="false">H17</f>
        <v>0</v>
      </c>
      <c r="U14" s="61" t="n">
        <f aca="false">I17</f>
        <v>3</v>
      </c>
      <c r="V14" s="61" t="n">
        <f aca="false">J17</f>
        <v>5</v>
      </c>
      <c r="W14" s="61" t="n">
        <f aca="false">K17</f>
        <v>3</v>
      </c>
      <c r="X14" s="61" t="n">
        <f aca="false">L17</f>
        <v>5</v>
      </c>
      <c r="Y14" s="61" t="n">
        <f aca="false">M17</f>
        <v>3</v>
      </c>
      <c r="Z14" s="61" t="n">
        <f aca="false">N17</f>
        <v>5</v>
      </c>
      <c r="AA14" s="61" t="n">
        <f aca="false">O17</f>
        <v>3</v>
      </c>
      <c r="AB14" s="61" t="n">
        <f aca="false">P17</f>
        <v>5</v>
      </c>
      <c r="AC14" s="61" t="n">
        <f aca="false">Q17</f>
        <v>3</v>
      </c>
      <c r="AD14" s="61" t="n">
        <f aca="false">R17</f>
        <v>5</v>
      </c>
      <c r="AE14" s="61" t="n">
        <f aca="false">S17</f>
        <v>3</v>
      </c>
      <c r="AF14" s="61" t="n">
        <f aca="false">T17</f>
        <v>4.38666666666666</v>
      </c>
      <c r="AG14" s="61" t="n">
        <f aca="false">U17</f>
        <v>6.46666666666667</v>
      </c>
      <c r="AH14" s="61" t="n">
        <f aca="false">V17</f>
        <v>6.46666666666667</v>
      </c>
      <c r="AI14" s="61" t="n">
        <f aca="false">W17</f>
        <v>6.46666666666667</v>
      </c>
      <c r="AJ14" s="61" t="n">
        <f aca="false">X17</f>
        <v>6.46666666666667</v>
      </c>
      <c r="AK14" s="61" t="n">
        <f aca="false">Y17</f>
        <v>6.46666666666667</v>
      </c>
      <c r="AL14" s="61" t="n">
        <f aca="false">Z17</f>
        <v>6.46666666666667</v>
      </c>
      <c r="AM14" s="61" t="n">
        <f aca="false">AA17</f>
        <v>6.46666666666667</v>
      </c>
      <c r="AN14" s="61" t="n">
        <f aca="false">AB17</f>
        <v>6.46666666666667</v>
      </c>
      <c r="AO14" s="61" t="n">
        <f aca="false">AC17</f>
        <v>6.46666666666667</v>
      </c>
      <c r="AP14" s="61" t="n">
        <f aca="false">AD17</f>
        <v>6.46666666666667</v>
      </c>
      <c r="AQ14" s="61" t="n">
        <f aca="false">AE17</f>
        <v>6.46666666666665</v>
      </c>
      <c r="AR14" s="61" t="n">
        <f aca="false">AF17</f>
        <v>4.38666666666666</v>
      </c>
      <c r="AS14" s="61" t="n">
        <f aca="false">AG17</f>
        <v>6.46666666666667</v>
      </c>
      <c r="AT14" s="61" t="n">
        <f aca="false">AH17</f>
        <v>6.46666666666667</v>
      </c>
      <c r="AU14" s="61" t="n">
        <f aca="false">AI17</f>
        <v>6.46666666666667</v>
      </c>
      <c r="AV14" s="61" t="n">
        <f aca="false">AJ17</f>
        <v>6.46666666666667</v>
      </c>
      <c r="AW14" s="61" t="n">
        <f aca="false">AK17</f>
        <v>6.46666666666667</v>
      </c>
      <c r="AX14" s="61" t="n">
        <f aca="false">AL17</f>
        <v>6.46666666666667</v>
      </c>
      <c r="AY14" s="61" t="n">
        <f aca="false">AM17</f>
        <v>6.46666666666667</v>
      </c>
      <c r="AZ14" s="61" t="n">
        <f aca="false">AN17</f>
        <v>6.46666666666667</v>
      </c>
      <c r="BA14" s="61" t="n">
        <f aca="false">AO17</f>
        <v>6.46666666666667</v>
      </c>
      <c r="BB14" s="61" t="n">
        <f aca="false">AP17</f>
        <v>6.46666666666667</v>
      </c>
      <c r="BC14" s="61" t="n">
        <f aca="false">AQ17</f>
        <v>6.46666666666665</v>
      </c>
      <c r="BD14" s="61" t="n">
        <f aca="false">AR17</f>
        <v>4.38666666666666</v>
      </c>
      <c r="BE14" s="61" t="n">
        <f aca="false">AS17</f>
        <v>6.46666666666667</v>
      </c>
      <c r="BF14" s="61" t="n">
        <f aca="false">AT17</f>
        <v>6.46666666666667</v>
      </c>
      <c r="BG14" s="61" t="n">
        <f aca="false">AU17</f>
        <v>6.46666666666667</v>
      </c>
      <c r="BH14" s="61" t="n">
        <f aca="false">AV17</f>
        <v>6.46666666666667</v>
      </c>
      <c r="BI14" s="61" t="n">
        <f aca="false">AW17</f>
        <v>6.46666666666667</v>
      </c>
      <c r="BJ14" s="61" t="n">
        <f aca="false">AX17</f>
        <v>6.46666666666667</v>
      </c>
      <c r="BK14" s="61" t="n">
        <f aca="false">AY17</f>
        <v>6.46666666666667</v>
      </c>
      <c r="BL14" s="61" t="n">
        <f aca="false">AZ17</f>
        <v>6.46666666666667</v>
      </c>
      <c r="BM14" s="61" t="n">
        <f aca="false">BA17</f>
        <v>6.46666666666667</v>
      </c>
      <c r="BN14" s="61" t="n">
        <f aca="false">BB17</f>
        <v>6.46666666666667</v>
      </c>
      <c r="BO14" s="61" t="n">
        <f aca="false">BC17</f>
        <v>6.46666666666665</v>
      </c>
      <c r="BP14" s="61" t="n">
        <f aca="false">BD17</f>
        <v>4.38666666666666</v>
      </c>
      <c r="BQ14" s="61" t="n">
        <f aca="false">BE17</f>
        <v>6.46666666666667</v>
      </c>
      <c r="BR14" s="61" t="n">
        <f aca="false">BF17</f>
        <v>6.46666666666667</v>
      </c>
      <c r="BS14" s="61" t="n">
        <f aca="false">BG17</f>
        <v>6.46666666666667</v>
      </c>
      <c r="BT14" s="61" t="n">
        <f aca="false">BH17</f>
        <v>6.46666666666667</v>
      </c>
      <c r="BU14" s="61" t="n">
        <f aca="false">BI17</f>
        <v>6.46666666666667</v>
      </c>
      <c r="BV14" s="61" t="n">
        <f aca="false">BJ17</f>
        <v>6.46666666666667</v>
      </c>
      <c r="BW14" s="61" t="n">
        <f aca="false">BK17</f>
        <v>6.46666666666667</v>
      </c>
      <c r="BX14" s="61" t="n">
        <f aca="false">BL17</f>
        <v>6.46666666666667</v>
      </c>
      <c r="BY14" s="61" t="n">
        <f aca="false">BM17</f>
        <v>6.46666666666667</v>
      </c>
      <c r="BZ14" s="61" t="n">
        <f aca="false">BN17</f>
        <v>6.46666666666667</v>
      </c>
      <c r="CA14" s="61" t="n">
        <f aca="false">BO17</f>
        <v>6.46666666666665</v>
      </c>
      <c r="CB14" s="61" t="n">
        <f aca="false">BP17</f>
        <v>4.38666666666666</v>
      </c>
      <c r="CC14" s="61" t="n">
        <f aca="false">BQ17</f>
        <v>6.46666666666667</v>
      </c>
      <c r="CD14" s="61" t="n">
        <f aca="false">BR17</f>
        <v>6.46666666666667</v>
      </c>
      <c r="CE14" s="61" t="n">
        <f aca="false">BS17</f>
        <v>6.46666666666667</v>
      </c>
      <c r="CF14" s="61" t="n">
        <f aca="false">BT17</f>
        <v>6.46666666666667</v>
      </c>
      <c r="CG14" s="61" t="n">
        <f aca="false">BU17</f>
        <v>6.46666666666667</v>
      </c>
      <c r="CH14" s="61" t="n">
        <f aca="false">BV17</f>
        <v>6.46666666666667</v>
      </c>
      <c r="CI14" s="61" t="n">
        <f aca="false">BW17</f>
        <v>6.46666666666667</v>
      </c>
      <c r="CJ14" s="61" t="n">
        <f aca="false">BX17</f>
        <v>6.46666666666667</v>
      </c>
      <c r="CK14" s="61" t="n">
        <f aca="false">BY17</f>
        <v>6.46666666666667</v>
      </c>
      <c r="CL14" s="61" t="n">
        <f aca="false">BZ17</f>
        <v>6.46666666666667</v>
      </c>
      <c r="CM14" s="61" t="n">
        <f aca="false">CA17</f>
        <v>6.46666666666665</v>
      </c>
      <c r="CN14" s="61" t="n">
        <f aca="false">CB17</f>
        <v>4.38666666666666</v>
      </c>
      <c r="CO14" s="61" t="n">
        <f aca="false">CC17</f>
        <v>6.46666666666667</v>
      </c>
      <c r="CP14" s="61" t="n">
        <f aca="false">CD17</f>
        <v>6.46666666666667</v>
      </c>
      <c r="CQ14" s="61" t="n">
        <f aca="false">CE17</f>
        <v>6.46666666666667</v>
      </c>
      <c r="CR14" s="61" t="n">
        <f aca="false">CF17</f>
        <v>6.46666666666667</v>
      </c>
      <c r="CS14" s="61" t="n">
        <f aca="false">CG17</f>
        <v>6.46666666666667</v>
      </c>
      <c r="CT14" s="61" t="n">
        <f aca="false">CH17</f>
        <v>6.46666666666667</v>
      </c>
      <c r="CU14" s="61" t="n">
        <f aca="false">CI17</f>
        <v>6.46666666666667</v>
      </c>
      <c r="CV14" s="61" t="n">
        <f aca="false">CJ17</f>
        <v>6.46666666666667</v>
      </c>
      <c r="CW14" s="61" t="n">
        <f aca="false">CK17</f>
        <v>6.46666666666667</v>
      </c>
      <c r="CX14" s="61" t="n">
        <f aca="false">CL17</f>
        <v>6.46666666666667</v>
      </c>
      <c r="CY14" s="61" t="n">
        <f aca="false">CM17</f>
        <v>6.46666666666665</v>
      </c>
      <c r="CZ14" s="61" t="n">
        <f aca="false">CN17</f>
        <v>4.38666666666666</v>
      </c>
      <c r="DA14" s="61" t="n">
        <f aca="false">CO17</f>
        <v>6.46666666666667</v>
      </c>
      <c r="DB14" s="61" t="n">
        <f aca="false">CP17</f>
        <v>6.46666666666667</v>
      </c>
      <c r="DC14" s="61" t="n">
        <f aca="false">CQ17</f>
        <v>6.46666666666667</v>
      </c>
      <c r="DD14" s="61" t="n">
        <f aca="false">CR17</f>
        <v>6.46666666666667</v>
      </c>
      <c r="DE14" s="61" t="n">
        <f aca="false">CS17</f>
        <v>6.46666666666667</v>
      </c>
      <c r="DF14" s="61" t="n">
        <f aca="false">CT17</f>
        <v>6.46666666666667</v>
      </c>
      <c r="DG14" s="61" t="n">
        <f aca="false">CU17</f>
        <v>6.46666666666667</v>
      </c>
      <c r="DH14" s="61" t="n">
        <f aca="false">CV17</f>
        <v>6.46666666666667</v>
      </c>
      <c r="DI14" s="61" t="n">
        <f aca="false">CW17</f>
        <v>6.46666666666667</v>
      </c>
      <c r="DJ14" s="61" t="n">
        <f aca="false">CX17</f>
        <v>6.46666666666667</v>
      </c>
      <c r="DK14" s="61" t="n">
        <f aca="false">CY17</f>
        <v>6.46666666666665</v>
      </c>
      <c r="DL14" s="61" t="n">
        <f aca="false">CZ17</f>
        <v>4.38666666666666</v>
      </c>
      <c r="DM14" s="61" t="n">
        <f aca="false">DA17</f>
        <v>6.46666666666667</v>
      </c>
      <c r="DN14" s="61" t="n">
        <f aca="false">DB17</f>
        <v>6.46666666666667</v>
      </c>
      <c r="DO14" s="61" t="n">
        <f aca="false">DC17</f>
        <v>6.46666666666667</v>
      </c>
      <c r="DP14" s="61" t="n">
        <f aca="false">DD17</f>
        <v>6.46666666666667</v>
      </c>
      <c r="DQ14" s="61" t="n">
        <f aca="false">DE17</f>
        <v>6.46666666666667</v>
      </c>
      <c r="DR14" s="61" t="n">
        <f aca="false">DF17</f>
        <v>6.46666666666667</v>
      </c>
      <c r="DS14" s="61" t="n">
        <f aca="false">DG17</f>
        <v>6.46666666666667</v>
      </c>
      <c r="DT14" s="61" t="n">
        <f aca="false">DH17</f>
        <v>6.46666666666667</v>
      </c>
      <c r="DU14" s="61" t="n">
        <f aca="false">DI17</f>
        <v>6.46666666666667</v>
      </c>
      <c r="DV14" s="61" t="n">
        <f aca="false">DJ17</f>
        <v>6.46666666666667</v>
      </c>
      <c r="DW14" s="61" t="n">
        <f aca="false">DK17</f>
        <v>6.46666666666665</v>
      </c>
      <c r="DX14" s="61" t="n">
        <f aca="false">DL17</f>
        <v>4.38666666666666</v>
      </c>
      <c r="DY14" s="61" t="n">
        <f aca="false">DM17</f>
        <v>6.46666666666667</v>
      </c>
      <c r="DZ14" s="61" t="n">
        <f aca="false">DN17</f>
        <v>6.46666666666667</v>
      </c>
      <c r="EA14" s="61" t="n">
        <f aca="false">DO17</f>
        <v>6.46666666666667</v>
      </c>
      <c r="EB14" s="61" t="n">
        <f aca="false">DP17</f>
        <v>6.46666666666667</v>
      </c>
      <c r="EC14" s="61" t="n">
        <f aca="false">DQ17</f>
        <v>6.46666666666667</v>
      </c>
      <c r="ED14" s="61" t="n">
        <f aca="false">DR17</f>
        <v>6.46666666666667</v>
      </c>
      <c r="EE14" s="61" t="n">
        <f aca="false">DS17</f>
        <v>6.46666666666667</v>
      </c>
      <c r="EF14" s="61" t="n">
        <f aca="false">DT17</f>
        <v>6.46666666666667</v>
      </c>
      <c r="EG14" s="61" t="n">
        <f aca="false">DU17</f>
        <v>6.46666666666667</v>
      </c>
      <c r="EH14" s="61" t="n">
        <f aca="false">DV17</f>
        <v>6.46666666666667</v>
      </c>
      <c r="EI14" s="524" t="n">
        <f aca="false">DW17</f>
        <v>6.46666666666665</v>
      </c>
    </row>
    <row r="15" s="522" customFormat="true" ht="12.75" hidden="true" customHeight="true" outlineLevel="0" collapsed="false">
      <c r="B15" s="513" t="s">
        <v>566</v>
      </c>
      <c r="C15" s="421"/>
      <c r="D15" s="512"/>
      <c r="E15" s="472"/>
      <c r="F15" s="421"/>
      <c r="G15" s="525"/>
      <c r="H15" s="61" t="n">
        <f aca="false">(H13+H14)+(H12-G12)*'Executive Summary'!$C$12</f>
        <v>4.38666666666666</v>
      </c>
      <c r="I15" s="61" t="n">
        <f aca="false">(I13+I14)+(I12-H12)*'Executive Summary'!$C$12</f>
        <v>6.46666666666667</v>
      </c>
      <c r="J15" s="61" t="n">
        <f aca="false">(J13+J14)+(J12-I12)*'Executive Summary'!$C$12</f>
        <v>6.46666666666667</v>
      </c>
      <c r="K15" s="61" t="n">
        <f aca="false">(K13+K14)+(K12-J12)*'Executive Summary'!$C$12</f>
        <v>6.46666666666667</v>
      </c>
      <c r="L15" s="61" t="n">
        <f aca="false">(L13+L14)+(L12-K12)*'Executive Summary'!$C$12</f>
        <v>6.46666666666667</v>
      </c>
      <c r="M15" s="61" t="n">
        <f aca="false">(M13+M14)+(M12-L12)*'Executive Summary'!$C$12</f>
        <v>6.46666666666667</v>
      </c>
      <c r="N15" s="61" t="n">
        <f aca="false">(N13+N14)+(N12-M12)*'Executive Summary'!$C$12</f>
        <v>6.46666666666667</v>
      </c>
      <c r="O15" s="61" t="n">
        <f aca="false">(O13+O14)+(O12-N12)*'Executive Summary'!$C$12</f>
        <v>6.46666666666667</v>
      </c>
      <c r="P15" s="61" t="n">
        <f aca="false">(P13+P14)+(P12-O12)*'Executive Summary'!$C$12</f>
        <v>6.46666666666667</v>
      </c>
      <c r="Q15" s="61" t="n">
        <f aca="false">(Q13+Q14)+(Q12-P12)*'Executive Summary'!$C$12</f>
        <v>6.46666666666667</v>
      </c>
      <c r="R15" s="61" t="n">
        <f aca="false">(R13+R14)+(R12-Q12)*'Executive Summary'!$C$12</f>
        <v>6.46666666666667</v>
      </c>
      <c r="S15" s="61" t="n">
        <f aca="false">(S13+S14)+(S12-R12)*'Executive Summary'!$C$12</f>
        <v>6.46666666666667</v>
      </c>
      <c r="T15" s="61" t="n">
        <f aca="false">(T13+T14)+(T12-S12)*'Executive Summary'!$C$12</f>
        <v>4.38666666666666</v>
      </c>
      <c r="U15" s="61" t="n">
        <f aca="false">(U13+U14)+(U12-T12)*'Executive Summary'!$C$12</f>
        <v>6.46666666666667</v>
      </c>
      <c r="V15" s="61" t="n">
        <f aca="false">(V13+V14)+(V12-U12)*'Executive Summary'!$C$12</f>
        <v>6.46666666666667</v>
      </c>
      <c r="W15" s="61" t="n">
        <f aca="false">(W13+W14)+(W12-V12)*'Executive Summary'!$C$12</f>
        <v>6.46666666666667</v>
      </c>
      <c r="X15" s="61" t="n">
        <f aca="false">(X13+X14)+(X12-W12)*'Executive Summary'!$C$12</f>
        <v>6.46666666666667</v>
      </c>
      <c r="Y15" s="61" t="n">
        <f aca="false">(Y13+Y14)+(Y12-X12)*'Executive Summary'!$C$12</f>
        <v>6.46666666666667</v>
      </c>
      <c r="Z15" s="61" t="n">
        <f aca="false">(Z13+Z14)+(Z12-Y12)*'Executive Summary'!$C$12</f>
        <v>6.46666666666667</v>
      </c>
      <c r="AA15" s="61" t="n">
        <f aca="false">(AA13+AA14)+(AA12-Z12)*'Executive Summary'!$C$12</f>
        <v>6.46666666666667</v>
      </c>
      <c r="AB15" s="61" t="n">
        <f aca="false">(AB13+AB14)+(AB12-AA12)*'Executive Summary'!$C$12</f>
        <v>6.46666666666667</v>
      </c>
      <c r="AC15" s="61" t="n">
        <f aca="false">(AC13+AC14)+(AC12-AB12)*'Executive Summary'!$C$12</f>
        <v>6.46666666666667</v>
      </c>
      <c r="AD15" s="61" t="n">
        <f aca="false">(AD13+AD14)+(AD12-AC12)*'Executive Summary'!$C$12</f>
        <v>6.46666666666667</v>
      </c>
      <c r="AE15" s="61" t="n">
        <f aca="false">(AE13+AE14)+(AE12-AD12)*'Executive Summary'!$C$12</f>
        <v>6.46666666666667</v>
      </c>
      <c r="AF15" s="61" t="n">
        <f aca="false">(AF13+AF14)+(AF12-AE12)*'Executive Summary'!$C$12</f>
        <v>4.38666666666666</v>
      </c>
      <c r="AG15" s="61" t="n">
        <f aca="false">(AG13+AG14)+(AG12-AF12)*'Executive Summary'!$C$12</f>
        <v>6.46666666666667</v>
      </c>
      <c r="AH15" s="61" t="n">
        <f aca="false">(AH13+AH14)+(AH12-AG12)*'Executive Summary'!$C$12</f>
        <v>6.46666666666667</v>
      </c>
      <c r="AI15" s="61" t="n">
        <f aca="false">(AI13+AI14)+(AI12-AH12)*'Executive Summary'!$C$12</f>
        <v>6.46666666666667</v>
      </c>
      <c r="AJ15" s="61" t="n">
        <f aca="false">(AJ13+AJ14)+(AJ12-AI12)*'Executive Summary'!$C$12</f>
        <v>6.46666666666667</v>
      </c>
      <c r="AK15" s="61" t="n">
        <f aca="false">(AK13+AK14)+(AK12-AJ12)*'Executive Summary'!$C$12</f>
        <v>6.46666666666667</v>
      </c>
      <c r="AL15" s="61" t="n">
        <f aca="false">(AL13+AL14)+(AL12-AK12)*'Executive Summary'!$C$12</f>
        <v>6.46666666666667</v>
      </c>
      <c r="AM15" s="61" t="n">
        <f aca="false">(AM13+AM14)+(AM12-AL12)*'Executive Summary'!$C$12</f>
        <v>6.46666666666667</v>
      </c>
      <c r="AN15" s="61" t="n">
        <f aca="false">(AN13+AN14)+(AN12-AM12)*'Executive Summary'!$C$12</f>
        <v>6.46666666666667</v>
      </c>
      <c r="AO15" s="61" t="n">
        <f aca="false">(AO13+AO14)+(AO12-AN12)*'Executive Summary'!$C$12</f>
        <v>6.46666666666667</v>
      </c>
      <c r="AP15" s="61" t="n">
        <f aca="false">(AP13+AP14)+(AP12-AO12)*'Executive Summary'!$C$12</f>
        <v>6.46666666666667</v>
      </c>
      <c r="AQ15" s="61" t="n">
        <f aca="false">(AQ13+AQ14)+(AQ12-AP12)*'Executive Summary'!$C$12</f>
        <v>6.46666666666665</v>
      </c>
      <c r="AR15" s="61" t="n">
        <f aca="false">(AR13+AR14)+(AR12-AQ12)*'Executive Summary'!$C$12</f>
        <v>4.38666666666666</v>
      </c>
      <c r="AS15" s="61" t="n">
        <f aca="false">(AS13+AS14)+(AS12-AR12)*'Executive Summary'!$C$12</f>
        <v>6.46666666666667</v>
      </c>
      <c r="AT15" s="61" t="n">
        <f aca="false">(AT13+AT14)+(AT12-AS12)*'Executive Summary'!$C$12</f>
        <v>6.46666666666667</v>
      </c>
      <c r="AU15" s="61" t="n">
        <f aca="false">(AU13+AU14)+(AU12-AT12)*'Executive Summary'!$C$12</f>
        <v>6.46666666666667</v>
      </c>
      <c r="AV15" s="61" t="n">
        <f aca="false">(AV13+AV14)+(AV12-AU12)*'Executive Summary'!$C$12</f>
        <v>6.46666666666667</v>
      </c>
      <c r="AW15" s="61" t="n">
        <f aca="false">(AW13+AW14)+(AW12-AV12)*'Executive Summary'!$C$12</f>
        <v>6.46666666666667</v>
      </c>
      <c r="AX15" s="61" t="n">
        <f aca="false">(AX13+AX14)+(AX12-AW12)*'Executive Summary'!$C$12</f>
        <v>6.46666666666667</v>
      </c>
      <c r="AY15" s="61" t="n">
        <f aca="false">(AY13+AY14)+(AY12-AX12)*'Executive Summary'!$C$12</f>
        <v>6.46666666666667</v>
      </c>
      <c r="AZ15" s="61" t="n">
        <f aca="false">(AZ13+AZ14)+(AZ12-AY12)*'Executive Summary'!$C$12</f>
        <v>6.46666666666667</v>
      </c>
      <c r="BA15" s="61" t="n">
        <f aca="false">(BA13+BA14)+(BA12-AZ12)*'Executive Summary'!$C$12</f>
        <v>6.46666666666667</v>
      </c>
      <c r="BB15" s="61" t="n">
        <f aca="false">(BB13+BB14)+(BB12-BA12)*'Executive Summary'!$C$12</f>
        <v>6.46666666666667</v>
      </c>
      <c r="BC15" s="61" t="n">
        <f aca="false">(BC13+BC14)+(BC12-BB12)*'Executive Summary'!$C$12</f>
        <v>6.46666666666665</v>
      </c>
      <c r="BD15" s="61" t="n">
        <f aca="false">(BD13+BD14)+(BD12-BC12)*'Executive Summary'!$C$12</f>
        <v>4.38666666666666</v>
      </c>
      <c r="BE15" s="61" t="n">
        <f aca="false">(BE13+BE14)+(BE12-BD12)*'Executive Summary'!$C$12</f>
        <v>6.46666666666667</v>
      </c>
      <c r="BF15" s="61" t="n">
        <f aca="false">(BF13+BF14)+(BF12-BE12)*'Executive Summary'!$C$12</f>
        <v>6.46666666666667</v>
      </c>
      <c r="BG15" s="61" t="n">
        <f aca="false">(BG13+BG14)+(BG12-BF12)*'Executive Summary'!$C$12</f>
        <v>6.46666666666667</v>
      </c>
      <c r="BH15" s="61" t="n">
        <f aca="false">(BH13+BH14)+(BH12-BG12)*'Executive Summary'!$C$12</f>
        <v>6.46666666666667</v>
      </c>
      <c r="BI15" s="61" t="n">
        <f aca="false">(BI13+BI14)+(BI12-BH12)*'Executive Summary'!$C$12</f>
        <v>6.46666666666667</v>
      </c>
      <c r="BJ15" s="61" t="n">
        <f aca="false">(BJ13+BJ14)+(BJ12-BI12)*'Executive Summary'!$C$12</f>
        <v>6.46666666666667</v>
      </c>
      <c r="BK15" s="61" t="n">
        <f aca="false">(BK13+BK14)+(BK12-BJ12)*'Executive Summary'!$C$12</f>
        <v>6.46666666666667</v>
      </c>
      <c r="BL15" s="61" t="n">
        <f aca="false">(BL13+BL14)+(BL12-BK12)*'Executive Summary'!$C$12</f>
        <v>6.46666666666667</v>
      </c>
      <c r="BM15" s="61" t="n">
        <f aca="false">(BM13+BM14)+(BM12-BL12)*'Executive Summary'!$C$12</f>
        <v>6.46666666666667</v>
      </c>
      <c r="BN15" s="61" t="n">
        <f aca="false">(BN13+BN14)+(BN12-BM12)*'Executive Summary'!$C$12</f>
        <v>6.46666666666667</v>
      </c>
      <c r="BO15" s="61" t="n">
        <f aca="false">(BO13+BO14)+(BO12-BN12)*'Executive Summary'!$C$12</f>
        <v>6.46666666666665</v>
      </c>
      <c r="BP15" s="61" t="n">
        <f aca="false">(BP13+BP14)+(BP12-BO12)*'Executive Summary'!$C$12</f>
        <v>4.38666666666666</v>
      </c>
      <c r="BQ15" s="61" t="n">
        <f aca="false">(BQ13+BQ14)+(BQ12-BP12)*'Executive Summary'!$C$12</f>
        <v>6.46666666666667</v>
      </c>
      <c r="BR15" s="61" t="n">
        <f aca="false">(BR13+BR14)+(BR12-BQ12)*'Executive Summary'!$C$12</f>
        <v>6.46666666666667</v>
      </c>
      <c r="BS15" s="61" t="n">
        <f aca="false">(BS13+BS14)+(BS12-BR12)*'Executive Summary'!$C$12</f>
        <v>6.46666666666667</v>
      </c>
      <c r="BT15" s="61" t="n">
        <f aca="false">(BT13+BT14)+(BT12-BS12)*'Executive Summary'!$C$12</f>
        <v>6.46666666666667</v>
      </c>
      <c r="BU15" s="61" t="n">
        <f aca="false">(BU13+BU14)+(BU12-BT12)*'Executive Summary'!$C$12</f>
        <v>6.46666666666667</v>
      </c>
      <c r="BV15" s="61" t="n">
        <f aca="false">(BV13+BV14)+(BV12-BU12)*'Executive Summary'!$C$12</f>
        <v>6.46666666666667</v>
      </c>
      <c r="BW15" s="61" t="n">
        <f aca="false">(BW13+BW14)+(BW12-BV12)*'Executive Summary'!$C$12</f>
        <v>6.46666666666667</v>
      </c>
      <c r="BX15" s="61" t="n">
        <f aca="false">(BX13+BX14)+(BX12-BW12)*'Executive Summary'!$C$12</f>
        <v>6.46666666666667</v>
      </c>
      <c r="BY15" s="61" t="n">
        <f aca="false">(BY13+BY14)+(BY12-BX12)*'Executive Summary'!$C$12</f>
        <v>6.46666666666667</v>
      </c>
      <c r="BZ15" s="61" t="n">
        <f aca="false">(BZ13+BZ14)+(BZ12-BY12)*'Executive Summary'!$C$12</f>
        <v>6.46666666666667</v>
      </c>
      <c r="CA15" s="61" t="n">
        <f aca="false">(CA13+CA14)+(CA12-BZ12)*'Executive Summary'!$C$12</f>
        <v>6.46666666666665</v>
      </c>
      <c r="CB15" s="61" t="n">
        <f aca="false">(CB13+CB14)+(CB12-CA12)*'Executive Summary'!$C$12</f>
        <v>4.38666666666666</v>
      </c>
      <c r="CC15" s="61" t="n">
        <f aca="false">(CC13+CC14)+(CC12-CB12)*'Executive Summary'!$C$12</f>
        <v>6.46666666666667</v>
      </c>
      <c r="CD15" s="61" t="n">
        <f aca="false">(CD13+CD14)+(CD12-CC12)*'Executive Summary'!$C$12</f>
        <v>6.46666666666667</v>
      </c>
      <c r="CE15" s="61" t="n">
        <f aca="false">(CE13+CE14)+(CE12-CD12)*'Executive Summary'!$C$12</f>
        <v>6.46666666666667</v>
      </c>
      <c r="CF15" s="61" t="n">
        <f aca="false">(CF13+CF14)+(CF12-CE12)*'Executive Summary'!$C$12</f>
        <v>6.46666666666667</v>
      </c>
      <c r="CG15" s="61" t="n">
        <f aca="false">(CG13+CG14)+(CG12-CF12)*'Executive Summary'!$C$12</f>
        <v>6.46666666666667</v>
      </c>
      <c r="CH15" s="61" t="n">
        <f aca="false">(CH13+CH14)+(CH12-CG12)*'Executive Summary'!$C$12</f>
        <v>6.46666666666667</v>
      </c>
      <c r="CI15" s="61" t="n">
        <f aca="false">(CI13+CI14)+(CI12-CH12)*'Executive Summary'!$C$12</f>
        <v>6.46666666666667</v>
      </c>
      <c r="CJ15" s="61" t="n">
        <f aca="false">(CJ13+CJ14)+(CJ12-CI12)*'Executive Summary'!$C$12</f>
        <v>6.46666666666667</v>
      </c>
      <c r="CK15" s="61" t="n">
        <f aca="false">(CK13+CK14)+(CK12-CJ12)*'Executive Summary'!$C$12</f>
        <v>6.46666666666667</v>
      </c>
      <c r="CL15" s="61" t="n">
        <f aca="false">(CL13+CL14)+(CL12-CK12)*'Executive Summary'!$C$12</f>
        <v>6.46666666666667</v>
      </c>
      <c r="CM15" s="61" t="n">
        <f aca="false">(CM13+CM14)+(CM12-CL12)*'Executive Summary'!$C$12</f>
        <v>6.46666666666665</v>
      </c>
      <c r="CN15" s="61" t="n">
        <f aca="false">(CN13+CN14)+(CN12-CM12)*'Executive Summary'!$C$12</f>
        <v>4.38666666666666</v>
      </c>
      <c r="CO15" s="61" t="n">
        <f aca="false">(CO13+CO14)+(CO12-CN12)*'Executive Summary'!$C$12</f>
        <v>6.46666666666667</v>
      </c>
      <c r="CP15" s="61" t="n">
        <f aca="false">(CP13+CP14)+(CP12-CO12)*'Executive Summary'!$C$12</f>
        <v>6.46666666666667</v>
      </c>
      <c r="CQ15" s="61" t="n">
        <f aca="false">(CQ13+CQ14)+(CQ12-CP12)*'Executive Summary'!$C$12</f>
        <v>6.46666666666667</v>
      </c>
      <c r="CR15" s="61" t="n">
        <f aca="false">(CR13+CR14)+(CR12-CQ12)*'Executive Summary'!$C$12</f>
        <v>6.46666666666667</v>
      </c>
      <c r="CS15" s="61" t="n">
        <f aca="false">(CS13+CS14)+(CS12-CR12)*'Executive Summary'!$C$12</f>
        <v>6.46666666666667</v>
      </c>
      <c r="CT15" s="61" t="n">
        <f aca="false">(CT13+CT14)+(CT12-CS12)*'Executive Summary'!$C$12</f>
        <v>6.46666666666667</v>
      </c>
      <c r="CU15" s="61" t="n">
        <f aca="false">(CU13+CU14)+(CU12-CT12)*'Executive Summary'!$C$12</f>
        <v>6.46666666666667</v>
      </c>
      <c r="CV15" s="61" t="n">
        <f aca="false">(CV13+CV14)+(CV12-CU12)*'Executive Summary'!$C$12</f>
        <v>6.46666666666667</v>
      </c>
      <c r="CW15" s="61" t="n">
        <f aca="false">(CW13+CW14)+(CW12-CV12)*'Executive Summary'!$C$12</f>
        <v>6.46666666666667</v>
      </c>
      <c r="CX15" s="61" t="n">
        <f aca="false">(CX13+CX14)+(CX12-CW12)*'Executive Summary'!$C$12</f>
        <v>6.46666666666667</v>
      </c>
      <c r="CY15" s="61" t="n">
        <f aca="false">(CY13+CY14)+(CY12-CX12)*'Executive Summary'!$C$12</f>
        <v>6.46666666666665</v>
      </c>
      <c r="CZ15" s="61" t="n">
        <f aca="false">(CZ13+CZ14)+(CZ12-CY12)*'Executive Summary'!$C$12</f>
        <v>4.38666666666666</v>
      </c>
      <c r="DA15" s="61" t="n">
        <f aca="false">(DA13+DA14)+(DA12-CZ12)*'Executive Summary'!$C$12</f>
        <v>6.46666666666667</v>
      </c>
      <c r="DB15" s="61" t="n">
        <f aca="false">(DB13+DB14)+(DB12-DA12)*'Executive Summary'!$C$12</f>
        <v>6.46666666666667</v>
      </c>
      <c r="DC15" s="61" t="n">
        <f aca="false">(DC13+DC14)+(DC12-DB12)*'Executive Summary'!$C$12</f>
        <v>6.46666666666667</v>
      </c>
      <c r="DD15" s="61" t="n">
        <f aca="false">(DD13+DD14)+(DD12-DC12)*'Executive Summary'!$C$12</f>
        <v>6.46666666666667</v>
      </c>
      <c r="DE15" s="61" t="n">
        <f aca="false">(DE13+DE14)+(DE12-DD12)*'Executive Summary'!$C$12</f>
        <v>6.46666666666667</v>
      </c>
      <c r="DF15" s="61" t="n">
        <f aca="false">(DF13+DF14)+(DF12-DE12)*'Executive Summary'!$C$12</f>
        <v>6.46666666666667</v>
      </c>
      <c r="DG15" s="61" t="n">
        <f aca="false">(DG13+DG14)+(DG12-DF12)*'Executive Summary'!$C$12</f>
        <v>6.46666666666667</v>
      </c>
      <c r="DH15" s="61" t="n">
        <f aca="false">(DH13+DH14)+(DH12-DG12)*'Executive Summary'!$C$12</f>
        <v>6.46666666666667</v>
      </c>
      <c r="DI15" s="61" t="n">
        <f aca="false">(DI13+DI14)+(DI12-DH12)*'Executive Summary'!$C$12</f>
        <v>6.46666666666667</v>
      </c>
      <c r="DJ15" s="61" t="n">
        <f aca="false">(DJ13+DJ14)+(DJ12-DI12)*'Executive Summary'!$C$12</f>
        <v>6.46666666666667</v>
      </c>
      <c r="DK15" s="61" t="n">
        <f aca="false">(DK13+DK14)+(DK12-DJ12)*'Executive Summary'!$C$12</f>
        <v>6.46666666666665</v>
      </c>
      <c r="DL15" s="61" t="n">
        <f aca="false">(DL13+DL14)+(DL12-DK12)*'Executive Summary'!$C$12</f>
        <v>4.38666666666666</v>
      </c>
      <c r="DM15" s="61" t="n">
        <f aca="false">(DM13+DM14)+(DM12-DL12)*'Executive Summary'!$C$12</f>
        <v>6.46666666666667</v>
      </c>
      <c r="DN15" s="61" t="n">
        <f aca="false">(DN13+DN14)+(DN12-DM12)*'Executive Summary'!$C$12</f>
        <v>6.46666666666667</v>
      </c>
      <c r="DO15" s="61" t="n">
        <f aca="false">(DO13+DO14)+(DO12-DN12)*'Executive Summary'!$C$12</f>
        <v>6.46666666666667</v>
      </c>
      <c r="DP15" s="61" t="n">
        <f aca="false">(DP13+DP14)+(DP12-DO12)*'Executive Summary'!$C$12</f>
        <v>6.46666666666667</v>
      </c>
      <c r="DQ15" s="61" t="n">
        <f aca="false">(DQ13+DQ14)+(DQ12-DP12)*'Executive Summary'!$C$12</f>
        <v>6.46666666666667</v>
      </c>
      <c r="DR15" s="61" t="n">
        <f aca="false">(DR13+DR14)+(DR12-DQ12)*'Executive Summary'!$C$12</f>
        <v>6.46666666666667</v>
      </c>
      <c r="DS15" s="61" t="n">
        <f aca="false">(DS13+DS14)+(DS12-DR12)*'Executive Summary'!$C$12</f>
        <v>6.46666666666667</v>
      </c>
      <c r="DT15" s="61" t="n">
        <f aca="false">(DT13+DT14)+(DT12-DS12)*'Executive Summary'!$C$12</f>
        <v>6.46666666666667</v>
      </c>
      <c r="DU15" s="61" t="n">
        <f aca="false">(DU13+DU14)+(DU12-DT12)*'Executive Summary'!$C$12</f>
        <v>6.46666666666667</v>
      </c>
      <c r="DV15" s="61" t="n">
        <f aca="false">(DV13+DV14)+(DV12-DU12)*'Executive Summary'!$C$12</f>
        <v>6.46666666666667</v>
      </c>
      <c r="DW15" s="61" t="n">
        <f aca="false">(DW13+DW14)+(DW12-DV12)*'Executive Summary'!$C$12</f>
        <v>6.46666666666665</v>
      </c>
      <c r="DX15" s="61" t="n">
        <f aca="false">(DX13+DX14)+(DX12-DW12)*'Executive Summary'!$C$12</f>
        <v>4.38666666666666</v>
      </c>
      <c r="DY15" s="61" t="n">
        <f aca="false">(DY13+DY14)+(DY12-DX12)*'Executive Summary'!$C$12</f>
        <v>6.46666666666667</v>
      </c>
      <c r="DZ15" s="61" t="n">
        <f aca="false">(DZ13+DZ14)+(DZ12-DY12)*'Executive Summary'!$C$12</f>
        <v>6.46666666666667</v>
      </c>
      <c r="EA15" s="61" t="n">
        <f aca="false">(EA13+EA14)+(EA12-DZ12)*'Executive Summary'!$C$12</f>
        <v>6.46666666666667</v>
      </c>
      <c r="EB15" s="61" t="n">
        <f aca="false">(EB13+EB14)+(EB12-EA12)*'Executive Summary'!$C$12</f>
        <v>6.46666666666667</v>
      </c>
      <c r="EC15" s="61" t="n">
        <f aca="false">(EC13+EC14)+(EC12-EB12)*'Executive Summary'!$C$12</f>
        <v>6.46666666666667</v>
      </c>
      <c r="ED15" s="61" t="n">
        <f aca="false">(ED13+ED14)+(ED12-EC12)*'Executive Summary'!$C$12</f>
        <v>6.46666666666667</v>
      </c>
      <c r="EE15" s="61" t="n">
        <f aca="false">(EE13+EE14)+(EE12-ED12)*'Executive Summary'!$C$12</f>
        <v>6.46666666666667</v>
      </c>
      <c r="EF15" s="61" t="n">
        <f aca="false">(EF13+EF14)+(EF12-EE12)*'Executive Summary'!$C$12</f>
        <v>6.46666666666667</v>
      </c>
      <c r="EG15" s="61" t="n">
        <f aca="false">(EG13+EG14)+(EG12-EF12)*'Executive Summary'!$C$12</f>
        <v>6.46666666666667</v>
      </c>
      <c r="EH15" s="61" t="n">
        <f aca="false">(EH13+EH14)+(EH12-EG12)*'Executive Summary'!$C$12</f>
        <v>6.46666666666667</v>
      </c>
      <c r="EI15" s="524" t="n">
        <f aca="false">(EI13+EI14)+(EI12-EH12)*'Executive Summary'!$C$12</f>
        <v>6.46666666666665</v>
      </c>
    </row>
    <row r="16" s="522" customFormat="true" ht="12.75" hidden="true" customHeight="true" outlineLevel="0" collapsed="false">
      <c r="B16" s="513" t="s">
        <v>567</v>
      </c>
      <c r="C16" s="421"/>
      <c r="D16" s="512"/>
      <c r="E16" s="472"/>
      <c r="F16" s="421"/>
      <c r="G16" s="525"/>
      <c r="H16" s="61" t="n">
        <f aca="false">H15-H17</f>
        <v>4.38666666666666</v>
      </c>
      <c r="I16" s="61" t="n">
        <f aca="false">I15-I17</f>
        <v>3.46666666666667</v>
      </c>
      <c r="J16" s="61" t="n">
        <f aca="false">J15-J17</f>
        <v>1.46666666666667</v>
      </c>
      <c r="K16" s="61" t="n">
        <f aca="false">K15-K17</f>
        <v>3.46666666666667</v>
      </c>
      <c r="L16" s="61" t="n">
        <f aca="false">L15-L17</f>
        <v>1.46666666666667</v>
      </c>
      <c r="M16" s="61" t="n">
        <f aca="false">M15-M17</f>
        <v>3.46666666666667</v>
      </c>
      <c r="N16" s="61" t="n">
        <f aca="false">N15-N17</f>
        <v>1.46666666666667</v>
      </c>
      <c r="O16" s="61" t="n">
        <f aca="false">O15-O17</f>
        <v>3.46666666666667</v>
      </c>
      <c r="P16" s="61" t="n">
        <f aca="false">P15-P17</f>
        <v>1.46666666666667</v>
      </c>
      <c r="Q16" s="61" t="n">
        <f aca="false">Q15-Q17</f>
        <v>3.46666666666667</v>
      </c>
      <c r="R16" s="61" t="n">
        <f aca="false">R15-R17</f>
        <v>1.46666666666667</v>
      </c>
      <c r="S16" s="61" t="n">
        <f aca="false">S15-S17</f>
        <v>3.46666666666667</v>
      </c>
      <c r="T16" s="61" t="n">
        <f aca="false">T15-T17</f>
        <v>0</v>
      </c>
      <c r="U16" s="61" t="n">
        <f aca="false">U15-U17</f>
        <v>0</v>
      </c>
      <c r="V16" s="61" t="n">
        <f aca="false">V15-V17</f>
        <v>0</v>
      </c>
      <c r="W16" s="61" t="n">
        <f aca="false">W15-W17</f>
        <v>0</v>
      </c>
      <c r="X16" s="61" t="n">
        <f aca="false">X15-X17</f>
        <v>0</v>
      </c>
      <c r="Y16" s="61" t="n">
        <f aca="false">Y15-Y17</f>
        <v>0</v>
      </c>
      <c r="Z16" s="61" t="n">
        <f aca="false">Z15-Z17</f>
        <v>0</v>
      </c>
      <c r="AA16" s="61" t="n">
        <f aca="false">AA15-AA17</f>
        <v>0</v>
      </c>
      <c r="AB16" s="61" t="n">
        <f aca="false">AB15-AB17</f>
        <v>0</v>
      </c>
      <c r="AC16" s="61" t="n">
        <f aca="false">AC15-AC17</f>
        <v>0</v>
      </c>
      <c r="AD16" s="61" t="n">
        <f aca="false">AD15-AD17</f>
        <v>0</v>
      </c>
      <c r="AE16" s="61" t="n">
        <f aca="false">AE15-AE17</f>
        <v>0</v>
      </c>
      <c r="AF16" s="61" t="n">
        <f aca="false">AF15-AF17</f>
        <v>0</v>
      </c>
      <c r="AG16" s="61" t="n">
        <f aca="false">AG15-AG17</f>
        <v>0</v>
      </c>
      <c r="AH16" s="61" t="n">
        <f aca="false">AH15-AH17</f>
        <v>0</v>
      </c>
      <c r="AI16" s="61" t="n">
        <f aca="false">AI15-AI17</f>
        <v>0</v>
      </c>
      <c r="AJ16" s="61" t="n">
        <f aca="false">AJ15-AJ17</f>
        <v>0</v>
      </c>
      <c r="AK16" s="61" t="n">
        <f aca="false">AK15-AK17</f>
        <v>0</v>
      </c>
      <c r="AL16" s="61" t="n">
        <f aca="false">AL15-AL17</f>
        <v>0</v>
      </c>
      <c r="AM16" s="61" t="n">
        <f aca="false">AM15-AM17</f>
        <v>0</v>
      </c>
      <c r="AN16" s="61" t="n">
        <f aca="false">AN15-AN17</f>
        <v>0</v>
      </c>
      <c r="AO16" s="61" t="n">
        <f aca="false">AO15-AO17</f>
        <v>0</v>
      </c>
      <c r="AP16" s="61" t="n">
        <f aca="false">AP15-AP17</f>
        <v>0</v>
      </c>
      <c r="AQ16" s="61" t="n">
        <f aca="false">AQ15-AQ17</f>
        <v>0</v>
      </c>
      <c r="AR16" s="61" t="n">
        <f aca="false">AR15-AR17</f>
        <v>0</v>
      </c>
      <c r="AS16" s="61" t="n">
        <f aca="false">AS15-AS17</f>
        <v>0</v>
      </c>
      <c r="AT16" s="61" t="n">
        <f aca="false">AT15-AT17</f>
        <v>0</v>
      </c>
      <c r="AU16" s="61" t="n">
        <f aca="false">AU15-AU17</f>
        <v>0</v>
      </c>
      <c r="AV16" s="61" t="n">
        <f aca="false">AV15-AV17</f>
        <v>0</v>
      </c>
      <c r="AW16" s="61" t="n">
        <f aca="false">AW15-AW17</f>
        <v>0</v>
      </c>
      <c r="AX16" s="61" t="n">
        <f aca="false">AX15-AX17</f>
        <v>0</v>
      </c>
      <c r="AY16" s="61" t="n">
        <f aca="false">AY15-AY17</f>
        <v>0</v>
      </c>
      <c r="AZ16" s="61" t="n">
        <f aca="false">AZ15-AZ17</f>
        <v>0</v>
      </c>
      <c r="BA16" s="61" t="n">
        <f aca="false">BA15-BA17</f>
        <v>0</v>
      </c>
      <c r="BB16" s="61" t="n">
        <f aca="false">BB15-BB17</f>
        <v>0</v>
      </c>
      <c r="BC16" s="61" t="n">
        <f aca="false">BC15-BC17</f>
        <v>0</v>
      </c>
      <c r="BD16" s="61" t="n">
        <f aca="false">BD15-BD17</f>
        <v>0</v>
      </c>
      <c r="BE16" s="61" t="n">
        <f aca="false">BE15-BE17</f>
        <v>0</v>
      </c>
      <c r="BF16" s="61" t="n">
        <f aca="false">BF15-BF17</f>
        <v>0</v>
      </c>
      <c r="BG16" s="61" t="n">
        <f aca="false">BG15-BG17</f>
        <v>0</v>
      </c>
      <c r="BH16" s="61" t="n">
        <f aca="false">BH15-BH17</f>
        <v>0</v>
      </c>
      <c r="BI16" s="61" t="n">
        <f aca="false">BI15-BI17</f>
        <v>0</v>
      </c>
      <c r="BJ16" s="61" t="n">
        <f aca="false">BJ15-BJ17</f>
        <v>0</v>
      </c>
      <c r="BK16" s="61" t="n">
        <f aca="false">BK15-BK17</f>
        <v>0</v>
      </c>
      <c r="BL16" s="61" t="n">
        <f aca="false">BL15-BL17</f>
        <v>0</v>
      </c>
      <c r="BM16" s="61" t="n">
        <f aca="false">BM15-BM17</f>
        <v>0</v>
      </c>
      <c r="BN16" s="61" t="n">
        <f aca="false">BN15-BN17</f>
        <v>0</v>
      </c>
      <c r="BO16" s="61" t="n">
        <f aca="false">BO15-BO17</f>
        <v>0</v>
      </c>
      <c r="BP16" s="61" t="n">
        <f aca="false">BP15-BP17</f>
        <v>0</v>
      </c>
      <c r="BQ16" s="61" t="n">
        <f aca="false">BQ15-BQ17</f>
        <v>0</v>
      </c>
      <c r="BR16" s="61" t="n">
        <f aca="false">BR15-BR17</f>
        <v>0</v>
      </c>
      <c r="BS16" s="61" t="n">
        <f aca="false">BS15-BS17</f>
        <v>0</v>
      </c>
      <c r="BT16" s="61" t="n">
        <f aca="false">BT15-BT17</f>
        <v>0</v>
      </c>
      <c r="BU16" s="61" t="n">
        <f aca="false">BU15-BU17</f>
        <v>0</v>
      </c>
      <c r="BV16" s="61" t="n">
        <f aca="false">BV15-BV17</f>
        <v>0</v>
      </c>
      <c r="BW16" s="61" t="n">
        <f aca="false">BW15-BW17</f>
        <v>0</v>
      </c>
      <c r="BX16" s="61" t="n">
        <f aca="false">BX15-BX17</f>
        <v>0</v>
      </c>
      <c r="BY16" s="61" t="n">
        <f aca="false">BY15-BY17</f>
        <v>0</v>
      </c>
      <c r="BZ16" s="61" t="n">
        <f aca="false">BZ15-BZ17</f>
        <v>0</v>
      </c>
      <c r="CA16" s="61" t="n">
        <f aca="false">CA15-CA17</f>
        <v>0</v>
      </c>
      <c r="CB16" s="61" t="n">
        <f aca="false">CB15-CB17</f>
        <v>0</v>
      </c>
      <c r="CC16" s="61" t="n">
        <f aca="false">CC15-CC17</f>
        <v>0</v>
      </c>
      <c r="CD16" s="61" t="n">
        <f aca="false">CD15-CD17</f>
        <v>0</v>
      </c>
      <c r="CE16" s="61" t="n">
        <f aca="false">CE15-CE17</f>
        <v>0</v>
      </c>
      <c r="CF16" s="61" t="n">
        <f aca="false">CF15-CF17</f>
        <v>0</v>
      </c>
      <c r="CG16" s="61" t="n">
        <f aca="false">CG15-CG17</f>
        <v>0</v>
      </c>
      <c r="CH16" s="61" t="n">
        <f aca="false">CH15-CH17</f>
        <v>0</v>
      </c>
      <c r="CI16" s="61" t="n">
        <f aca="false">CI15-CI17</f>
        <v>0</v>
      </c>
      <c r="CJ16" s="61" t="n">
        <f aca="false">CJ15-CJ17</f>
        <v>0</v>
      </c>
      <c r="CK16" s="61" t="n">
        <f aca="false">CK15-CK17</f>
        <v>0</v>
      </c>
      <c r="CL16" s="61" t="n">
        <f aca="false">CL15-CL17</f>
        <v>0</v>
      </c>
      <c r="CM16" s="61" t="n">
        <f aca="false">CM15-CM17</f>
        <v>0</v>
      </c>
      <c r="CN16" s="61" t="n">
        <f aca="false">CN15-CN17</f>
        <v>0</v>
      </c>
      <c r="CO16" s="61" t="n">
        <f aca="false">CO15-CO17</f>
        <v>0</v>
      </c>
      <c r="CP16" s="61" t="n">
        <f aca="false">CP15-CP17</f>
        <v>0</v>
      </c>
      <c r="CQ16" s="61" t="n">
        <f aca="false">CQ15-CQ17</f>
        <v>0</v>
      </c>
      <c r="CR16" s="61" t="n">
        <f aca="false">CR15-CR17</f>
        <v>0</v>
      </c>
      <c r="CS16" s="61" t="n">
        <f aca="false">CS15-CS17</f>
        <v>0</v>
      </c>
      <c r="CT16" s="61" t="n">
        <f aca="false">CT15-CT17</f>
        <v>0</v>
      </c>
      <c r="CU16" s="61" t="n">
        <f aca="false">CU15-CU17</f>
        <v>0</v>
      </c>
      <c r="CV16" s="61" t="n">
        <f aca="false">CV15-CV17</f>
        <v>0</v>
      </c>
      <c r="CW16" s="61" t="n">
        <f aca="false">CW15-CW17</f>
        <v>0</v>
      </c>
      <c r="CX16" s="61" t="n">
        <f aca="false">CX15-CX17</f>
        <v>0</v>
      </c>
      <c r="CY16" s="61" t="n">
        <f aca="false">CY15-CY17</f>
        <v>0</v>
      </c>
      <c r="CZ16" s="61" t="n">
        <f aca="false">CZ15-CZ17</f>
        <v>0</v>
      </c>
      <c r="DA16" s="61" t="n">
        <f aca="false">DA15-DA17</f>
        <v>0</v>
      </c>
      <c r="DB16" s="61" t="n">
        <f aca="false">DB15-DB17</f>
        <v>0</v>
      </c>
      <c r="DC16" s="61" t="n">
        <f aca="false">DC15-DC17</f>
        <v>0</v>
      </c>
      <c r="DD16" s="61" t="n">
        <f aca="false">DD15-DD17</f>
        <v>0</v>
      </c>
      <c r="DE16" s="61" t="n">
        <f aca="false">DE15-DE17</f>
        <v>0</v>
      </c>
      <c r="DF16" s="61" t="n">
        <f aca="false">DF15-DF17</f>
        <v>0</v>
      </c>
      <c r="DG16" s="61" t="n">
        <f aca="false">DG15-DG17</f>
        <v>0</v>
      </c>
      <c r="DH16" s="61" t="n">
        <f aca="false">DH15-DH17</f>
        <v>0</v>
      </c>
      <c r="DI16" s="61" t="n">
        <f aca="false">DI15-DI17</f>
        <v>0</v>
      </c>
      <c r="DJ16" s="61" t="n">
        <f aca="false">DJ15-DJ17</f>
        <v>0</v>
      </c>
      <c r="DK16" s="61" t="n">
        <f aca="false">DK15-DK17</f>
        <v>0</v>
      </c>
      <c r="DL16" s="61" t="n">
        <f aca="false">DL15-DL17</f>
        <v>0</v>
      </c>
      <c r="DM16" s="61" t="n">
        <f aca="false">DM15-DM17</f>
        <v>0</v>
      </c>
      <c r="DN16" s="61" t="n">
        <f aca="false">DN15-DN17</f>
        <v>0</v>
      </c>
      <c r="DO16" s="61" t="n">
        <f aca="false">DO15-DO17</f>
        <v>0</v>
      </c>
      <c r="DP16" s="61" t="n">
        <f aca="false">DP15-DP17</f>
        <v>0</v>
      </c>
      <c r="DQ16" s="61" t="n">
        <f aca="false">DQ15-DQ17</f>
        <v>0</v>
      </c>
      <c r="DR16" s="61" t="n">
        <f aca="false">DR15-DR17</f>
        <v>0</v>
      </c>
      <c r="DS16" s="61" t="n">
        <f aca="false">DS15-DS17</f>
        <v>0</v>
      </c>
      <c r="DT16" s="61" t="n">
        <f aca="false">DT15-DT17</f>
        <v>0</v>
      </c>
      <c r="DU16" s="61" t="n">
        <f aca="false">DU15-DU17</f>
        <v>0</v>
      </c>
      <c r="DV16" s="61" t="n">
        <f aca="false">DV15-DV17</f>
        <v>0</v>
      </c>
      <c r="DW16" s="61" t="n">
        <f aca="false">DW15-DW17</f>
        <v>0</v>
      </c>
      <c r="DX16" s="61" t="n">
        <f aca="false">DX15-DX17</f>
        <v>0</v>
      </c>
      <c r="DY16" s="61" t="n">
        <f aca="false">DY15-DY17</f>
        <v>0</v>
      </c>
      <c r="DZ16" s="61" t="n">
        <f aca="false">DZ15-DZ17</f>
        <v>0</v>
      </c>
      <c r="EA16" s="61" t="n">
        <f aca="false">EA15-EA17</f>
        <v>0</v>
      </c>
      <c r="EB16" s="61" t="n">
        <f aca="false">EB15-EB17</f>
        <v>0</v>
      </c>
      <c r="EC16" s="61" t="n">
        <f aca="false">EC15-EC17</f>
        <v>0</v>
      </c>
      <c r="ED16" s="61" t="n">
        <f aca="false">ED15-ED17</f>
        <v>0</v>
      </c>
      <c r="EE16" s="61" t="n">
        <f aca="false">EE15-EE17</f>
        <v>0</v>
      </c>
      <c r="EF16" s="61" t="n">
        <f aca="false">EF15-EF17</f>
        <v>0</v>
      </c>
      <c r="EG16" s="61" t="n">
        <f aca="false">EG15-EG17</f>
        <v>0</v>
      </c>
      <c r="EH16" s="61" t="n">
        <f aca="false">EH15-EH17</f>
        <v>0</v>
      </c>
      <c r="EI16" s="524" t="n">
        <f aca="false">EI15-EI17</f>
        <v>0</v>
      </c>
    </row>
    <row r="17" s="522" customFormat="true" ht="12.75" hidden="true" customHeight="true" outlineLevel="0" collapsed="false">
      <c r="B17" s="513" t="s">
        <v>568</v>
      </c>
      <c r="C17" s="421"/>
      <c r="D17" s="512"/>
      <c r="E17" s="472"/>
      <c r="F17" s="421"/>
      <c r="G17" s="525"/>
      <c r="H17" s="61" t="n">
        <f aca="false">MIN(H15, MIN(H10,'Executive Summary'!$C$12*H12)-G19+H14)</f>
        <v>0</v>
      </c>
      <c r="I17" s="61" t="n">
        <f aca="false">MIN(I15, MIN(I10,'Executive Summary'!$C$12*I12)-H19+I14)</f>
        <v>3</v>
      </c>
      <c r="J17" s="61" t="n">
        <f aca="false">MIN(J15, MIN(J10,'Executive Summary'!$C$12*J12)-I19+J14)</f>
        <v>5</v>
      </c>
      <c r="K17" s="61" t="n">
        <f aca="false">MIN(K15, MIN(K10,'Executive Summary'!$C$12*K12)-J19+K14)</f>
        <v>3</v>
      </c>
      <c r="L17" s="61" t="n">
        <f aca="false">MIN(L15, MIN(L10,'Executive Summary'!$C$12*L12)-K19+L14)</f>
        <v>5</v>
      </c>
      <c r="M17" s="61" t="n">
        <f aca="false">MIN(M15, MIN(M10,'Executive Summary'!$C$12*M12)-L19+M14)</f>
        <v>3</v>
      </c>
      <c r="N17" s="61" t="n">
        <f aca="false">MIN(N15, MIN(N10,'Executive Summary'!$C$12*N12)-M19+N14)</f>
        <v>5</v>
      </c>
      <c r="O17" s="61" t="n">
        <f aca="false">MIN(O15, MIN(O10,'Executive Summary'!$C$12*O12)-N19+O14)</f>
        <v>3</v>
      </c>
      <c r="P17" s="61" t="n">
        <f aca="false">MIN(P15, MIN(P10,'Executive Summary'!$C$12*P12)-O19+P14)</f>
        <v>5</v>
      </c>
      <c r="Q17" s="61" t="n">
        <f aca="false">MIN(Q15, MIN(Q10,'Executive Summary'!$C$12*Q12)-P19+Q14)</f>
        <v>3</v>
      </c>
      <c r="R17" s="61" t="n">
        <f aca="false">MIN(R15, MIN(R10,'Executive Summary'!$C$12*R12)-Q19+R14)</f>
        <v>5</v>
      </c>
      <c r="S17" s="61" t="n">
        <f aca="false">MIN(S15, MIN(S10,'Executive Summary'!$C$12*S12)-R19+S14)</f>
        <v>3</v>
      </c>
      <c r="T17" s="61" t="n">
        <f aca="false">MIN(T15, MIN(T10,'Executive Summary'!$C$12*T12)-S19+T14)</f>
        <v>4.38666666666666</v>
      </c>
      <c r="U17" s="61" t="n">
        <f aca="false">MIN(U15, MIN(U10,'Executive Summary'!$C$12*U12)-T19+U14)</f>
        <v>6.46666666666667</v>
      </c>
      <c r="V17" s="61" t="n">
        <f aca="false">MIN(V15, MIN(V10,'Executive Summary'!$C$12*V12)-U19+V14)</f>
        <v>6.46666666666667</v>
      </c>
      <c r="W17" s="61" t="n">
        <f aca="false">MIN(W15, MIN(W10,'Executive Summary'!$C$12*W12)-V19+W14)</f>
        <v>6.46666666666667</v>
      </c>
      <c r="X17" s="61" t="n">
        <f aca="false">MIN(X15, MIN(X10,'Executive Summary'!$C$12*X12)-W19+X14)</f>
        <v>6.46666666666667</v>
      </c>
      <c r="Y17" s="61" t="n">
        <f aca="false">MIN(Y15, MIN(Y10,'Executive Summary'!$C$12*Y12)-X19+Y14)</f>
        <v>6.46666666666667</v>
      </c>
      <c r="Z17" s="61" t="n">
        <f aca="false">MIN(Z15, MIN(Z10,'Executive Summary'!$C$12*Z12)-Y19+Z14)</f>
        <v>6.46666666666667</v>
      </c>
      <c r="AA17" s="61" t="n">
        <f aca="false">MIN(AA15, MIN(AA10,'Executive Summary'!$C$12*AA12)-Z19+AA14)</f>
        <v>6.46666666666667</v>
      </c>
      <c r="AB17" s="61" t="n">
        <f aca="false">MIN(AB15, MIN(AB10,'Executive Summary'!$C$12*AB12)-AA19+AB14)</f>
        <v>6.46666666666667</v>
      </c>
      <c r="AC17" s="61" t="n">
        <f aca="false">MIN(AC15, MIN(AC10,'Executive Summary'!$C$12*AC12)-AB19+AC14)</f>
        <v>6.46666666666667</v>
      </c>
      <c r="AD17" s="61" t="n">
        <f aca="false">MIN(AD15, MIN(AD10,'Executive Summary'!$C$12*AD12)-AC19+AD14)</f>
        <v>6.46666666666667</v>
      </c>
      <c r="AE17" s="61" t="n">
        <f aca="false">MIN(AE15, MIN(AE10,'Executive Summary'!$C$12*AE12)-AD19+AE14)</f>
        <v>6.46666666666665</v>
      </c>
      <c r="AF17" s="61" t="n">
        <f aca="false">MIN(AF15, MIN(AF10,'Executive Summary'!$C$12*AF12)-AE19+AF14)</f>
        <v>4.38666666666666</v>
      </c>
      <c r="AG17" s="61" t="n">
        <f aca="false">MIN(AG15, MIN(AG10,'Executive Summary'!$C$12*AG12)-AF19+AG14)</f>
        <v>6.46666666666667</v>
      </c>
      <c r="AH17" s="61" t="n">
        <f aca="false">MIN(AH15, MIN(AH10,'Executive Summary'!$C$12*AH12)-AG19+AH14)</f>
        <v>6.46666666666667</v>
      </c>
      <c r="AI17" s="61" t="n">
        <f aca="false">MIN(AI15, MIN(AI10,'Executive Summary'!$C$12*AI12)-AH19+AI14)</f>
        <v>6.46666666666667</v>
      </c>
      <c r="AJ17" s="61" t="n">
        <f aca="false">MIN(AJ15, MIN(AJ10,'Executive Summary'!$C$12*AJ12)-AI19+AJ14)</f>
        <v>6.46666666666667</v>
      </c>
      <c r="AK17" s="61" t="n">
        <f aca="false">MIN(AK15, MIN(AK10,'Executive Summary'!$C$12*AK12)-AJ19+AK14)</f>
        <v>6.46666666666667</v>
      </c>
      <c r="AL17" s="61" t="n">
        <f aca="false">MIN(AL15, MIN(AL10,'Executive Summary'!$C$12*AL12)-AK19+AL14)</f>
        <v>6.46666666666667</v>
      </c>
      <c r="AM17" s="61" t="n">
        <f aca="false">MIN(AM15, MIN(AM10,'Executive Summary'!$C$12*AM12)-AL19+AM14)</f>
        <v>6.46666666666667</v>
      </c>
      <c r="AN17" s="61" t="n">
        <f aca="false">MIN(AN15, MIN(AN10,'Executive Summary'!$C$12*AN12)-AM19+AN14)</f>
        <v>6.46666666666667</v>
      </c>
      <c r="AO17" s="61" t="n">
        <f aca="false">MIN(AO15, MIN(AO10,'Executive Summary'!$C$12*AO12)-AN19+AO14)</f>
        <v>6.46666666666667</v>
      </c>
      <c r="AP17" s="61" t="n">
        <f aca="false">MIN(AP15, MIN(AP10,'Executive Summary'!$C$12*AP12)-AO19+AP14)</f>
        <v>6.46666666666667</v>
      </c>
      <c r="AQ17" s="61" t="n">
        <f aca="false">MIN(AQ15, MIN(AQ10,'Executive Summary'!$C$12*AQ12)-AP19+AQ14)</f>
        <v>6.46666666666665</v>
      </c>
      <c r="AR17" s="61" t="n">
        <f aca="false">MIN(AR15, MIN(AR10,'Executive Summary'!$C$12*AR12)-AQ19+AR14)</f>
        <v>4.38666666666666</v>
      </c>
      <c r="AS17" s="61" t="n">
        <f aca="false">MIN(AS15, MIN(AS10,'Executive Summary'!$C$12*AS12)-AR19+AS14)</f>
        <v>6.46666666666667</v>
      </c>
      <c r="AT17" s="61" t="n">
        <f aca="false">MIN(AT15, MIN(AT10,'Executive Summary'!$C$12*AT12)-AS19+AT14)</f>
        <v>6.46666666666667</v>
      </c>
      <c r="AU17" s="61" t="n">
        <f aca="false">MIN(AU15, MIN(AU10,'Executive Summary'!$C$12*AU12)-AT19+AU14)</f>
        <v>6.46666666666667</v>
      </c>
      <c r="AV17" s="61" t="n">
        <f aca="false">MIN(AV15, MIN(AV10,'Executive Summary'!$C$12*AV12)-AU19+AV14)</f>
        <v>6.46666666666667</v>
      </c>
      <c r="AW17" s="61" t="n">
        <f aca="false">MIN(AW15, MIN(AW10,'Executive Summary'!$C$12*AW12)-AV19+AW14)</f>
        <v>6.46666666666667</v>
      </c>
      <c r="AX17" s="61" t="n">
        <f aca="false">MIN(AX15, MIN(AX10,'Executive Summary'!$C$12*AX12)-AW19+AX14)</f>
        <v>6.46666666666667</v>
      </c>
      <c r="AY17" s="61" t="n">
        <f aca="false">MIN(AY15, MIN(AY10,'Executive Summary'!$C$12*AY12)-AX19+AY14)</f>
        <v>6.46666666666667</v>
      </c>
      <c r="AZ17" s="61" t="n">
        <f aca="false">MIN(AZ15, MIN(AZ10,'Executive Summary'!$C$12*AZ12)-AY19+AZ14)</f>
        <v>6.46666666666667</v>
      </c>
      <c r="BA17" s="61" t="n">
        <f aca="false">MIN(BA15, MIN(BA10,'Executive Summary'!$C$12*BA12)-AZ19+BA14)</f>
        <v>6.46666666666667</v>
      </c>
      <c r="BB17" s="61" t="n">
        <f aca="false">MIN(BB15, MIN(BB10,'Executive Summary'!$C$12*BB12)-BA19+BB14)</f>
        <v>6.46666666666667</v>
      </c>
      <c r="BC17" s="61" t="n">
        <f aca="false">MIN(BC15, MIN(BC10,'Executive Summary'!$C$12*BC12)-BB19+BC14)</f>
        <v>6.46666666666665</v>
      </c>
      <c r="BD17" s="61" t="n">
        <f aca="false">MIN(BD15, MIN(BD10,'Executive Summary'!$C$12*BD12)-BC19+BD14)</f>
        <v>4.38666666666666</v>
      </c>
      <c r="BE17" s="61" t="n">
        <f aca="false">MIN(BE15, MIN(BE10,'Executive Summary'!$C$12*BE12)-BD19+BE14)</f>
        <v>6.46666666666667</v>
      </c>
      <c r="BF17" s="61" t="n">
        <f aca="false">MIN(BF15, MIN(BF10,'Executive Summary'!$C$12*BF12)-BE19+BF14)</f>
        <v>6.46666666666667</v>
      </c>
      <c r="BG17" s="61" t="n">
        <f aca="false">MIN(BG15, MIN(BG10,'Executive Summary'!$C$12*BG12)-BF19+BG14)</f>
        <v>6.46666666666667</v>
      </c>
      <c r="BH17" s="61" t="n">
        <f aca="false">MIN(BH15, MIN(BH10,'Executive Summary'!$C$12*BH12)-BG19+BH14)</f>
        <v>6.46666666666667</v>
      </c>
      <c r="BI17" s="61" t="n">
        <f aca="false">MIN(BI15, MIN(BI10,'Executive Summary'!$C$12*BI12)-BH19+BI14)</f>
        <v>6.46666666666667</v>
      </c>
      <c r="BJ17" s="61" t="n">
        <f aca="false">MIN(BJ15, MIN(BJ10,'Executive Summary'!$C$12*BJ12)-BI19+BJ14)</f>
        <v>6.46666666666667</v>
      </c>
      <c r="BK17" s="61" t="n">
        <f aca="false">MIN(BK15, MIN(BK10,'Executive Summary'!$C$12*BK12)-BJ19+BK14)</f>
        <v>6.46666666666667</v>
      </c>
      <c r="BL17" s="61" t="n">
        <f aca="false">MIN(BL15, MIN(BL10,'Executive Summary'!$C$12*BL12)-BK19+BL14)</f>
        <v>6.46666666666667</v>
      </c>
      <c r="BM17" s="61" t="n">
        <f aca="false">MIN(BM15, MIN(BM10,'Executive Summary'!$C$12*BM12)-BL19+BM14)</f>
        <v>6.46666666666667</v>
      </c>
      <c r="BN17" s="61" t="n">
        <f aca="false">MIN(BN15, MIN(BN10,'Executive Summary'!$C$12*BN12)-BM19+BN14)</f>
        <v>6.46666666666667</v>
      </c>
      <c r="BO17" s="61" t="n">
        <f aca="false">MIN(BO15, MIN(BO10,'Executive Summary'!$C$12*BO12)-BN19+BO14)</f>
        <v>6.46666666666665</v>
      </c>
      <c r="BP17" s="61" t="n">
        <f aca="false">MIN(BP15, MIN(BP10,'Executive Summary'!$C$12*BP12)-BO19+BP14)</f>
        <v>4.38666666666666</v>
      </c>
      <c r="BQ17" s="61" t="n">
        <f aca="false">MIN(BQ15, MIN(BQ10,'Executive Summary'!$C$12*BQ12)-BP19+BQ14)</f>
        <v>6.46666666666667</v>
      </c>
      <c r="BR17" s="61" t="n">
        <f aca="false">MIN(BR15, MIN(BR10,'Executive Summary'!$C$12*BR12)-BQ19+BR14)</f>
        <v>6.46666666666667</v>
      </c>
      <c r="BS17" s="61" t="n">
        <f aca="false">MIN(BS15, MIN(BS10,'Executive Summary'!$C$12*BS12)-BR19+BS14)</f>
        <v>6.46666666666667</v>
      </c>
      <c r="BT17" s="61" t="n">
        <f aca="false">MIN(BT15, MIN(BT10,'Executive Summary'!$C$12*BT12)-BS19+BT14)</f>
        <v>6.46666666666667</v>
      </c>
      <c r="BU17" s="61" t="n">
        <f aca="false">MIN(BU15, MIN(BU10,'Executive Summary'!$C$12*BU12)-BT19+BU14)</f>
        <v>6.46666666666667</v>
      </c>
      <c r="BV17" s="61" t="n">
        <f aca="false">MIN(BV15, MIN(BV10,'Executive Summary'!$C$12*BV12)-BU19+BV14)</f>
        <v>6.46666666666667</v>
      </c>
      <c r="BW17" s="61" t="n">
        <f aca="false">MIN(BW15, MIN(BW10,'Executive Summary'!$C$12*BW12)-BV19+BW14)</f>
        <v>6.46666666666667</v>
      </c>
      <c r="BX17" s="61" t="n">
        <f aca="false">MIN(BX15, MIN(BX10,'Executive Summary'!$C$12*BX12)-BW19+BX14)</f>
        <v>6.46666666666667</v>
      </c>
      <c r="BY17" s="61" t="n">
        <f aca="false">MIN(BY15, MIN(BY10,'Executive Summary'!$C$12*BY12)-BX19+BY14)</f>
        <v>6.46666666666667</v>
      </c>
      <c r="BZ17" s="61" t="n">
        <f aca="false">MIN(BZ15, MIN(BZ10,'Executive Summary'!$C$12*BZ12)-BY19+BZ14)</f>
        <v>6.46666666666667</v>
      </c>
      <c r="CA17" s="61" t="n">
        <f aca="false">MIN(CA15, MIN(CA10,'Executive Summary'!$C$12*CA12)-BZ19+CA14)</f>
        <v>6.46666666666665</v>
      </c>
      <c r="CB17" s="61" t="n">
        <f aca="false">MIN(CB15, MIN(CB10,'Executive Summary'!$C$12*CB12)-CA19+CB14)</f>
        <v>4.38666666666666</v>
      </c>
      <c r="CC17" s="61" t="n">
        <f aca="false">MIN(CC15, MIN(CC10,'Executive Summary'!$C$12*CC12)-CB19+CC14)</f>
        <v>6.46666666666667</v>
      </c>
      <c r="CD17" s="61" t="n">
        <f aca="false">MIN(CD15, MIN(CD10,'Executive Summary'!$C$12*CD12)-CC19+CD14)</f>
        <v>6.46666666666667</v>
      </c>
      <c r="CE17" s="61" t="n">
        <f aca="false">MIN(CE15, MIN(CE10,'Executive Summary'!$C$12*CE12)-CD19+CE14)</f>
        <v>6.46666666666667</v>
      </c>
      <c r="CF17" s="61" t="n">
        <f aca="false">MIN(CF15, MIN(CF10,'Executive Summary'!$C$12*CF12)-CE19+CF14)</f>
        <v>6.46666666666667</v>
      </c>
      <c r="CG17" s="61" t="n">
        <f aca="false">MIN(CG15, MIN(CG10,'Executive Summary'!$C$12*CG12)-CF19+CG14)</f>
        <v>6.46666666666667</v>
      </c>
      <c r="CH17" s="61" t="n">
        <f aca="false">MIN(CH15, MIN(CH10,'Executive Summary'!$C$12*CH12)-CG19+CH14)</f>
        <v>6.46666666666667</v>
      </c>
      <c r="CI17" s="61" t="n">
        <f aca="false">MIN(CI15, MIN(CI10,'Executive Summary'!$C$12*CI12)-CH19+CI14)</f>
        <v>6.46666666666667</v>
      </c>
      <c r="CJ17" s="61" t="n">
        <f aca="false">MIN(CJ15, MIN(CJ10,'Executive Summary'!$C$12*CJ12)-CI19+CJ14)</f>
        <v>6.46666666666667</v>
      </c>
      <c r="CK17" s="61" t="n">
        <f aca="false">MIN(CK15, MIN(CK10,'Executive Summary'!$C$12*CK12)-CJ19+CK14)</f>
        <v>6.46666666666667</v>
      </c>
      <c r="CL17" s="61" t="n">
        <f aca="false">MIN(CL15, MIN(CL10,'Executive Summary'!$C$12*CL12)-CK19+CL14)</f>
        <v>6.46666666666667</v>
      </c>
      <c r="CM17" s="61" t="n">
        <f aca="false">MIN(CM15, MIN(CM10,'Executive Summary'!$C$12*CM12)-CL19+CM14)</f>
        <v>6.46666666666665</v>
      </c>
      <c r="CN17" s="61" t="n">
        <f aca="false">MIN(CN15, MIN(CN10,'Executive Summary'!$C$12*CN12)-CM19+CN14)</f>
        <v>4.38666666666666</v>
      </c>
      <c r="CO17" s="61" t="n">
        <f aca="false">MIN(CO15, MIN(CO10,'Executive Summary'!$C$12*CO12)-CN19+CO14)</f>
        <v>6.46666666666667</v>
      </c>
      <c r="CP17" s="61" t="n">
        <f aca="false">MIN(CP15, MIN(CP10,'Executive Summary'!$C$12*CP12)-CO19+CP14)</f>
        <v>6.46666666666667</v>
      </c>
      <c r="CQ17" s="61" t="n">
        <f aca="false">MIN(CQ15, MIN(CQ10,'Executive Summary'!$C$12*CQ12)-CP19+CQ14)</f>
        <v>6.46666666666667</v>
      </c>
      <c r="CR17" s="61" t="n">
        <f aca="false">MIN(CR15, MIN(CR10,'Executive Summary'!$C$12*CR12)-CQ19+CR14)</f>
        <v>6.46666666666667</v>
      </c>
      <c r="CS17" s="61" t="n">
        <f aca="false">MIN(CS15, MIN(CS10,'Executive Summary'!$C$12*CS12)-CR19+CS14)</f>
        <v>6.46666666666667</v>
      </c>
      <c r="CT17" s="61" t="n">
        <f aca="false">MIN(CT15, MIN(CT10,'Executive Summary'!$C$12*CT12)-CS19+CT14)</f>
        <v>6.46666666666667</v>
      </c>
      <c r="CU17" s="61" t="n">
        <f aca="false">MIN(CU15, MIN(CU10,'Executive Summary'!$C$12*CU12)-CT19+CU14)</f>
        <v>6.46666666666667</v>
      </c>
      <c r="CV17" s="61" t="n">
        <f aca="false">MIN(CV15, MIN(CV10,'Executive Summary'!$C$12*CV12)-CU19+CV14)</f>
        <v>6.46666666666667</v>
      </c>
      <c r="CW17" s="61" t="n">
        <f aca="false">MIN(CW15, MIN(CW10,'Executive Summary'!$C$12*CW12)-CV19+CW14)</f>
        <v>6.46666666666667</v>
      </c>
      <c r="CX17" s="61" t="n">
        <f aca="false">MIN(CX15, MIN(CX10,'Executive Summary'!$C$12*CX12)-CW19+CX14)</f>
        <v>6.46666666666667</v>
      </c>
      <c r="CY17" s="61" t="n">
        <f aca="false">MIN(CY15, MIN(CY10,'Executive Summary'!$C$12*CY12)-CX19+CY14)</f>
        <v>6.46666666666665</v>
      </c>
      <c r="CZ17" s="61" t="n">
        <f aca="false">MIN(CZ15, MIN(CZ10,'Executive Summary'!$C$12*CZ12)-CY19+CZ14)</f>
        <v>4.38666666666666</v>
      </c>
      <c r="DA17" s="61" t="n">
        <f aca="false">MIN(DA15, MIN(DA10,'Executive Summary'!$C$12*DA12)-CZ19+DA14)</f>
        <v>6.46666666666667</v>
      </c>
      <c r="DB17" s="61" t="n">
        <f aca="false">MIN(DB15, MIN(DB10,'Executive Summary'!$C$12*DB12)-DA19+DB14)</f>
        <v>6.46666666666667</v>
      </c>
      <c r="DC17" s="61" t="n">
        <f aca="false">MIN(DC15, MIN(DC10,'Executive Summary'!$C$12*DC12)-DB19+DC14)</f>
        <v>6.46666666666667</v>
      </c>
      <c r="DD17" s="61" t="n">
        <f aca="false">MIN(DD15, MIN(DD10,'Executive Summary'!$C$12*DD12)-DC19+DD14)</f>
        <v>6.46666666666667</v>
      </c>
      <c r="DE17" s="61" t="n">
        <f aca="false">MIN(DE15, MIN(DE10,'Executive Summary'!$C$12*DE12)-DD19+DE14)</f>
        <v>6.46666666666667</v>
      </c>
      <c r="DF17" s="61" t="n">
        <f aca="false">MIN(DF15, MIN(DF10,'Executive Summary'!$C$12*DF12)-DE19+DF14)</f>
        <v>6.46666666666667</v>
      </c>
      <c r="DG17" s="61" t="n">
        <f aca="false">MIN(DG15, MIN(DG10,'Executive Summary'!$C$12*DG12)-DF19+DG14)</f>
        <v>6.46666666666667</v>
      </c>
      <c r="DH17" s="61" t="n">
        <f aca="false">MIN(DH15, MIN(DH10,'Executive Summary'!$C$12*DH12)-DG19+DH14)</f>
        <v>6.46666666666667</v>
      </c>
      <c r="DI17" s="61" t="n">
        <f aca="false">MIN(DI15, MIN(DI10,'Executive Summary'!$C$12*DI12)-DH19+DI14)</f>
        <v>6.46666666666667</v>
      </c>
      <c r="DJ17" s="61" t="n">
        <f aca="false">MIN(DJ15, MIN(DJ10,'Executive Summary'!$C$12*DJ12)-DI19+DJ14)</f>
        <v>6.46666666666667</v>
      </c>
      <c r="DK17" s="61" t="n">
        <f aca="false">MIN(DK15, MIN(DK10,'Executive Summary'!$C$12*DK12)-DJ19+DK14)</f>
        <v>6.46666666666665</v>
      </c>
      <c r="DL17" s="61" t="n">
        <f aca="false">MIN(DL15, MIN(DL10,'Executive Summary'!$C$12*DL12)-DK19+DL14)</f>
        <v>4.38666666666666</v>
      </c>
      <c r="DM17" s="61" t="n">
        <f aca="false">MIN(DM15, MIN(DM10,'Executive Summary'!$C$12*DM12)-DL19+DM14)</f>
        <v>6.46666666666667</v>
      </c>
      <c r="DN17" s="61" t="n">
        <f aca="false">MIN(DN15, MIN(DN10,'Executive Summary'!$C$12*DN12)-DM19+DN14)</f>
        <v>6.46666666666667</v>
      </c>
      <c r="DO17" s="61" t="n">
        <f aca="false">MIN(DO15, MIN(DO10,'Executive Summary'!$C$12*DO12)-DN19+DO14)</f>
        <v>6.46666666666667</v>
      </c>
      <c r="DP17" s="61" t="n">
        <f aca="false">MIN(DP15, MIN(DP10,'Executive Summary'!$C$12*DP12)-DO19+DP14)</f>
        <v>6.46666666666667</v>
      </c>
      <c r="DQ17" s="61" t="n">
        <f aca="false">MIN(DQ15, MIN(DQ10,'Executive Summary'!$C$12*DQ12)-DP19+DQ14)</f>
        <v>6.46666666666667</v>
      </c>
      <c r="DR17" s="61" t="n">
        <f aca="false">MIN(DR15, MIN(DR10,'Executive Summary'!$C$12*DR12)-DQ19+DR14)</f>
        <v>6.46666666666667</v>
      </c>
      <c r="DS17" s="61" t="n">
        <f aca="false">MIN(DS15, MIN(DS10,'Executive Summary'!$C$12*DS12)-DR19+DS14)</f>
        <v>6.46666666666667</v>
      </c>
      <c r="DT17" s="61" t="n">
        <f aca="false">MIN(DT15, MIN(DT10,'Executive Summary'!$C$12*DT12)-DS19+DT14)</f>
        <v>6.46666666666667</v>
      </c>
      <c r="DU17" s="61" t="n">
        <f aca="false">MIN(DU15, MIN(DU10,'Executive Summary'!$C$12*DU12)-DT19+DU14)</f>
        <v>6.46666666666667</v>
      </c>
      <c r="DV17" s="61" t="n">
        <f aca="false">MIN(DV15, MIN(DV10,'Executive Summary'!$C$12*DV12)-DU19+DV14)</f>
        <v>6.46666666666667</v>
      </c>
      <c r="DW17" s="61" t="n">
        <f aca="false">MIN(DW15, MIN(DW10,'Executive Summary'!$C$12*DW12)-DV19+DW14)</f>
        <v>6.46666666666665</v>
      </c>
      <c r="DX17" s="61" t="n">
        <f aca="false">MIN(DX15, MIN(DX10,'Executive Summary'!$C$12*DX12)-DW19+DX14)</f>
        <v>4.38666666666666</v>
      </c>
      <c r="DY17" s="61" t="n">
        <f aca="false">MIN(DY15, MIN(DY10,'Executive Summary'!$C$12*DY12)-DX19+DY14)</f>
        <v>6.46666666666667</v>
      </c>
      <c r="DZ17" s="61" t="n">
        <f aca="false">MIN(DZ15, MIN(DZ10,'Executive Summary'!$C$12*DZ12)-DY19+DZ14)</f>
        <v>6.46666666666667</v>
      </c>
      <c r="EA17" s="61" t="n">
        <f aca="false">MIN(EA15, MIN(EA10,'Executive Summary'!$C$12*EA12)-DZ19+EA14)</f>
        <v>6.46666666666667</v>
      </c>
      <c r="EB17" s="61" t="n">
        <f aca="false">MIN(EB15, MIN(EB10,'Executive Summary'!$C$12*EB12)-EA19+EB14)</f>
        <v>6.46666666666667</v>
      </c>
      <c r="EC17" s="61" t="n">
        <f aca="false">MIN(EC15, MIN(EC10,'Executive Summary'!$C$12*EC12)-EB19+EC14)</f>
        <v>6.46666666666667</v>
      </c>
      <c r="ED17" s="61" t="n">
        <f aca="false">MIN(ED15, MIN(ED10,'Executive Summary'!$C$12*ED12)-EC19+ED14)</f>
        <v>6.46666666666667</v>
      </c>
      <c r="EE17" s="61" t="n">
        <f aca="false">MIN(EE15, MIN(EE10,'Executive Summary'!$C$12*EE12)-ED19+EE14)</f>
        <v>6.46666666666667</v>
      </c>
      <c r="EF17" s="61" t="n">
        <f aca="false">MIN(EF15, MIN(EF10,'Executive Summary'!$C$12*EF12)-EE19+EF14)</f>
        <v>6.46666666666667</v>
      </c>
      <c r="EG17" s="61" t="n">
        <f aca="false">MIN(EG15, MIN(EG10,'Executive Summary'!$C$12*EG12)-EF19+EG14)</f>
        <v>6.46666666666667</v>
      </c>
      <c r="EH17" s="61" t="n">
        <f aca="false">MIN(EH15, MIN(EH10,'Executive Summary'!$C$12*EH12)-EG19+EH14)</f>
        <v>6.46666666666667</v>
      </c>
      <c r="EI17" s="524" t="n">
        <f aca="false">MIN(EI15, MIN(EI10,'Executive Summary'!$C$12*EI12)-EH19+EI14)</f>
        <v>6.46666666666665</v>
      </c>
    </row>
    <row r="18" s="522" customFormat="true" ht="12.75" hidden="true" customHeight="true" outlineLevel="0" collapsed="false">
      <c r="B18" s="513" t="s">
        <v>569</v>
      </c>
      <c r="C18" s="421"/>
      <c r="D18" s="512"/>
      <c r="E18" s="472"/>
      <c r="F18" s="421"/>
      <c r="G18" s="525" t="n">
        <f aca="false">G12*'Executive Summary'!C12-G19</f>
        <v>77.6</v>
      </c>
      <c r="H18" s="61" t="n">
        <f aca="false">G18-H13+H16</f>
        <v>75.52</v>
      </c>
      <c r="I18" s="61" t="n">
        <f aca="false">H18-I13+I16</f>
        <v>72.52</v>
      </c>
      <c r="J18" s="61" t="n">
        <f aca="false">I18-J13+J16</f>
        <v>67.52</v>
      </c>
      <c r="K18" s="61" t="n">
        <f aca="false">J18-K13+K16</f>
        <v>64.52</v>
      </c>
      <c r="L18" s="61" t="n">
        <f aca="false">K18-L13+L16</f>
        <v>59.52</v>
      </c>
      <c r="M18" s="61" t="n">
        <f aca="false">L18-M13+M16</f>
        <v>56.52</v>
      </c>
      <c r="N18" s="61" t="n">
        <f aca="false">M18-N13+N16</f>
        <v>51.52</v>
      </c>
      <c r="O18" s="61" t="n">
        <f aca="false">N18-O13+O16</f>
        <v>48.52</v>
      </c>
      <c r="P18" s="61" t="n">
        <f aca="false">O18-P13+P16</f>
        <v>43.52</v>
      </c>
      <c r="Q18" s="61" t="n">
        <f aca="false">P18-Q13+Q16</f>
        <v>40.52</v>
      </c>
      <c r="R18" s="61" t="n">
        <f aca="false">Q18-R13+R16</f>
        <v>35.52</v>
      </c>
      <c r="S18" s="61" t="n">
        <f aca="false">R18-S13+S16</f>
        <v>32.52</v>
      </c>
      <c r="T18" s="61" t="n">
        <f aca="false">S18-T13+T16</f>
        <v>28.1333333333333</v>
      </c>
      <c r="U18" s="61" t="n">
        <f aca="false">T18-U13+U16</f>
        <v>24.6666666666667</v>
      </c>
      <c r="V18" s="61" t="n">
        <f aca="false">U18-V13+V16</f>
        <v>23.2</v>
      </c>
      <c r="W18" s="61" t="n">
        <f aca="false">V18-W13+W16</f>
        <v>19.7333333333333</v>
      </c>
      <c r="X18" s="61" t="n">
        <f aca="false">W18-X13+X16</f>
        <v>18.2666666666667</v>
      </c>
      <c r="Y18" s="61" t="n">
        <f aca="false">X18-Y13+Y16</f>
        <v>14.8</v>
      </c>
      <c r="Z18" s="61" t="n">
        <f aca="false">Y18-Z13+Z16</f>
        <v>13.3333333333333</v>
      </c>
      <c r="AA18" s="61" t="n">
        <f aca="false">Z18-AA13+AA16</f>
        <v>9.86666666666668</v>
      </c>
      <c r="AB18" s="61" t="n">
        <f aca="false">AA18-AB13+AB16</f>
        <v>8.40000000000001</v>
      </c>
      <c r="AC18" s="61" t="n">
        <f aca="false">AB18-AC13+AC16</f>
        <v>4.93333333333335</v>
      </c>
      <c r="AD18" s="61" t="n">
        <f aca="false">AC18-AD13+AD16</f>
        <v>3.46666666666668</v>
      </c>
      <c r="AE18" s="61" t="n">
        <f aca="false">AD18-AE13+AE16</f>
        <v>1.50990331349021E-014</v>
      </c>
      <c r="AF18" s="61" t="n">
        <f aca="false">AE18-AF13+AF16</f>
        <v>1.50990331349021E-014</v>
      </c>
      <c r="AG18" s="61" t="n">
        <f aca="false">AF18-AG13+AG16</f>
        <v>1.50990331349021E-014</v>
      </c>
      <c r="AH18" s="61" t="n">
        <f aca="false">AG18-AH13+AH16</f>
        <v>1.50990331349021E-014</v>
      </c>
      <c r="AI18" s="61" t="n">
        <f aca="false">AH18-AI13+AI16</f>
        <v>1.50990331349021E-014</v>
      </c>
      <c r="AJ18" s="61" t="n">
        <f aca="false">AI18-AJ13+AJ16</f>
        <v>1.50990331349021E-014</v>
      </c>
      <c r="AK18" s="61" t="n">
        <f aca="false">AJ18-AK13+AK16</f>
        <v>1.50990331349021E-014</v>
      </c>
      <c r="AL18" s="61" t="n">
        <f aca="false">AK18-AL13+AL16</f>
        <v>1.50990331349021E-014</v>
      </c>
      <c r="AM18" s="61" t="n">
        <f aca="false">AL18-AM13+AM16</f>
        <v>1.50990331349021E-014</v>
      </c>
      <c r="AN18" s="61" t="n">
        <f aca="false">AM18-AN13+AN16</f>
        <v>1.50990331349021E-014</v>
      </c>
      <c r="AO18" s="61" t="n">
        <f aca="false">AN18-AO13+AO16</f>
        <v>1.50990331349021E-014</v>
      </c>
      <c r="AP18" s="61" t="n">
        <f aca="false">AO18-AP13+AP16</f>
        <v>1.50990331349021E-014</v>
      </c>
      <c r="AQ18" s="61" t="n">
        <f aca="false">AP18-AQ13+AQ16</f>
        <v>1.50990331349021E-014</v>
      </c>
      <c r="AR18" s="61" t="n">
        <f aca="false">AQ18-AR13+AR16</f>
        <v>1.50990331349021E-014</v>
      </c>
      <c r="AS18" s="61" t="n">
        <f aca="false">AR18-AS13+AS16</f>
        <v>1.50990331349021E-014</v>
      </c>
      <c r="AT18" s="61" t="n">
        <f aca="false">AS18-AT13+AT16</f>
        <v>1.50990331349021E-014</v>
      </c>
      <c r="AU18" s="61" t="n">
        <f aca="false">AT18-AU13+AU16</f>
        <v>1.50990331349021E-014</v>
      </c>
      <c r="AV18" s="61" t="n">
        <f aca="false">AU18-AV13+AV16</f>
        <v>1.50990331349021E-014</v>
      </c>
      <c r="AW18" s="61" t="n">
        <f aca="false">AV18-AW13+AW16</f>
        <v>1.50990331349021E-014</v>
      </c>
      <c r="AX18" s="61" t="n">
        <f aca="false">AW18-AX13+AX16</f>
        <v>1.50990331349021E-014</v>
      </c>
      <c r="AY18" s="61" t="n">
        <f aca="false">AX18-AY13+AY16</f>
        <v>1.50990331349021E-014</v>
      </c>
      <c r="AZ18" s="61" t="n">
        <f aca="false">AY18-AZ13+AZ16</f>
        <v>1.50990331349021E-014</v>
      </c>
      <c r="BA18" s="61" t="n">
        <f aca="false">AZ18-BA13+BA16</f>
        <v>1.50990331349021E-014</v>
      </c>
      <c r="BB18" s="61" t="n">
        <f aca="false">BA18-BB13+BB16</f>
        <v>1.50990331349021E-014</v>
      </c>
      <c r="BC18" s="61" t="n">
        <f aca="false">BB18-BC13+BC16</f>
        <v>1.50990331349021E-014</v>
      </c>
      <c r="BD18" s="61" t="n">
        <f aca="false">BC18-BD13+BD16</f>
        <v>1.50990331349021E-014</v>
      </c>
      <c r="BE18" s="61" t="n">
        <f aca="false">BD18-BE13+BE16</f>
        <v>1.50990331349021E-014</v>
      </c>
      <c r="BF18" s="61" t="n">
        <f aca="false">BE18-BF13+BF16</f>
        <v>1.50990331349021E-014</v>
      </c>
      <c r="BG18" s="61" t="n">
        <f aca="false">BF18-BG13+BG16</f>
        <v>1.50990331349021E-014</v>
      </c>
      <c r="BH18" s="61" t="n">
        <f aca="false">BG18-BH13+BH16</f>
        <v>1.50990331349021E-014</v>
      </c>
      <c r="BI18" s="61" t="n">
        <f aca="false">BH18-BI13+BI16</f>
        <v>1.50990331349021E-014</v>
      </c>
      <c r="BJ18" s="61" t="n">
        <f aca="false">BI18-BJ13+BJ16</f>
        <v>1.50990331349021E-014</v>
      </c>
      <c r="BK18" s="61" t="n">
        <f aca="false">BJ18-BK13+BK16</f>
        <v>1.50990331349021E-014</v>
      </c>
      <c r="BL18" s="61" t="n">
        <f aca="false">BK18-BL13+BL16</f>
        <v>1.50990331349021E-014</v>
      </c>
      <c r="BM18" s="61" t="n">
        <f aca="false">BL18-BM13+BM16</f>
        <v>1.50990331349021E-014</v>
      </c>
      <c r="BN18" s="61" t="n">
        <f aca="false">BM18-BN13+BN16</f>
        <v>1.50990331349021E-014</v>
      </c>
      <c r="BO18" s="61" t="n">
        <f aca="false">BN18-BO13+BO16</f>
        <v>1.50990331349021E-014</v>
      </c>
      <c r="BP18" s="61" t="n">
        <f aca="false">BO18-BP13+BP16</f>
        <v>1.50990331349021E-014</v>
      </c>
      <c r="BQ18" s="61" t="n">
        <f aca="false">BP18-BQ13+BQ16</f>
        <v>1.50990331349021E-014</v>
      </c>
      <c r="BR18" s="61" t="n">
        <f aca="false">BQ18-BR13+BR16</f>
        <v>1.50990331349021E-014</v>
      </c>
      <c r="BS18" s="61" t="n">
        <f aca="false">BR18-BS13+BS16</f>
        <v>1.50990331349021E-014</v>
      </c>
      <c r="BT18" s="61" t="n">
        <f aca="false">BS18-BT13+BT16</f>
        <v>1.50990331349021E-014</v>
      </c>
      <c r="BU18" s="61" t="n">
        <f aca="false">BT18-BU13+BU16</f>
        <v>1.50990331349021E-014</v>
      </c>
      <c r="BV18" s="61" t="n">
        <f aca="false">BU18-BV13+BV16</f>
        <v>1.50990331349021E-014</v>
      </c>
      <c r="BW18" s="61" t="n">
        <f aca="false">BV18-BW13+BW16</f>
        <v>1.50990331349021E-014</v>
      </c>
      <c r="BX18" s="61" t="n">
        <f aca="false">BW18-BX13+BX16</f>
        <v>1.50990331349021E-014</v>
      </c>
      <c r="BY18" s="61" t="n">
        <f aca="false">BX18-BY13+BY16</f>
        <v>1.50990331349021E-014</v>
      </c>
      <c r="BZ18" s="61" t="n">
        <f aca="false">BY18-BZ13+BZ16</f>
        <v>1.50990331349021E-014</v>
      </c>
      <c r="CA18" s="61" t="n">
        <f aca="false">BZ18-CA13+CA16</f>
        <v>1.50990331349021E-014</v>
      </c>
      <c r="CB18" s="61" t="n">
        <f aca="false">CA18-CB13+CB16</f>
        <v>1.50990331349021E-014</v>
      </c>
      <c r="CC18" s="61" t="n">
        <f aca="false">CB18-CC13+CC16</f>
        <v>1.50990331349021E-014</v>
      </c>
      <c r="CD18" s="61" t="n">
        <f aca="false">CC18-CD13+CD16</f>
        <v>1.50990331349021E-014</v>
      </c>
      <c r="CE18" s="61" t="n">
        <f aca="false">CD18-CE13+CE16</f>
        <v>1.50990331349021E-014</v>
      </c>
      <c r="CF18" s="61" t="n">
        <f aca="false">CE18-CF13+CF16</f>
        <v>1.50990331349021E-014</v>
      </c>
      <c r="CG18" s="61" t="n">
        <f aca="false">CF18-CG13+CG16</f>
        <v>1.50990331349021E-014</v>
      </c>
      <c r="CH18" s="61" t="n">
        <f aca="false">CG18-CH13+CH16</f>
        <v>1.50990331349021E-014</v>
      </c>
      <c r="CI18" s="61" t="n">
        <f aca="false">CH18-CI13+CI16</f>
        <v>1.50990331349021E-014</v>
      </c>
      <c r="CJ18" s="61" t="n">
        <f aca="false">CI18-CJ13+CJ16</f>
        <v>1.50990331349021E-014</v>
      </c>
      <c r="CK18" s="61" t="n">
        <f aca="false">CJ18-CK13+CK16</f>
        <v>1.50990331349021E-014</v>
      </c>
      <c r="CL18" s="61" t="n">
        <f aca="false">CK18-CL13+CL16</f>
        <v>1.50990331349021E-014</v>
      </c>
      <c r="CM18" s="61" t="n">
        <f aca="false">CL18-CM13+CM16</f>
        <v>1.50990331349021E-014</v>
      </c>
      <c r="CN18" s="61" t="n">
        <f aca="false">CM18-CN13+CN16</f>
        <v>1.50990331349021E-014</v>
      </c>
      <c r="CO18" s="61" t="n">
        <f aca="false">CN18-CO13+CO16</f>
        <v>1.50990331349021E-014</v>
      </c>
      <c r="CP18" s="61" t="n">
        <f aca="false">CO18-CP13+CP16</f>
        <v>1.50990331349021E-014</v>
      </c>
      <c r="CQ18" s="61" t="n">
        <f aca="false">CP18-CQ13+CQ16</f>
        <v>1.50990331349021E-014</v>
      </c>
      <c r="CR18" s="61" t="n">
        <f aca="false">CQ18-CR13+CR16</f>
        <v>1.50990331349021E-014</v>
      </c>
      <c r="CS18" s="61" t="n">
        <f aca="false">CR18-CS13+CS16</f>
        <v>1.50990331349021E-014</v>
      </c>
      <c r="CT18" s="61" t="n">
        <f aca="false">CS18-CT13+CT16</f>
        <v>1.50990331349021E-014</v>
      </c>
      <c r="CU18" s="61" t="n">
        <f aca="false">CT18-CU13+CU16</f>
        <v>1.50990331349021E-014</v>
      </c>
      <c r="CV18" s="61" t="n">
        <f aca="false">CU18-CV13+CV16</f>
        <v>1.50990331349021E-014</v>
      </c>
      <c r="CW18" s="61" t="n">
        <f aca="false">CV18-CW13+CW16</f>
        <v>1.50990331349021E-014</v>
      </c>
      <c r="CX18" s="61" t="n">
        <f aca="false">CW18-CX13+CX16</f>
        <v>1.50990331349021E-014</v>
      </c>
      <c r="CY18" s="61" t="n">
        <f aca="false">CX18-CY13+CY16</f>
        <v>1.50990331349021E-014</v>
      </c>
      <c r="CZ18" s="61" t="n">
        <f aca="false">CY18-CZ13+CZ16</f>
        <v>1.50990331349021E-014</v>
      </c>
      <c r="DA18" s="61" t="n">
        <f aca="false">CZ18-DA13+DA16</f>
        <v>1.50990331349021E-014</v>
      </c>
      <c r="DB18" s="61" t="n">
        <f aca="false">DA18-DB13+DB16</f>
        <v>1.50990331349021E-014</v>
      </c>
      <c r="DC18" s="61" t="n">
        <f aca="false">DB18-DC13+DC16</f>
        <v>1.50990331349021E-014</v>
      </c>
      <c r="DD18" s="61" t="n">
        <f aca="false">DC18-DD13+DD16</f>
        <v>1.50990331349021E-014</v>
      </c>
      <c r="DE18" s="61" t="n">
        <f aca="false">DD18-DE13+DE16</f>
        <v>1.50990331349021E-014</v>
      </c>
      <c r="DF18" s="61" t="n">
        <f aca="false">DE18-DF13+DF16</f>
        <v>1.50990331349021E-014</v>
      </c>
      <c r="DG18" s="61" t="n">
        <f aca="false">DF18-DG13+DG16</f>
        <v>1.50990331349021E-014</v>
      </c>
      <c r="DH18" s="61" t="n">
        <f aca="false">DG18-DH13+DH16</f>
        <v>1.50990331349021E-014</v>
      </c>
      <c r="DI18" s="61" t="n">
        <f aca="false">DH18-DI13+DI16</f>
        <v>1.50990331349021E-014</v>
      </c>
      <c r="DJ18" s="61" t="n">
        <f aca="false">DI18-DJ13+DJ16</f>
        <v>1.50990331349021E-014</v>
      </c>
      <c r="DK18" s="61" t="n">
        <f aca="false">DJ18-DK13+DK16</f>
        <v>1.50990331349021E-014</v>
      </c>
      <c r="DL18" s="61" t="n">
        <f aca="false">DK18-DL13+DL16</f>
        <v>1.50990331349021E-014</v>
      </c>
      <c r="DM18" s="61" t="n">
        <f aca="false">DL18-DM13+DM16</f>
        <v>1.50990331349021E-014</v>
      </c>
      <c r="DN18" s="61" t="n">
        <f aca="false">DM18-DN13+DN16</f>
        <v>1.50990331349021E-014</v>
      </c>
      <c r="DO18" s="61" t="n">
        <f aca="false">DN18-DO13+DO16</f>
        <v>1.50990331349021E-014</v>
      </c>
      <c r="DP18" s="61" t="n">
        <f aca="false">DO18-DP13+DP16</f>
        <v>1.50990331349021E-014</v>
      </c>
      <c r="DQ18" s="61" t="n">
        <f aca="false">DP18-DQ13+DQ16</f>
        <v>1.50990331349021E-014</v>
      </c>
      <c r="DR18" s="61" t="n">
        <f aca="false">DQ18-DR13+DR16</f>
        <v>1.50990331349021E-014</v>
      </c>
      <c r="DS18" s="61" t="n">
        <f aca="false">DR18-DS13+DS16</f>
        <v>1.50990331349021E-014</v>
      </c>
      <c r="DT18" s="61" t="n">
        <f aca="false">DS18-DT13+DT16</f>
        <v>1.50990331349021E-014</v>
      </c>
      <c r="DU18" s="61" t="n">
        <f aca="false">DT18-DU13+DU16</f>
        <v>1.50990331349021E-014</v>
      </c>
      <c r="DV18" s="61" t="n">
        <f aca="false">DU18-DV13+DV16</f>
        <v>1.50990331349021E-014</v>
      </c>
      <c r="DW18" s="61" t="n">
        <f aca="false">DV18-DW13+DW16</f>
        <v>1.50990331349021E-014</v>
      </c>
      <c r="DX18" s="61" t="n">
        <f aca="false">DW18-DX13+DX16</f>
        <v>1.50990331349021E-014</v>
      </c>
      <c r="DY18" s="61" t="n">
        <f aca="false">DX18-DY13+DY16</f>
        <v>1.50990331349021E-014</v>
      </c>
      <c r="DZ18" s="61" t="n">
        <f aca="false">DY18-DZ13+DZ16</f>
        <v>1.50990331349021E-014</v>
      </c>
      <c r="EA18" s="61" t="n">
        <f aca="false">DZ18-EA13+EA16</f>
        <v>1.50990331349021E-014</v>
      </c>
      <c r="EB18" s="61" t="n">
        <f aca="false">EA18-EB13+EB16</f>
        <v>1.50990331349021E-014</v>
      </c>
      <c r="EC18" s="61" t="n">
        <f aca="false">EB18-EC13+EC16</f>
        <v>1.50990331349021E-014</v>
      </c>
      <c r="ED18" s="61" t="n">
        <f aca="false">EC18-ED13+ED16</f>
        <v>1.50990331349021E-014</v>
      </c>
      <c r="EE18" s="61" t="n">
        <f aca="false">ED18-EE13+EE16</f>
        <v>1.50990331349021E-014</v>
      </c>
      <c r="EF18" s="61" t="n">
        <f aca="false">EE18-EF13+EF16</f>
        <v>1.50990331349021E-014</v>
      </c>
      <c r="EG18" s="61" t="n">
        <f aca="false">EF18-EG13+EG16</f>
        <v>1.50990331349021E-014</v>
      </c>
      <c r="EH18" s="61" t="n">
        <f aca="false">EG18-EH13+EH16</f>
        <v>1.50990331349021E-014</v>
      </c>
      <c r="EI18" s="524" t="n">
        <f aca="false">EH18-EI13+EI16</f>
        <v>1.50990331349021E-014</v>
      </c>
    </row>
    <row r="19" s="522" customFormat="true" ht="10.5" hidden="true" customHeight="true" outlineLevel="0" collapsed="false">
      <c r="B19" s="513" t="s">
        <v>570</v>
      </c>
      <c r="C19" s="421"/>
      <c r="D19" s="512"/>
      <c r="E19" s="472"/>
      <c r="F19" s="421"/>
      <c r="G19" s="525" t="n">
        <f aca="false">G12*G10</f>
        <v>0</v>
      </c>
      <c r="H19" s="61" t="n">
        <f aca="false">G19-H14+H17</f>
        <v>0</v>
      </c>
      <c r="I19" s="61" t="n">
        <f aca="false">H19-I14+I17</f>
        <v>3</v>
      </c>
      <c r="J19" s="61" t="n">
        <f aca="false">I19-J14+J17</f>
        <v>8</v>
      </c>
      <c r="K19" s="61" t="n">
        <f aca="false">J19-K14+K17</f>
        <v>11</v>
      </c>
      <c r="L19" s="61" t="n">
        <f aca="false">K19-L14+L17</f>
        <v>16</v>
      </c>
      <c r="M19" s="61" t="n">
        <f aca="false">L19-M14+M17</f>
        <v>19</v>
      </c>
      <c r="N19" s="61" t="n">
        <f aca="false">M19-N14+N17</f>
        <v>24</v>
      </c>
      <c r="O19" s="61" t="n">
        <f aca="false">N19-O14+O17</f>
        <v>27</v>
      </c>
      <c r="P19" s="61" t="n">
        <f aca="false">O19-P14+P17</f>
        <v>32</v>
      </c>
      <c r="Q19" s="61" t="n">
        <f aca="false">P19-Q14+Q17</f>
        <v>35</v>
      </c>
      <c r="R19" s="61" t="n">
        <f aca="false">Q19-R14+R17</f>
        <v>40</v>
      </c>
      <c r="S19" s="61" t="n">
        <f aca="false">R19-S14+S17</f>
        <v>43</v>
      </c>
      <c r="T19" s="61" t="n">
        <f aca="false">S19-T14+T17</f>
        <v>47.3866666666667</v>
      </c>
      <c r="U19" s="61" t="n">
        <f aca="false">T19-U14+U17</f>
        <v>50.8533333333333</v>
      </c>
      <c r="V19" s="61" t="n">
        <f aca="false">U19-V14+V17</f>
        <v>52.32</v>
      </c>
      <c r="W19" s="61" t="n">
        <f aca="false">V19-W14+W17</f>
        <v>55.7866666666667</v>
      </c>
      <c r="X19" s="61" t="n">
        <f aca="false">W19-X14+X17</f>
        <v>57.2533333333333</v>
      </c>
      <c r="Y19" s="61" t="n">
        <f aca="false">X19-Y14+Y17</f>
        <v>60.72</v>
      </c>
      <c r="Z19" s="61" t="n">
        <f aca="false">Y19-Z14+Z17</f>
        <v>62.1866666666667</v>
      </c>
      <c r="AA19" s="61" t="n">
        <f aca="false">Z19-AA14+AA17</f>
        <v>65.6533333333333</v>
      </c>
      <c r="AB19" s="61" t="n">
        <f aca="false">AA19-AB14+AB17</f>
        <v>67.12</v>
      </c>
      <c r="AC19" s="61" t="n">
        <f aca="false">AB19-AC14+AC17</f>
        <v>70.5866666666667</v>
      </c>
      <c r="AD19" s="61" t="n">
        <f aca="false">AC19-AD14+AD17</f>
        <v>72.0533333333333</v>
      </c>
      <c r="AE19" s="61" t="n">
        <f aca="false">AD19-AE14+AE17</f>
        <v>75.52</v>
      </c>
      <c r="AF19" s="61" t="n">
        <f aca="false">AE19-AF14+AF17</f>
        <v>75.52</v>
      </c>
      <c r="AG19" s="61" t="n">
        <f aca="false">AF19-AG14+AG17</f>
        <v>75.52</v>
      </c>
      <c r="AH19" s="61" t="n">
        <f aca="false">AG19-AH14+AH17</f>
        <v>75.52</v>
      </c>
      <c r="AI19" s="61" t="n">
        <f aca="false">AH19-AI14+AI17</f>
        <v>75.52</v>
      </c>
      <c r="AJ19" s="61" t="n">
        <f aca="false">AI19-AJ14+AJ17</f>
        <v>75.52</v>
      </c>
      <c r="AK19" s="61" t="n">
        <f aca="false">AJ19-AK14+AK17</f>
        <v>75.52</v>
      </c>
      <c r="AL19" s="61" t="n">
        <f aca="false">AK19-AL14+AL17</f>
        <v>75.52</v>
      </c>
      <c r="AM19" s="61" t="n">
        <f aca="false">AL19-AM14+AM17</f>
        <v>75.52</v>
      </c>
      <c r="AN19" s="61" t="n">
        <f aca="false">AM19-AN14+AN17</f>
        <v>75.52</v>
      </c>
      <c r="AO19" s="61" t="n">
        <f aca="false">AN19-AO14+AO17</f>
        <v>75.52</v>
      </c>
      <c r="AP19" s="61" t="n">
        <f aca="false">AO19-AP14+AP17</f>
        <v>75.52</v>
      </c>
      <c r="AQ19" s="61" t="n">
        <f aca="false">AP19-AQ14+AQ17</f>
        <v>75.52</v>
      </c>
      <c r="AR19" s="61" t="n">
        <f aca="false">AQ19-AR14+AR17</f>
        <v>75.52</v>
      </c>
      <c r="AS19" s="61" t="n">
        <f aca="false">AR19-AS14+AS17</f>
        <v>75.52</v>
      </c>
      <c r="AT19" s="61" t="n">
        <f aca="false">AS19-AT14+AT17</f>
        <v>75.52</v>
      </c>
      <c r="AU19" s="61" t="n">
        <f aca="false">AT19-AU14+AU17</f>
        <v>75.52</v>
      </c>
      <c r="AV19" s="61" t="n">
        <f aca="false">AU19-AV14+AV17</f>
        <v>75.52</v>
      </c>
      <c r="AW19" s="61" t="n">
        <f aca="false">AV19-AW14+AW17</f>
        <v>75.52</v>
      </c>
      <c r="AX19" s="61" t="n">
        <f aca="false">AW19-AX14+AX17</f>
        <v>75.52</v>
      </c>
      <c r="AY19" s="61" t="n">
        <f aca="false">AX19-AY14+AY17</f>
        <v>75.52</v>
      </c>
      <c r="AZ19" s="61" t="n">
        <f aca="false">AY19-AZ14+AZ17</f>
        <v>75.52</v>
      </c>
      <c r="BA19" s="61" t="n">
        <f aca="false">AZ19-BA14+BA17</f>
        <v>75.52</v>
      </c>
      <c r="BB19" s="61" t="n">
        <f aca="false">BA19-BB14+BB17</f>
        <v>75.52</v>
      </c>
      <c r="BC19" s="61" t="n">
        <f aca="false">BB19-BC14+BC17</f>
        <v>75.52</v>
      </c>
      <c r="BD19" s="61" t="n">
        <f aca="false">BC19-BD14+BD17</f>
        <v>75.52</v>
      </c>
      <c r="BE19" s="61" t="n">
        <f aca="false">BD19-BE14+BE17</f>
        <v>75.52</v>
      </c>
      <c r="BF19" s="61" t="n">
        <f aca="false">BE19-BF14+BF17</f>
        <v>75.52</v>
      </c>
      <c r="BG19" s="61" t="n">
        <f aca="false">BF19-BG14+BG17</f>
        <v>75.52</v>
      </c>
      <c r="BH19" s="61" t="n">
        <f aca="false">BG19-BH14+BH17</f>
        <v>75.52</v>
      </c>
      <c r="BI19" s="61" t="n">
        <f aca="false">BH19-BI14+BI17</f>
        <v>75.52</v>
      </c>
      <c r="BJ19" s="61" t="n">
        <f aca="false">BI19-BJ14+BJ17</f>
        <v>75.52</v>
      </c>
      <c r="BK19" s="61" t="n">
        <f aca="false">BJ19-BK14+BK17</f>
        <v>75.52</v>
      </c>
      <c r="BL19" s="61" t="n">
        <f aca="false">BK19-BL14+BL17</f>
        <v>75.52</v>
      </c>
      <c r="BM19" s="61" t="n">
        <f aca="false">BL19-BM14+BM17</f>
        <v>75.52</v>
      </c>
      <c r="BN19" s="61" t="n">
        <f aca="false">BM19-BN14+BN17</f>
        <v>75.52</v>
      </c>
      <c r="BO19" s="61" t="n">
        <f aca="false">BN19-BO14+BO17</f>
        <v>75.52</v>
      </c>
      <c r="BP19" s="61" t="n">
        <f aca="false">BO19-BP14+BP17</f>
        <v>75.52</v>
      </c>
      <c r="BQ19" s="61" t="n">
        <f aca="false">BP19-BQ14+BQ17</f>
        <v>75.52</v>
      </c>
      <c r="BR19" s="61" t="n">
        <f aca="false">BQ19-BR14+BR17</f>
        <v>75.52</v>
      </c>
      <c r="BS19" s="61" t="n">
        <f aca="false">BR19-BS14+BS17</f>
        <v>75.52</v>
      </c>
      <c r="BT19" s="61" t="n">
        <f aca="false">BS19-BT14+BT17</f>
        <v>75.52</v>
      </c>
      <c r="BU19" s="61" t="n">
        <f aca="false">BT19-BU14+BU17</f>
        <v>75.52</v>
      </c>
      <c r="BV19" s="61" t="n">
        <f aca="false">BU19-BV14+BV17</f>
        <v>75.52</v>
      </c>
      <c r="BW19" s="61" t="n">
        <f aca="false">BV19-BW14+BW17</f>
        <v>75.52</v>
      </c>
      <c r="BX19" s="61" t="n">
        <f aca="false">BW19-BX14+BX17</f>
        <v>75.52</v>
      </c>
      <c r="BY19" s="61" t="n">
        <f aca="false">BX19-BY14+BY17</f>
        <v>75.52</v>
      </c>
      <c r="BZ19" s="61" t="n">
        <f aca="false">BY19-BZ14+BZ17</f>
        <v>75.52</v>
      </c>
      <c r="CA19" s="61" t="n">
        <f aca="false">BZ19-CA14+CA17</f>
        <v>75.52</v>
      </c>
      <c r="CB19" s="61" t="n">
        <f aca="false">CA19-CB14+CB17</f>
        <v>75.52</v>
      </c>
      <c r="CC19" s="61" t="n">
        <f aca="false">CB19-CC14+CC17</f>
        <v>75.52</v>
      </c>
      <c r="CD19" s="61" t="n">
        <f aca="false">CC19-CD14+CD17</f>
        <v>75.52</v>
      </c>
      <c r="CE19" s="61" t="n">
        <f aca="false">CD19-CE14+CE17</f>
        <v>75.52</v>
      </c>
      <c r="CF19" s="61" t="n">
        <f aca="false">CE19-CF14+CF17</f>
        <v>75.52</v>
      </c>
      <c r="CG19" s="61" t="n">
        <f aca="false">CF19-CG14+CG17</f>
        <v>75.52</v>
      </c>
      <c r="CH19" s="61" t="n">
        <f aca="false">CG19-CH14+CH17</f>
        <v>75.52</v>
      </c>
      <c r="CI19" s="61" t="n">
        <f aca="false">CH19-CI14+CI17</f>
        <v>75.52</v>
      </c>
      <c r="CJ19" s="61" t="n">
        <f aca="false">CI19-CJ14+CJ17</f>
        <v>75.52</v>
      </c>
      <c r="CK19" s="61" t="n">
        <f aca="false">CJ19-CK14+CK17</f>
        <v>75.52</v>
      </c>
      <c r="CL19" s="61" t="n">
        <f aca="false">CK19-CL14+CL17</f>
        <v>75.52</v>
      </c>
      <c r="CM19" s="61" t="n">
        <f aca="false">CL19-CM14+CM17</f>
        <v>75.52</v>
      </c>
      <c r="CN19" s="61" t="n">
        <f aca="false">CM19-CN14+CN17</f>
        <v>75.52</v>
      </c>
      <c r="CO19" s="61" t="n">
        <f aca="false">CN19-CO14+CO17</f>
        <v>75.52</v>
      </c>
      <c r="CP19" s="61" t="n">
        <f aca="false">CO19-CP14+CP17</f>
        <v>75.52</v>
      </c>
      <c r="CQ19" s="61" t="n">
        <f aca="false">CP19-CQ14+CQ17</f>
        <v>75.52</v>
      </c>
      <c r="CR19" s="61" t="n">
        <f aca="false">CQ19-CR14+CR17</f>
        <v>75.52</v>
      </c>
      <c r="CS19" s="61" t="n">
        <f aca="false">CR19-CS14+CS17</f>
        <v>75.52</v>
      </c>
      <c r="CT19" s="61" t="n">
        <f aca="false">CS19-CT14+CT17</f>
        <v>75.52</v>
      </c>
      <c r="CU19" s="61" t="n">
        <f aca="false">CT19-CU14+CU17</f>
        <v>75.52</v>
      </c>
      <c r="CV19" s="61" t="n">
        <f aca="false">CU19-CV14+CV17</f>
        <v>75.52</v>
      </c>
      <c r="CW19" s="61" t="n">
        <f aca="false">CV19-CW14+CW17</f>
        <v>75.52</v>
      </c>
      <c r="CX19" s="61" t="n">
        <f aca="false">CW19-CX14+CX17</f>
        <v>75.52</v>
      </c>
      <c r="CY19" s="61" t="n">
        <f aca="false">CX19-CY14+CY17</f>
        <v>75.52</v>
      </c>
      <c r="CZ19" s="61" t="n">
        <f aca="false">CY19-CZ14+CZ17</f>
        <v>75.52</v>
      </c>
      <c r="DA19" s="61" t="n">
        <f aca="false">CZ19-DA14+DA17</f>
        <v>75.52</v>
      </c>
      <c r="DB19" s="61" t="n">
        <f aca="false">DA19-DB14+DB17</f>
        <v>75.52</v>
      </c>
      <c r="DC19" s="61" t="n">
        <f aca="false">DB19-DC14+DC17</f>
        <v>75.52</v>
      </c>
      <c r="DD19" s="61" t="n">
        <f aca="false">DC19-DD14+DD17</f>
        <v>75.52</v>
      </c>
      <c r="DE19" s="61" t="n">
        <f aca="false">DD19-DE14+DE17</f>
        <v>75.52</v>
      </c>
      <c r="DF19" s="61" t="n">
        <f aca="false">DE19-DF14+DF17</f>
        <v>75.52</v>
      </c>
      <c r="DG19" s="61" t="n">
        <f aca="false">DF19-DG14+DG17</f>
        <v>75.52</v>
      </c>
      <c r="DH19" s="61" t="n">
        <f aca="false">DG19-DH14+DH17</f>
        <v>75.52</v>
      </c>
      <c r="DI19" s="61" t="n">
        <f aca="false">DH19-DI14+DI17</f>
        <v>75.52</v>
      </c>
      <c r="DJ19" s="61" t="n">
        <f aca="false">DI19-DJ14+DJ17</f>
        <v>75.52</v>
      </c>
      <c r="DK19" s="61" t="n">
        <f aca="false">DJ19-DK14+DK17</f>
        <v>75.52</v>
      </c>
      <c r="DL19" s="61" t="n">
        <f aca="false">DK19-DL14+DL17</f>
        <v>75.52</v>
      </c>
      <c r="DM19" s="61" t="n">
        <f aca="false">DL19-DM14+DM17</f>
        <v>75.52</v>
      </c>
      <c r="DN19" s="61" t="n">
        <f aca="false">DM19-DN14+DN17</f>
        <v>75.52</v>
      </c>
      <c r="DO19" s="61" t="n">
        <f aca="false">DN19-DO14+DO17</f>
        <v>75.52</v>
      </c>
      <c r="DP19" s="61" t="n">
        <f aca="false">DO19-DP14+DP17</f>
        <v>75.52</v>
      </c>
      <c r="DQ19" s="61" t="n">
        <f aca="false">DP19-DQ14+DQ17</f>
        <v>75.52</v>
      </c>
      <c r="DR19" s="61" t="n">
        <f aca="false">DQ19-DR14+DR17</f>
        <v>75.52</v>
      </c>
      <c r="DS19" s="61" t="n">
        <f aca="false">DR19-DS14+DS17</f>
        <v>75.52</v>
      </c>
      <c r="DT19" s="61" t="n">
        <f aca="false">DS19-DT14+DT17</f>
        <v>75.52</v>
      </c>
      <c r="DU19" s="61" t="n">
        <f aca="false">DT19-DU14+DU17</f>
        <v>75.52</v>
      </c>
      <c r="DV19" s="61" t="n">
        <f aca="false">DU19-DV14+DV17</f>
        <v>75.52</v>
      </c>
      <c r="DW19" s="61" t="n">
        <f aca="false">DV19-DW14+DW17</f>
        <v>75.52</v>
      </c>
      <c r="DX19" s="61" t="n">
        <f aca="false">DW19-DX14+DX17</f>
        <v>75.52</v>
      </c>
      <c r="DY19" s="61" t="n">
        <f aca="false">DX19-DY14+DY17</f>
        <v>75.52</v>
      </c>
      <c r="DZ19" s="61" t="n">
        <f aca="false">DY19-DZ14+DZ17</f>
        <v>75.52</v>
      </c>
      <c r="EA19" s="61" t="n">
        <f aca="false">DZ19-EA14+EA17</f>
        <v>75.52</v>
      </c>
      <c r="EB19" s="61" t="n">
        <f aca="false">EA19-EB14+EB17</f>
        <v>75.52</v>
      </c>
      <c r="EC19" s="61" t="n">
        <f aca="false">EB19-EC14+EC17</f>
        <v>75.52</v>
      </c>
      <c r="ED19" s="61" t="n">
        <f aca="false">EC19-ED14+ED17</f>
        <v>75.52</v>
      </c>
      <c r="EE19" s="61" t="n">
        <f aca="false">ED19-EE14+EE17</f>
        <v>75.52</v>
      </c>
      <c r="EF19" s="61" t="n">
        <f aca="false">EE19-EF14+EF17</f>
        <v>75.52</v>
      </c>
      <c r="EG19" s="61" t="n">
        <f aca="false">EF19-EG14+EG17</f>
        <v>75.52</v>
      </c>
      <c r="EH19" s="61" t="n">
        <f aca="false">EG19-EH14+EH17</f>
        <v>75.52</v>
      </c>
      <c r="EI19" s="524" t="n">
        <f aca="false">EH19-EI14+EI17</f>
        <v>75.52</v>
      </c>
    </row>
    <row r="20" s="535" customFormat="true" ht="12.75" hidden="true" customHeight="true" outlineLevel="0" collapsed="false">
      <c r="B20" s="536" t="s">
        <v>571</v>
      </c>
      <c r="C20" s="253"/>
      <c r="D20" s="537"/>
      <c r="E20" s="51"/>
      <c r="F20" s="101"/>
      <c r="G20" s="536"/>
      <c r="H20" s="253" t="n">
        <f aca="false">((H16*('Unit Mix &amp; Comparables'!$Q$55-'Unit Mix &amp; Comparables'!$N$55)+(H17*'Unit Mix &amp; Comparables'!$Q$55))/MAX(1,1+'Unit Mix &amp; Comparables'!$D$51-('Unit Mix &amp; Comparables'!$D$51*H4/'Renovation Plan'!$D$19)))*H7</f>
        <v>3411.29653622007</v>
      </c>
      <c r="I20" s="253" t="n">
        <f aca="false">((I16*('Unit Mix &amp; Comparables'!$Q$55-'Unit Mix &amp; Comparables'!$N$55)+(I17*'Unit Mix &amp; Comparables'!$Q$55))/MAX(1,1+'Unit Mix &amp; Comparables'!$D$51-('Unit Mix &amp; Comparables'!$D$51*I4/'Renovation Plan'!$D$19)))*I7</f>
        <v>5181.73306579206</v>
      </c>
      <c r="J20" s="253" t="n">
        <f aca="false">((J16*('Unit Mix &amp; Comparables'!$Q$55-'Unit Mix &amp; Comparables'!$N$55)+(J17*'Unit Mix &amp; Comparables'!$Q$55))/MAX(1,1+'Unit Mix &amp; Comparables'!$D$51-('Unit Mix &amp; Comparables'!$D$51*J4/'Renovation Plan'!$D$19)))*J7</f>
        <v>5284.73902723829</v>
      </c>
      <c r="K20" s="253" t="n">
        <f aca="false">((K16*('Unit Mix &amp; Comparables'!$Q$55-'Unit Mix &amp; Comparables'!$N$55)+(K17*'Unit Mix &amp; Comparables'!$Q$55))/MAX(1,1+'Unit Mix &amp; Comparables'!$D$51-('Unit Mix &amp; Comparables'!$D$51*K4/'Renovation Plan'!$D$19)))*K7</f>
        <v>5187.41736034929</v>
      </c>
      <c r="L20" s="253" t="n">
        <f aca="false">((L16*('Unit Mix &amp; Comparables'!$Q$55-'Unit Mix &amp; Comparables'!$N$55)+(L17*'Unit Mix &amp; Comparables'!$Q$55))/MAX(1,1+'Unit Mix &amp; Comparables'!$D$51-('Unit Mix &amp; Comparables'!$D$51*L4/'Renovation Plan'!$D$19)))*L7</f>
        <v>5290.536318011</v>
      </c>
      <c r="M20" s="253" t="n">
        <f aca="false">((M16*('Unit Mix &amp; Comparables'!$Q$55-'Unit Mix &amp; Comparables'!$N$55)+(M17*'Unit Mix &amp; Comparables'!$Q$55))/MAX(1,1+'Unit Mix &amp; Comparables'!$D$51-('Unit Mix &amp; Comparables'!$D$51*M4/'Renovation Plan'!$D$19)))*M7</f>
        <v>5193.10789050458</v>
      </c>
      <c r="N20" s="253" t="n">
        <f aca="false">((N16*('Unit Mix &amp; Comparables'!$Q$55-'Unit Mix &amp; Comparables'!$N$55)+(N17*'Unit Mix &amp; Comparables'!$Q$55))/MAX(1,1+'Unit Mix &amp; Comparables'!$D$51-('Unit Mix &amp; Comparables'!$D$51*N4/'Renovation Plan'!$D$19)))*N7</f>
        <v>5296.33996833715</v>
      </c>
      <c r="O20" s="253" t="n">
        <f aca="false">((O16*('Unit Mix &amp; Comparables'!$Q$55-'Unit Mix &amp; Comparables'!$N$55)+(O17*'Unit Mix &amp; Comparables'!$Q$55))/MAX(1,1+'Unit Mix &amp; Comparables'!$D$51-('Unit Mix &amp; Comparables'!$D$51*O4/'Renovation Plan'!$D$19)))*O7</f>
        <v>5198.80466309829</v>
      </c>
      <c r="P20" s="253" t="n">
        <f aca="false">((P16*('Unit Mix &amp; Comparables'!$Q$55-'Unit Mix &amp; Comparables'!$N$55)+(P17*'Unit Mix &amp; Comparables'!$Q$55))/MAX(1,1+'Unit Mix &amp; Comparables'!$D$51-('Unit Mix &amp; Comparables'!$D$51*P4/'Renovation Plan'!$D$19)))*P7</f>
        <v>5302.1499851931</v>
      </c>
      <c r="Q20" s="253" t="n">
        <f aca="false">((Q16*('Unit Mix &amp; Comparables'!$Q$55-'Unit Mix &amp; Comparables'!$N$55)+(Q17*'Unit Mix &amp; Comparables'!$Q$55))/MAX(1,1+'Unit Mix &amp; Comparables'!$D$51-('Unit Mix &amp; Comparables'!$D$51*Q4/'Renovation Plan'!$D$19)))*Q7</f>
        <v>5204.5076849783</v>
      </c>
      <c r="R20" s="253" t="n">
        <f aca="false">((R16*('Unit Mix &amp; Comparables'!$Q$55-'Unit Mix &amp; Comparables'!$N$55)+(R17*'Unit Mix &amp; Comparables'!$Q$55))/MAX(1,1+'Unit Mix &amp; Comparables'!$D$51-('Unit Mix &amp; Comparables'!$D$51*R4/'Renovation Plan'!$D$19)))*R7</f>
        <v>5307.96637556285</v>
      </c>
      <c r="S20" s="253" t="n">
        <f aca="false">((S16*('Unit Mix &amp; Comparables'!$Q$55-'Unit Mix &amp; Comparables'!$N$55)+(S17*'Unit Mix &amp; Comparables'!$Q$55))/MAX(1,1+'Unit Mix &amp; Comparables'!$D$51-('Unit Mix &amp; Comparables'!$D$51*S4/'Renovation Plan'!$D$19)))*S7</f>
        <v>5210.21696299999</v>
      </c>
      <c r="T20" s="253" t="n">
        <f aca="false">((T16*('Unit Mix &amp; Comparables'!$Q$55-'Unit Mix &amp; Comparables'!$N$55)+(T17*'Unit Mix &amp; Comparables'!$Q$55))/MAX(1,1+'Unit Mix &amp; Comparables'!$D$51-('Unit Mix &amp; Comparables'!$D$51*T4/'Renovation Plan'!$D$19)))*T7</f>
        <v>3662.48809489373</v>
      </c>
      <c r="U20" s="253" t="n">
        <f aca="false">((U16*('Unit Mix &amp; Comparables'!$Q$55-'Unit Mix &amp; Comparables'!$N$55)+(U17*'Unit Mix &amp; Comparables'!$Q$55))/MAX(1,1+'Unit Mix &amp; Comparables'!$D$51-('Unit Mix &amp; Comparables'!$D$51*U4/'Renovation Plan'!$D$19)))*U7</f>
        <v>5413.56146877665</v>
      </c>
      <c r="V20" s="253" t="n">
        <f aca="false">((V16*('Unit Mix &amp; Comparables'!$Q$55-'Unit Mix &amp; Comparables'!$N$55)+(V17*'Unit Mix &amp; Comparables'!$Q$55))/MAX(1,1+'Unit Mix &amp; Comparables'!$D$51-('Unit Mix &amp; Comparables'!$D$51*V4/'Renovation Plan'!$D$19)))*V7</f>
        <v>5428.0530367423</v>
      </c>
      <c r="W20" s="253" t="n">
        <f aca="false">((W16*('Unit Mix &amp; Comparables'!$Q$55-'Unit Mix &amp; Comparables'!$N$55)+(W17*'Unit Mix &amp; Comparables'!$Q$55))/MAX(1,1+'Unit Mix &amp; Comparables'!$D$51-('Unit Mix &amp; Comparables'!$D$51*W4/'Renovation Plan'!$D$19)))*W7</f>
        <v>5442.58339720035</v>
      </c>
      <c r="X20" s="253" t="n">
        <f aca="false">((X16*('Unit Mix &amp; Comparables'!$Q$55-'Unit Mix &amp; Comparables'!$N$55)+(X17*'Unit Mix &amp; Comparables'!$Q$55))/MAX(1,1+'Unit Mix &amp; Comparables'!$D$51-('Unit Mix &amp; Comparables'!$D$51*X4/'Renovation Plan'!$D$19)))*X7</f>
        <v>5457.15265399446</v>
      </c>
      <c r="Y20" s="253" t="n">
        <f aca="false">((Y16*('Unit Mix &amp; Comparables'!$Q$55-'Unit Mix &amp; Comparables'!$N$55)+(Y17*'Unit Mix &amp; Comparables'!$Q$55))/MAX(1,1+'Unit Mix &amp; Comparables'!$D$51-('Unit Mix &amp; Comparables'!$D$51*Y4/'Renovation Plan'!$D$19)))*Y7</f>
        <v>5471.76091124625</v>
      </c>
      <c r="Z20" s="253" t="n">
        <f aca="false">((Z16*('Unit Mix &amp; Comparables'!$Q$55-'Unit Mix &amp; Comparables'!$N$55)+(Z17*'Unit Mix &amp; Comparables'!$Q$55))/MAX(1,1+'Unit Mix &amp; Comparables'!$D$51-('Unit Mix &amp; Comparables'!$D$51*Z4/'Renovation Plan'!$D$19)))*Z7</f>
        <v>5486.40827335611</v>
      </c>
      <c r="AA20" s="253" t="n">
        <f aca="false">((AA16*('Unit Mix &amp; Comparables'!$Q$55-'Unit Mix &amp; Comparables'!$N$55)+(AA17*'Unit Mix &amp; Comparables'!$Q$55))/MAX(1,1+'Unit Mix &amp; Comparables'!$D$51-('Unit Mix &amp; Comparables'!$D$51*AA4/'Renovation Plan'!$D$19)))*AA7</f>
        <v>5501.09484500386</v>
      </c>
      <c r="AB20" s="253" t="n">
        <f aca="false">((AB16*('Unit Mix &amp; Comparables'!$Q$55-'Unit Mix &amp; Comparables'!$N$55)+(AB17*'Unit Mix &amp; Comparables'!$Q$55))/MAX(1,1+'Unit Mix &amp; Comparables'!$D$51-('Unit Mix &amp; Comparables'!$D$51*AB4/'Renovation Plan'!$D$19)))*AB7</f>
        <v>5515.82073114954</v>
      </c>
      <c r="AC20" s="253" t="n">
        <f aca="false">((AC16*('Unit Mix &amp; Comparables'!$Q$55-'Unit Mix &amp; Comparables'!$N$55)+(AC17*'Unit Mix &amp; Comparables'!$Q$55))/MAX(1,1+'Unit Mix &amp; Comparables'!$D$51-('Unit Mix &amp; Comparables'!$D$51*AC4/'Renovation Plan'!$D$19)))*AC7</f>
        <v>5530.58603703419</v>
      </c>
      <c r="AD20" s="253" t="n">
        <f aca="false">((AD16*('Unit Mix &amp; Comparables'!$Q$55-'Unit Mix &amp; Comparables'!$N$55)+(AD17*'Unit Mix &amp; Comparables'!$Q$55))/MAX(1,1+'Unit Mix &amp; Comparables'!$D$51-('Unit Mix &amp; Comparables'!$D$51*AD4/'Renovation Plan'!$D$19)))*AD7</f>
        <v>5545.39086818053</v>
      </c>
      <c r="AE20" s="253" t="n">
        <f aca="false">((AE16*('Unit Mix &amp; Comparables'!$Q$55-'Unit Mix &amp; Comparables'!$N$55)+(AE17*'Unit Mix &amp; Comparables'!$Q$55))/MAX(1,1+'Unit Mix &amp; Comparables'!$D$51-('Unit Mix &amp; Comparables'!$D$51*AE4/'Renovation Plan'!$D$19)))*AE7</f>
        <v>5560.23533039377</v>
      </c>
      <c r="AF20" s="253" t="n">
        <f aca="false">((AF16*('Unit Mix &amp; Comparables'!$Q$55-'Unit Mix &amp; Comparables'!$N$55)+(AF17*'Unit Mix &amp; Comparables'!$Q$55))/MAX(1,1+'Unit Mix &amp; Comparables'!$D$51-('Unit Mix &amp; Comparables'!$D$51*AF4/'Renovation Plan'!$D$19)))*AF7</f>
        <v>3781.09075044448</v>
      </c>
      <c r="AG20" s="253" t="n">
        <f aca="false">((AG16*('Unit Mix &amp; Comparables'!$Q$55-'Unit Mix &amp; Comparables'!$N$55)+(AG17*'Unit Mix &amp; Comparables'!$Q$55))/MAX(1,1+'Unit Mix &amp; Comparables'!$D$51-('Unit Mix &amp; Comparables'!$D$51*AG4/'Renovation Plan'!$D$19)))*AG7</f>
        <v>5587.69523109511</v>
      </c>
      <c r="AH20" s="253" t="n">
        <f aca="false">((AH16*('Unit Mix &amp; Comparables'!$Q$55-'Unit Mix &amp; Comparables'!$N$55)+(AH17*'Unit Mix &amp; Comparables'!$Q$55))/MAX(1,1+'Unit Mix &amp; Comparables'!$D$51-('Unit Mix &amp; Comparables'!$D$51*AH4/'Renovation Plan'!$D$19)))*AH7</f>
        <v>5601.4759949404</v>
      </c>
      <c r="AI20" s="253" t="n">
        <f aca="false">((AI16*('Unit Mix &amp; Comparables'!$Q$55-'Unit Mix &amp; Comparables'!$N$55)+(AI17*'Unit Mix &amp; Comparables'!$Q$55))/MAX(1,1+'Unit Mix &amp; Comparables'!$D$51-('Unit Mix &amp; Comparables'!$D$51*AI4/'Renovation Plan'!$D$19)))*AI7</f>
        <v>5615.29074586701</v>
      </c>
      <c r="AJ20" s="253" t="n">
        <f aca="false">((AJ16*('Unit Mix &amp; Comparables'!$Q$55-'Unit Mix &amp; Comparables'!$N$55)+(AJ17*'Unit Mix &amp; Comparables'!$Q$55))/MAX(1,1+'Unit Mix &amp; Comparables'!$D$51-('Unit Mix &amp; Comparables'!$D$51*AJ4/'Renovation Plan'!$D$19)))*AJ7</f>
        <v>5629.13956769624</v>
      </c>
      <c r="AK20" s="253" t="n">
        <f aca="false">((AK16*('Unit Mix &amp; Comparables'!$Q$55-'Unit Mix &amp; Comparables'!$N$55)+(AK17*'Unit Mix &amp; Comparables'!$Q$55))/MAX(1,1+'Unit Mix &amp; Comparables'!$D$51-('Unit Mix &amp; Comparables'!$D$51*AK4/'Renovation Plan'!$D$19)))*AK7</f>
        <v>5643.02254445612</v>
      </c>
      <c r="AL20" s="253" t="n">
        <f aca="false">((AL16*('Unit Mix &amp; Comparables'!$Q$55-'Unit Mix &amp; Comparables'!$N$55)+(AL17*'Unit Mix &amp; Comparables'!$Q$55))/MAX(1,1+'Unit Mix &amp; Comparables'!$D$51-('Unit Mix &amp; Comparables'!$D$51*AL4/'Renovation Plan'!$D$19)))*AL7</f>
        <v>5656.93976038194</v>
      </c>
      <c r="AM20" s="253" t="n">
        <f aca="false">((AM16*('Unit Mix &amp; Comparables'!$Q$55-'Unit Mix &amp; Comparables'!$N$55)+(AM17*'Unit Mix &amp; Comparables'!$Q$55))/MAX(1,1+'Unit Mix &amp; Comparables'!$D$51-('Unit Mix &amp; Comparables'!$D$51*AM4/'Renovation Plan'!$D$19)))*AM7</f>
        <v>5670.89129991672</v>
      </c>
      <c r="AN20" s="253" t="n">
        <f aca="false">((AN16*('Unit Mix &amp; Comparables'!$Q$55-'Unit Mix &amp; Comparables'!$N$55)+(AN17*'Unit Mix &amp; Comparables'!$Q$55))/MAX(1,1+'Unit Mix &amp; Comparables'!$D$51-('Unit Mix &amp; Comparables'!$D$51*AN4/'Renovation Plan'!$D$19)))*AN7</f>
        <v>5684.87724771172</v>
      </c>
      <c r="AO20" s="253" t="n">
        <f aca="false">((AO16*('Unit Mix &amp; Comparables'!$Q$55-'Unit Mix &amp; Comparables'!$N$55)+(AO17*'Unit Mix &amp; Comparables'!$Q$55))/MAX(1,1+'Unit Mix &amp; Comparables'!$D$51-('Unit Mix &amp; Comparables'!$D$51*AO4/'Renovation Plan'!$D$19)))*AO7</f>
        <v>5698.89768862701</v>
      </c>
      <c r="AP20" s="253" t="n">
        <f aca="false">((AP16*('Unit Mix &amp; Comparables'!$Q$55-'Unit Mix &amp; Comparables'!$N$55)+(AP17*'Unit Mix &amp; Comparables'!$Q$55))/MAX(1,1+'Unit Mix &amp; Comparables'!$D$51-('Unit Mix &amp; Comparables'!$D$51*AP4/'Renovation Plan'!$D$19)))*AP7</f>
        <v>5712.95270773192</v>
      </c>
      <c r="AQ20" s="253" t="n">
        <f aca="false">((AQ16*('Unit Mix &amp; Comparables'!$Q$55-'Unit Mix &amp; Comparables'!$N$55)+(AQ17*'Unit Mix &amp; Comparables'!$Q$55))/MAX(1,1+'Unit Mix &amp; Comparables'!$D$51-('Unit Mix &amp; Comparables'!$D$51*AQ4/'Renovation Plan'!$D$19)))*AQ7</f>
        <v>5727.04239030559</v>
      </c>
      <c r="AR20" s="253" t="n">
        <f aca="false">((AR16*('Unit Mix &amp; Comparables'!$Q$55-'Unit Mix &amp; Comparables'!$N$55)+(AR17*'Unit Mix &amp; Comparables'!$Q$55))/MAX(1,1+'Unit Mix &amp; Comparables'!$D$51-('Unit Mix &amp; Comparables'!$D$51*AR4/'Renovation Plan'!$D$19)))*AR7</f>
        <v>3894.52347295782</v>
      </c>
      <c r="AS20" s="253" t="n">
        <f aca="false">((AS16*('Unit Mix &amp; Comparables'!$Q$55-'Unit Mix &amp; Comparables'!$N$55)+(AS17*'Unit Mix &amp; Comparables'!$Q$55))/MAX(1,1+'Unit Mix &amp; Comparables'!$D$51-('Unit Mix &amp; Comparables'!$D$51*AS4/'Renovation Plan'!$D$19)))*AS7</f>
        <v>5755.32608802796</v>
      </c>
      <c r="AT20" s="253" t="n">
        <f aca="false">((AT16*('Unit Mix &amp; Comparables'!$Q$55-'Unit Mix &amp; Comparables'!$N$55)+(AT17*'Unit Mix &amp; Comparables'!$Q$55))/MAX(1,1+'Unit Mix &amp; Comparables'!$D$51-('Unit Mix &amp; Comparables'!$D$51*AT4/'Renovation Plan'!$D$19)))*AT7</f>
        <v>5769.52027478862</v>
      </c>
      <c r="AU20" s="253" t="n">
        <f aca="false">((AU16*('Unit Mix &amp; Comparables'!$Q$55-'Unit Mix &amp; Comparables'!$N$55)+(AU17*'Unit Mix &amp; Comparables'!$Q$55))/MAX(1,1+'Unit Mix &amp; Comparables'!$D$51-('Unit Mix &amp; Comparables'!$D$51*AU4/'Renovation Plan'!$D$19)))*AU7</f>
        <v>5783.74946824302</v>
      </c>
      <c r="AV20" s="253" t="n">
        <f aca="false">((AV16*('Unit Mix &amp; Comparables'!$Q$55-'Unit Mix &amp; Comparables'!$N$55)+(AV17*'Unit Mix &amp; Comparables'!$Q$55))/MAX(1,1+'Unit Mix &amp; Comparables'!$D$51-('Unit Mix &amp; Comparables'!$D$51*AV4/'Renovation Plan'!$D$19)))*AV7</f>
        <v>5798.01375472713</v>
      </c>
      <c r="AW20" s="253" t="n">
        <f aca="false">((AW16*('Unit Mix &amp; Comparables'!$Q$55-'Unit Mix &amp; Comparables'!$N$55)+(AW17*'Unit Mix &amp; Comparables'!$Q$55))/MAX(1,1+'Unit Mix &amp; Comparables'!$D$51-('Unit Mix &amp; Comparables'!$D$51*AW4/'Renovation Plan'!$D$19)))*AW7</f>
        <v>5812.31322078981</v>
      </c>
      <c r="AX20" s="253" t="n">
        <f aca="false">((AX16*('Unit Mix &amp; Comparables'!$Q$55-'Unit Mix &amp; Comparables'!$N$55)+(AX17*'Unit Mix &amp; Comparables'!$Q$55))/MAX(1,1+'Unit Mix &amp; Comparables'!$D$51-('Unit Mix &amp; Comparables'!$D$51*AX4/'Renovation Plan'!$D$19)))*AX7</f>
        <v>5826.64795319341</v>
      </c>
      <c r="AY20" s="253" t="n">
        <f aca="false">((AY16*('Unit Mix &amp; Comparables'!$Q$55-'Unit Mix &amp; Comparables'!$N$55)+(AY17*'Unit Mix &amp; Comparables'!$Q$55))/MAX(1,1+'Unit Mix &amp; Comparables'!$D$51-('Unit Mix &amp; Comparables'!$D$51*AY4/'Renovation Plan'!$D$19)))*AY7</f>
        <v>5841.01803891422</v>
      </c>
      <c r="AZ20" s="253" t="n">
        <f aca="false">((AZ16*('Unit Mix &amp; Comparables'!$Q$55-'Unit Mix &amp; Comparables'!$N$55)+(AZ17*'Unit Mix &amp; Comparables'!$Q$55))/MAX(1,1+'Unit Mix &amp; Comparables'!$D$51-('Unit Mix &amp; Comparables'!$D$51*AZ4/'Renovation Plan'!$D$19)))*AZ7</f>
        <v>5855.42356514308</v>
      </c>
      <c r="BA20" s="253" t="n">
        <f aca="false">((BA16*('Unit Mix &amp; Comparables'!$Q$55-'Unit Mix &amp; Comparables'!$N$55)+(BA17*'Unit Mix &amp; Comparables'!$Q$55))/MAX(1,1+'Unit Mix &amp; Comparables'!$D$51-('Unit Mix &amp; Comparables'!$D$51*BA4/'Renovation Plan'!$D$19)))*BA7</f>
        <v>5869.86461928583</v>
      </c>
      <c r="BB20" s="253" t="n">
        <f aca="false">((BB16*('Unit Mix &amp; Comparables'!$Q$55-'Unit Mix &amp; Comparables'!$N$55)+(BB17*'Unit Mix &amp; Comparables'!$Q$55))/MAX(1,1+'Unit Mix &amp; Comparables'!$D$51-('Unit Mix &amp; Comparables'!$D$51*BB4/'Renovation Plan'!$D$19)))*BB7</f>
        <v>5884.34128896388</v>
      </c>
      <c r="BC20" s="253" t="n">
        <f aca="false">((BC16*('Unit Mix &amp; Comparables'!$Q$55-'Unit Mix &amp; Comparables'!$N$55)+(BC17*'Unit Mix &amp; Comparables'!$Q$55))/MAX(1,1+'Unit Mix &amp; Comparables'!$D$51-('Unit Mix &amp; Comparables'!$D$51*BC4/'Renovation Plan'!$D$19)))*BC7</f>
        <v>5898.85366201476</v>
      </c>
      <c r="BD20" s="253" t="n">
        <f aca="false">((BD16*('Unit Mix &amp; Comparables'!$Q$55-'Unit Mix &amp; Comparables'!$N$55)+(BD17*'Unit Mix &amp; Comparables'!$Q$55))/MAX(1,1+'Unit Mix &amp; Comparables'!$D$51-('Unit Mix &amp; Comparables'!$D$51*BD4/'Renovation Plan'!$D$19)))*BD7</f>
        <v>4011.35917714656</v>
      </c>
      <c r="BE20" s="253" t="n">
        <f aca="false">((BE16*('Unit Mix &amp; Comparables'!$Q$55-'Unit Mix &amp; Comparables'!$N$55)+(BE17*'Unit Mix &amp; Comparables'!$Q$55))/MAX(1,1+'Unit Mix &amp; Comparables'!$D$51-('Unit Mix &amp; Comparables'!$D$51*BE4/'Renovation Plan'!$D$19)))*BE7</f>
        <v>5927.98587066881</v>
      </c>
      <c r="BF20" s="253" t="n">
        <f aca="false">((BF16*('Unit Mix &amp; Comparables'!$Q$55-'Unit Mix &amp; Comparables'!$N$55)+(BF17*'Unit Mix &amp; Comparables'!$Q$55))/MAX(1,1+'Unit Mix &amp; Comparables'!$D$51-('Unit Mix &amp; Comparables'!$D$51*BF4/'Renovation Plan'!$D$19)))*BF7</f>
        <v>5942.60588303228</v>
      </c>
      <c r="BG20" s="253" t="n">
        <f aca="false">((BG16*('Unit Mix &amp; Comparables'!$Q$55-'Unit Mix &amp; Comparables'!$N$55)+(BG17*'Unit Mix &amp; Comparables'!$Q$55))/MAX(1,1+'Unit Mix &amp; Comparables'!$D$51-('Unit Mix &amp; Comparables'!$D$51*BG4/'Renovation Plan'!$D$19)))*BG7</f>
        <v>5957.26195229032</v>
      </c>
      <c r="BH20" s="253" t="n">
        <f aca="false">((BH16*('Unit Mix &amp; Comparables'!$Q$55-'Unit Mix &amp; Comparables'!$N$55)+(BH17*'Unit Mix &amp; Comparables'!$Q$55))/MAX(1,1+'Unit Mix &amp; Comparables'!$D$51-('Unit Mix &amp; Comparables'!$D$51*BH4/'Renovation Plan'!$D$19)))*BH7</f>
        <v>5971.95416736895</v>
      </c>
      <c r="BI20" s="253" t="n">
        <f aca="false">((BI16*('Unit Mix &amp; Comparables'!$Q$55-'Unit Mix &amp; Comparables'!$N$55)+(BI17*'Unit Mix &amp; Comparables'!$Q$55))/MAX(1,1+'Unit Mix &amp; Comparables'!$D$51-('Unit Mix &amp; Comparables'!$D$51*BI4/'Renovation Plan'!$D$19)))*BI7</f>
        <v>5986.68261741351</v>
      </c>
      <c r="BJ20" s="253" t="n">
        <f aca="false">((BJ16*('Unit Mix &amp; Comparables'!$Q$55-'Unit Mix &amp; Comparables'!$N$55)+(BJ17*'Unit Mix &amp; Comparables'!$Q$55))/MAX(1,1+'Unit Mix &amp; Comparables'!$D$51-('Unit Mix &amp; Comparables'!$D$51*BJ4/'Renovation Plan'!$D$19)))*BJ7</f>
        <v>6001.44739178922</v>
      </c>
      <c r="BK20" s="253" t="n">
        <f aca="false">((BK16*('Unit Mix &amp; Comparables'!$Q$55-'Unit Mix &amp; Comparables'!$N$55)+(BK17*'Unit Mix &amp; Comparables'!$Q$55))/MAX(1,1+'Unit Mix &amp; Comparables'!$D$51-('Unit Mix &amp; Comparables'!$D$51*BK4/'Renovation Plan'!$D$19)))*BK7</f>
        <v>6016.24858008166</v>
      </c>
      <c r="BL20" s="253" t="n">
        <f aca="false">((BL16*('Unit Mix &amp; Comparables'!$Q$55-'Unit Mix &amp; Comparables'!$N$55)+(BL17*'Unit Mix &amp; Comparables'!$Q$55))/MAX(1,1+'Unit Mix &amp; Comparables'!$D$51-('Unit Mix &amp; Comparables'!$D$51*BL4/'Renovation Plan'!$D$19)))*BL7</f>
        <v>6031.08627209738</v>
      </c>
      <c r="BM20" s="253" t="n">
        <f aca="false">((BM16*('Unit Mix &amp; Comparables'!$Q$55-'Unit Mix &amp; Comparables'!$N$55)+(BM17*'Unit Mix &amp; Comparables'!$Q$55))/MAX(1,1+'Unit Mix &amp; Comparables'!$D$51-('Unit Mix &amp; Comparables'!$D$51*BM4/'Renovation Plan'!$D$19)))*BM7</f>
        <v>6045.96055786441</v>
      </c>
      <c r="BN20" s="253" t="n">
        <f aca="false">((BN16*('Unit Mix &amp; Comparables'!$Q$55-'Unit Mix &amp; Comparables'!$N$55)+(BN17*'Unit Mix &amp; Comparables'!$Q$55))/MAX(1,1+'Unit Mix &amp; Comparables'!$D$51-('Unit Mix &amp; Comparables'!$D$51*BN4/'Renovation Plan'!$D$19)))*BN7</f>
        <v>6060.87152763281</v>
      </c>
      <c r="BO20" s="253" t="n">
        <f aca="false">((BO16*('Unit Mix &amp; Comparables'!$Q$55-'Unit Mix &amp; Comparables'!$N$55)+(BO17*'Unit Mix &amp; Comparables'!$Q$55))/MAX(1,1+'Unit Mix &amp; Comparables'!$D$51-('Unit Mix &amp; Comparables'!$D$51*BO4/'Renovation Plan'!$D$19)))*BO7</f>
        <v>6075.81927187521</v>
      </c>
      <c r="BP20" s="253" t="n">
        <f aca="false">((BP16*('Unit Mix &amp; Comparables'!$Q$55-'Unit Mix &amp; Comparables'!$N$55)+(BP17*'Unit Mix &amp; Comparables'!$Q$55))/MAX(1,1+'Unit Mix &amp; Comparables'!$D$51-('Unit Mix &amp; Comparables'!$D$51*BP4/'Renovation Plan'!$D$19)))*BP7</f>
        <v>4131.69995246096</v>
      </c>
      <c r="BQ20" s="253" t="n">
        <f aca="false">((BQ16*('Unit Mix &amp; Comparables'!$Q$55-'Unit Mix &amp; Comparables'!$N$55)+(BQ17*'Unit Mix &amp; Comparables'!$Q$55))/MAX(1,1+'Unit Mix &amp; Comparables'!$D$51-('Unit Mix &amp; Comparables'!$D$51*BQ4/'Renovation Plan'!$D$19)))*BQ7</f>
        <v>6105.82544678888</v>
      </c>
      <c r="BR20" s="253" t="n">
        <f aca="false">((BR16*('Unit Mix &amp; Comparables'!$Q$55-'Unit Mix &amp; Comparables'!$N$55)+(BR17*'Unit Mix &amp; Comparables'!$Q$55))/MAX(1,1+'Unit Mix &amp; Comparables'!$D$51-('Unit Mix &amp; Comparables'!$D$51*BR4/'Renovation Plan'!$D$19)))*BR7</f>
        <v>6120.88405952326</v>
      </c>
      <c r="BS20" s="253" t="n">
        <f aca="false">((BS16*('Unit Mix &amp; Comparables'!$Q$55-'Unit Mix &amp; Comparables'!$N$55)+(BS17*'Unit Mix &amp; Comparables'!$Q$55))/MAX(1,1+'Unit Mix &amp; Comparables'!$D$51-('Unit Mix &amp; Comparables'!$D$51*BS4/'Renovation Plan'!$D$19)))*BS7</f>
        <v>6135.97981085903</v>
      </c>
      <c r="BT20" s="253" t="n">
        <f aca="false">((BT16*('Unit Mix &amp; Comparables'!$Q$55-'Unit Mix &amp; Comparables'!$N$55)+(BT17*'Unit Mix &amp; Comparables'!$Q$55))/MAX(1,1+'Unit Mix &amp; Comparables'!$D$51-('Unit Mix &amp; Comparables'!$D$51*BT4/'Renovation Plan'!$D$19)))*BT7</f>
        <v>6151.11279239002</v>
      </c>
      <c r="BU20" s="253" t="n">
        <f aca="false">((BU16*('Unit Mix &amp; Comparables'!$Q$55-'Unit Mix &amp; Comparables'!$N$55)+(BU17*'Unit Mix &amp; Comparables'!$Q$55))/MAX(1,1+'Unit Mix &amp; Comparables'!$D$51-('Unit Mix &amp; Comparables'!$D$51*BU4/'Renovation Plan'!$D$19)))*BU7</f>
        <v>6166.28309593592</v>
      </c>
      <c r="BV20" s="253" t="n">
        <f aca="false">((BV16*('Unit Mix &amp; Comparables'!$Q$55-'Unit Mix &amp; Comparables'!$N$55)+(BV17*'Unit Mix &amp; Comparables'!$Q$55))/MAX(1,1+'Unit Mix &amp; Comparables'!$D$51-('Unit Mix &amp; Comparables'!$D$51*BV4/'Renovation Plan'!$D$19)))*BV7</f>
        <v>6181.4908135429</v>
      </c>
      <c r="BW20" s="253" t="n">
        <f aca="false">((BW16*('Unit Mix &amp; Comparables'!$Q$55-'Unit Mix &amp; Comparables'!$N$55)+(BW17*'Unit Mix &amp; Comparables'!$Q$55))/MAX(1,1+'Unit Mix &amp; Comparables'!$D$51-('Unit Mix &amp; Comparables'!$D$51*BW4/'Renovation Plan'!$D$19)))*BW7</f>
        <v>6196.73603748411</v>
      </c>
      <c r="BX20" s="253" t="n">
        <f aca="false">((BX16*('Unit Mix &amp; Comparables'!$Q$55-'Unit Mix &amp; Comparables'!$N$55)+(BX17*'Unit Mix &amp; Comparables'!$Q$55))/MAX(1,1+'Unit Mix &amp; Comparables'!$D$51-('Unit Mix &amp; Comparables'!$D$51*BX4/'Renovation Plan'!$D$19)))*BX7</f>
        <v>6212.0188602603</v>
      </c>
      <c r="BY20" s="253" t="n">
        <f aca="false">((BY16*('Unit Mix &amp; Comparables'!$Q$55-'Unit Mix &amp; Comparables'!$N$55)+(BY17*'Unit Mix &amp; Comparables'!$Q$55))/MAX(1,1+'Unit Mix &amp; Comparables'!$D$51-('Unit Mix &amp; Comparables'!$D$51*BY4/'Renovation Plan'!$D$19)))*BY7</f>
        <v>6227.33937460034</v>
      </c>
      <c r="BZ20" s="253" t="n">
        <f aca="false">((BZ16*('Unit Mix &amp; Comparables'!$Q$55-'Unit Mix &amp; Comparables'!$N$55)+(BZ17*'Unit Mix &amp; Comparables'!$Q$55))/MAX(1,1+'Unit Mix &amp; Comparables'!$D$51-('Unit Mix &amp; Comparables'!$D$51*BZ4/'Renovation Plan'!$D$19)))*BZ7</f>
        <v>6242.6976734618</v>
      </c>
      <c r="CA20" s="253" t="n">
        <f aca="false">((CA16*('Unit Mix &amp; Comparables'!$Q$55-'Unit Mix &amp; Comparables'!$N$55)+(CA17*'Unit Mix &amp; Comparables'!$Q$55))/MAX(1,1+'Unit Mix &amp; Comparables'!$D$51-('Unit Mix &amp; Comparables'!$D$51*CA4/'Renovation Plan'!$D$19)))*CA7</f>
        <v>6258.09385003148</v>
      </c>
      <c r="CB20" s="253" t="n">
        <f aca="false">((CB16*('Unit Mix &amp; Comparables'!$Q$55-'Unit Mix &amp; Comparables'!$N$55)+(CB17*'Unit Mix &amp; Comparables'!$Q$55))/MAX(1,1+'Unit Mix &amp; Comparables'!$D$51-('Unit Mix &amp; Comparables'!$D$51*CB4/'Renovation Plan'!$D$19)))*CB7</f>
        <v>4255.65095103479</v>
      </c>
      <c r="CC20" s="253" t="n">
        <f aca="false">((CC16*('Unit Mix &amp; Comparables'!$Q$55-'Unit Mix &amp; Comparables'!$N$55)+(CC17*'Unit Mix &amp; Comparables'!$Q$55))/MAX(1,1+'Unit Mix &amp; Comparables'!$D$51-('Unit Mix &amp; Comparables'!$D$51*CC4/'Renovation Plan'!$D$19)))*CC7</f>
        <v>6289.00021019255</v>
      </c>
      <c r="CD20" s="253" t="n">
        <f aca="false">((CD16*('Unit Mix &amp; Comparables'!$Q$55-'Unit Mix &amp; Comparables'!$N$55)+(CD17*'Unit Mix &amp; Comparables'!$Q$55))/MAX(1,1+'Unit Mix &amp; Comparables'!$D$51-('Unit Mix &amp; Comparables'!$D$51*CD4/'Renovation Plan'!$D$19)))*CD7</f>
        <v>6304.51058130896</v>
      </c>
      <c r="CE20" s="253" t="n">
        <f aca="false">((CE16*('Unit Mix &amp; Comparables'!$Q$55-'Unit Mix &amp; Comparables'!$N$55)+(CE17*'Unit Mix &amp; Comparables'!$Q$55))/MAX(1,1+'Unit Mix &amp; Comparables'!$D$51-('Unit Mix &amp; Comparables'!$D$51*CE4/'Renovation Plan'!$D$19)))*CE7</f>
        <v>6320.05920518481</v>
      </c>
      <c r="CF20" s="253" t="n">
        <f aca="false">((CF16*('Unit Mix &amp; Comparables'!$Q$55-'Unit Mix &amp; Comparables'!$N$55)+(CF17*'Unit Mix &amp; Comparables'!$Q$55))/MAX(1,1+'Unit Mix &amp; Comparables'!$D$51-('Unit Mix &amp; Comparables'!$D$51*CF4/'Renovation Plan'!$D$19)))*CF7</f>
        <v>6335.64617616173</v>
      </c>
      <c r="CG20" s="253" t="n">
        <f aca="false">((CG16*('Unit Mix &amp; Comparables'!$Q$55-'Unit Mix &amp; Comparables'!$N$55)+(CG17*'Unit Mix &amp; Comparables'!$Q$55))/MAX(1,1+'Unit Mix &amp; Comparables'!$D$51-('Unit Mix &amp; Comparables'!$D$51*CG4/'Renovation Plan'!$D$19)))*CG7</f>
        <v>6351.27158881401</v>
      </c>
      <c r="CH20" s="253" t="n">
        <f aca="false">((CH16*('Unit Mix &amp; Comparables'!$Q$55-'Unit Mix &amp; Comparables'!$N$55)+(CH17*'Unit Mix &amp; Comparables'!$Q$55))/MAX(1,1+'Unit Mix &amp; Comparables'!$D$51-('Unit Mix &amp; Comparables'!$D$51*CH4/'Renovation Plan'!$D$19)))*CH7</f>
        <v>6366.93553794919</v>
      </c>
      <c r="CI20" s="253" t="n">
        <f aca="false">((CI16*('Unit Mix &amp; Comparables'!$Q$55-'Unit Mix &amp; Comparables'!$N$55)+(CI17*'Unit Mix &amp; Comparables'!$Q$55))/MAX(1,1+'Unit Mix &amp; Comparables'!$D$51-('Unit Mix &amp; Comparables'!$D$51*CI4/'Renovation Plan'!$D$19)))*CI7</f>
        <v>6382.63811860864</v>
      </c>
      <c r="CJ20" s="253" t="n">
        <f aca="false">((CJ16*('Unit Mix &amp; Comparables'!$Q$55-'Unit Mix &amp; Comparables'!$N$55)+(CJ17*'Unit Mix &amp; Comparables'!$Q$55))/MAX(1,1+'Unit Mix &amp; Comparables'!$D$51-('Unit Mix &amp; Comparables'!$D$51*CJ4/'Renovation Plan'!$D$19)))*CJ7</f>
        <v>6398.37942606812</v>
      </c>
      <c r="CK20" s="253" t="n">
        <f aca="false">((CK16*('Unit Mix &amp; Comparables'!$Q$55-'Unit Mix &amp; Comparables'!$N$55)+(CK17*'Unit Mix &amp; Comparables'!$Q$55))/MAX(1,1+'Unit Mix &amp; Comparables'!$D$51-('Unit Mix &amp; Comparables'!$D$51*CK4/'Renovation Plan'!$D$19)))*CK7</f>
        <v>6414.15955583836</v>
      </c>
      <c r="CL20" s="253" t="n">
        <f aca="false">((CL16*('Unit Mix &amp; Comparables'!$Q$55-'Unit Mix &amp; Comparables'!$N$55)+(CL17*'Unit Mix &amp; Comparables'!$Q$55))/MAX(1,1+'Unit Mix &amp; Comparables'!$D$51-('Unit Mix &amp; Comparables'!$D$51*CL4/'Renovation Plan'!$D$19)))*CL7</f>
        <v>6429.97860366566</v>
      </c>
      <c r="CM20" s="253" t="n">
        <f aca="false">((CM16*('Unit Mix &amp; Comparables'!$Q$55-'Unit Mix &amp; Comparables'!$N$55)+(CM17*'Unit Mix &amp; Comparables'!$Q$55))/MAX(1,1+'Unit Mix &amp; Comparables'!$D$51-('Unit Mix &amp; Comparables'!$D$51*CM4/'Renovation Plan'!$D$19)))*CM7</f>
        <v>6445.83666553243</v>
      </c>
      <c r="CN20" s="253" t="n">
        <f aca="false">((CN16*('Unit Mix &amp; Comparables'!$Q$55-'Unit Mix &amp; Comparables'!$N$55)+(CN17*'Unit Mix &amp; Comparables'!$Q$55))/MAX(1,1+'Unit Mix &amp; Comparables'!$D$51-('Unit Mix &amp; Comparables'!$D$51*CN4/'Renovation Plan'!$D$19)))*CN7</f>
        <v>4383.32047956584</v>
      </c>
      <c r="CO20" s="253" t="n">
        <f aca="false">((CO16*('Unit Mix &amp; Comparables'!$Q$55-'Unit Mix &amp; Comparables'!$N$55)+(CO17*'Unit Mix &amp; Comparables'!$Q$55))/MAX(1,1+'Unit Mix &amp; Comparables'!$D$51-('Unit Mix &amp; Comparables'!$D$51*CO4/'Renovation Plan'!$D$19)))*CO7</f>
        <v>6477.67021649833</v>
      </c>
      <c r="CP20" s="253" t="n">
        <f aca="false">((CP16*('Unit Mix &amp; Comparables'!$Q$55-'Unit Mix &amp; Comparables'!$N$55)+(CP17*'Unit Mix &amp; Comparables'!$Q$55))/MAX(1,1+'Unit Mix &amp; Comparables'!$D$51-('Unit Mix &amp; Comparables'!$D$51*CP4/'Renovation Plan'!$D$19)))*CP7</f>
        <v>6493.64589874824</v>
      </c>
      <c r="CQ20" s="253" t="n">
        <f aca="false">((CQ16*('Unit Mix &amp; Comparables'!$Q$55-'Unit Mix &amp; Comparables'!$N$55)+(CQ17*'Unit Mix &amp; Comparables'!$Q$55))/MAX(1,1+'Unit Mix &amp; Comparables'!$D$51-('Unit Mix &amp; Comparables'!$D$51*CQ4/'Renovation Plan'!$D$19)))*CQ7</f>
        <v>6509.66098134036</v>
      </c>
      <c r="CR20" s="253" t="n">
        <f aca="false">((CR16*('Unit Mix &amp; Comparables'!$Q$55-'Unit Mix &amp; Comparables'!$N$55)+(CR17*'Unit Mix &amp; Comparables'!$Q$55))/MAX(1,1+'Unit Mix &amp; Comparables'!$D$51-('Unit Mix &amp; Comparables'!$D$51*CR4/'Renovation Plan'!$D$19)))*CR7</f>
        <v>6525.71556144659</v>
      </c>
      <c r="CS20" s="253" t="n">
        <f aca="false">((CS16*('Unit Mix &amp; Comparables'!$Q$55-'Unit Mix &amp; Comparables'!$N$55)+(CS17*'Unit Mix &amp; Comparables'!$Q$55))/MAX(1,1+'Unit Mix &amp; Comparables'!$D$51-('Unit Mix &amp; Comparables'!$D$51*CS4/'Renovation Plan'!$D$19)))*CS7</f>
        <v>6541.80973647844</v>
      </c>
      <c r="CT20" s="253" t="n">
        <f aca="false">((CT16*('Unit Mix &amp; Comparables'!$Q$55-'Unit Mix &amp; Comparables'!$N$55)+(CT17*'Unit Mix &amp; Comparables'!$Q$55))/MAX(1,1+'Unit Mix &amp; Comparables'!$D$51-('Unit Mix &amp; Comparables'!$D$51*CT4/'Renovation Plan'!$D$19)))*CT7</f>
        <v>6557.94360408767</v>
      </c>
      <c r="CU20" s="253" t="n">
        <f aca="false">((CU16*('Unit Mix &amp; Comparables'!$Q$55-'Unit Mix &amp; Comparables'!$N$55)+(CU17*'Unit Mix &amp; Comparables'!$Q$55))/MAX(1,1+'Unit Mix &amp; Comparables'!$D$51-('Unit Mix &amp; Comparables'!$D$51*CU4/'Renovation Plan'!$D$19)))*CU7</f>
        <v>6574.11726216691</v>
      </c>
      <c r="CV20" s="253" t="n">
        <f aca="false">((CV16*('Unit Mix &amp; Comparables'!$Q$55-'Unit Mix &amp; Comparables'!$N$55)+(CV17*'Unit Mix &amp; Comparables'!$Q$55))/MAX(1,1+'Unit Mix &amp; Comparables'!$D$51-('Unit Mix &amp; Comparables'!$D$51*CV4/'Renovation Plan'!$D$19)))*CV7</f>
        <v>6590.33080885017</v>
      </c>
      <c r="CW20" s="253" t="n">
        <f aca="false">((CW16*('Unit Mix &amp; Comparables'!$Q$55-'Unit Mix &amp; Comparables'!$N$55)+(CW17*'Unit Mix &amp; Comparables'!$Q$55))/MAX(1,1+'Unit Mix &amp; Comparables'!$D$51-('Unit Mix &amp; Comparables'!$D$51*CW4/'Renovation Plan'!$D$19)))*CW7</f>
        <v>6606.58434251352</v>
      </c>
      <c r="CX20" s="253" t="n">
        <f aca="false">((CX16*('Unit Mix &amp; Comparables'!$Q$55-'Unit Mix &amp; Comparables'!$N$55)+(CX17*'Unit Mix &amp; Comparables'!$Q$55))/MAX(1,1+'Unit Mix &amp; Comparables'!$D$51-('Unit Mix &amp; Comparables'!$D$51*CX4/'Renovation Plan'!$D$19)))*CX7</f>
        <v>6622.87796177564</v>
      </c>
      <c r="CY20" s="253" t="n">
        <f aca="false">((CY16*('Unit Mix &amp; Comparables'!$Q$55-'Unit Mix &amp; Comparables'!$N$55)+(CY17*'Unit Mix &amp; Comparables'!$Q$55))/MAX(1,1+'Unit Mix &amp; Comparables'!$D$51-('Unit Mix &amp; Comparables'!$D$51*CY4/'Renovation Plan'!$D$19)))*CY7</f>
        <v>6639.21176549841</v>
      </c>
      <c r="CZ20" s="253" t="n">
        <f aca="false">((CZ16*('Unit Mix &amp; Comparables'!$Q$55-'Unit Mix &amp; Comparables'!$N$55)+(CZ17*'Unit Mix &amp; Comparables'!$Q$55))/MAX(1,1+'Unit Mix &amp; Comparables'!$D$51-('Unit Mix &amp; Comparables'!$D$51*CZ4/'Renovation Plan'!$D$19)))*CZ7</f>
        <v>4514.82009395282</v>
      </c>
      <c r="DA20" s="253" t="n">
        <f aca="false">((DA16*('Unit Mix &amp; Comparables'!$Q$55-'Unit Mix &amp; Comparables'!$N$55)+(DA17*'Unit Mix &amp; Comparables'!$Q$55))/MAX(1,1+'Unit Mix &amp; Comparables'!$D$51-('Unit Mix &amp; Comparables'!$D$51*DA4/'Renovation Plan'!$D$19)))*DA7</f>
        <v>6672.00032299329</v>
      </c>
      <c r="DB20" s="253" t="n">
        <f aca="false">((DB16*('Unit Mix &amp; Comparables'!$Q$55-'Unit Mix &amp; Comparables'!$N$55)+(DB17*'Unit Mix &amp; Comparables'!$Q$55))/MAX(1,1+'Unit Mix &amp; Comparables'!$D$51-('Unit Mix &amp; Comparables'!$D$51*DB4/'Renovation Plan'!$D$19)))*DB7</f>
        <v>6688.45527571069</v>
      </c>
      <c r="DC20" s="253" t="n">
        <f aca="false">((DC16*('Unit Mix &amp; Comparables'!$Q$55-'Unit Mix &amp; Comparables'!$N$55)+(DC17*'Unit Mix &amp; Comparables'!$Q$55))/MAX(1,1+'Unit Mix &amp; Comparables'!$D$51-('Unit Mix &amp; Comparables'!$D$51*DC4/'Renovation Plan'!$D$19)))*DC7</f>
        <v>6704.95081078058</v>
      </c>
      <c r="DD20" s="253" t="n">
        <f aca="false">((DD16*('Unit Mix &amp; Comparables'!$Q$55-'Unit Mix &amp; Comparables'!$N$55)+(DD17*'Unit Mix &amp; Comparables'!$Q$55))/MAX(1,1+'Unit Mix &amp; Comparables'!$D$51-('Unit Mix &amp; Comparables'!$D$51*DD4/'Renovation Plan'!$D$19)))*DD7</f>
        <v>6721.48702828999</v>
      </c>
      <c r="DE20" s="253" t="n">
        <f aca="false">((DE16*('Unit Mix &amp; Comparables'!$Q$55-'Unit Mix &amp; Comparables'!$N$55)+(DE17*'Unit Mix &amp; Comparables'!$Q$55))/MAX(1,1+'Unit Mix &amp; Comparables'!$D$51-('Unit Mix &amp; Comparables'!$D$51*DE4/'Renovation Plan'!$D$19)))*DE7</f>
        <v>6738.0640285728</v>
      </c>
      <c r="DF20" s="253" t="n">
        <f aca="false">((DF16*('Unit Mix &amp; Comparables'!$Q$55-'Unit Mix &amp; Comparables'!$N$55)+(DF17*'Unit Mix &amp; Comparables'!$Q$55))/MAX(1,1+'Unit Mix &amp; Comparables'!$D$51-('Unit Mix &amp; Comparables'!$D$51*DF4/'Renovation Plan'!$D$19)))*DF7</f>
        <v>6754.68191221031</v>
      </c>
      <c r="DG20" s="253" t="n">
        <f aca="false">((DG16*('Unit Mix &amp; Comparables'!$Q$55-'Unit Mix &amp; Comparables'!$N$55)+(DG17*'Unit Mix &amp; Comparables'!$Q$55))/MAX(1,1+'Unit Mix &amp; Comparables'!$D$51-('Unit Mix &amp; Comparables'!$D$51*DG4/'Renovation Plan'!$D$19)))*DG7</f>
        <v>6771.34078003192</v>
      </c>
      <c r="DH20" s="253" t="n">
        <f aca="false">((DH16*('Unit Mix &amp; Comparables'!$Q$55-'Unit Mix &amp; Comparables'!$N$55)+(DH17*'Unit Mix &amp; Comparables'!$Q$55))/MAX(1,1+'Unit Mix &amp; Comparables'!$D$51-('Unit Mix &amp; Comparables'!$D$51*DH4/'Renovation Plan'!$D$19)))*DH7</f>
        <v>6788.04073311568</v>
      </c>
      <c r="DI20" s="253" t="n">
        <f aca="false">((DI16*('Unit Mix &amp; Comparables'!$Q$55-'Unit Mix &amp; Comparables'!$N$55)+(DI17*'Unit Mix &amp; Comparables'!$Q$55))/MAX(1,1+'Unit Mix &amp; Comparables'!$D$51-('Unit Mix &amp; Comparables'!$D$51*DI4/'Renovation Plan'!$D$19)))*DI7</f>
        <v>6804.78187278893</v>
      </c>
      <c r="DJ20" s="253" t="n">
        <f aca="false">((DJ16*('Unit Mix &amp; Comparables'!$Q$55-'Unit Mix &amp; Comparables'!$N$55)+(DJ17*'Unit Mix &amp; Comparables'!$Q$55))/MAX(1,1+'Unit Mix &amp; Comparables'!$D$51-('Unit Mix &amp; Comparables'!$D$51*DJ4/'Renovation Plan'!$D$19)))*DJ7</f>
        <v>6821.56430062891</v>
      </c>
      <c r="DK20" s="253" t="n">
        <f aca="false">((DK16*('Unit Mix &amp; Comparables'!$Q$55-'Unit Mix &amp; Comparables'!$N$55)+(DK17*'Unit Mix &amp; Comparables'!$Q$55))/MAX(1,1+'Unit Mix &amp; Comparables'!$D$51-('Unit Mix &amp; Comparables'!$D$51*DK4/'Renovation Plan'!$D$19)))*DK7</f>
        <v>6838.38811846337</v>
      </c>
      <c r="DL20" s="253" t="n">
        <f aca="false">((DL16*('Unit Mix &amp; Comparables'!$Q$55-'Unit Mix &amp; Comparables'!$N$55)+(DL17*'Unit Mix &amp; Comparables'!$Q$55))/MAX(1,1+'Unit Mix &amp; Comparables'!$D$51-('Unit Mix &amp; Comparables'!$D$51*DL4/'Renovation Plan'!$D$19)))*DL7</f>
        <v>4650.26469677141</v>
      </c>
      <c r="DM20" s="253" t="n">
        <f aca="false">((DM16*('Unit Mix &amp; Comparables'!$Q$55-'Unit Mix &amp; Comparables'!$N$55)+(DM17*'Unit Mix &amp; Comparables'!$Q$55))/MAX(1,1+'Unit Mix &amp; Comparables'!$D$51-('Unit Mix &amp; Comparables'!$D$51*DM4/'Renovation Plan'!$D$19)))*DM7</f>
        <v>6872.1603326831</v>
      </c>
      <c r="DN20" s="253" t="n">
        <f aca="false">((DN16*('Unit Mix &amp; Comparables'!$Q$55-'Unit Mix &amp; Comparables'!$N$55)+(DN17*'Unit Mix &amp; Comparables'!$Q$55))/MAX(1,1+'Unit Mix &amp; Comparables'!$D$51-('Unit Mix &amp; Comparables'!$D$51*DN4/'Renovation Plan'!$D$19)))*DN7</f>
        <v>6889.10893398202</v>
      </c>
      <c r="DO20" s="253" t="n">
        <f aca="false">((DO16*('Unit Mix &amp; Comparables'!$Q$55-'Unit Mix &amp; Comparables'!$N$55)+(DO17*'Unit Mix &amp; Comparables'!$Q$55))/MAX(1,1+'Unit Mix &amp; Comparables'!$D$51-('Unit Mix &amp; Comparables'!$D$51*DO4/'Renovation Plan'!$D$19)))*DO7</f>
        <v>6906.09933510401</v>
      </c>
      <c r="DP20" s="253" t="n">
        <f aca="false">((DP16*('Unit Mix &amp; Comparables'!$Q$55-'Unit Mix &amp; Comparables'!$N$55)+(DP17*'Unit Mix &amp; Comparables'!$Q$55))/MAX(1,1+'Unit Mix &amp; Comparables'!$D$51-('Unit Mix &amp; Comparables'!$D$51*DP4/'Renovation Plan'!$D$19)))*DP7</f>
        <v>6923.1316391387</v>
      </c>
      <c r="DQ20" s="253" t="n">
        <f aca="false">((DQ16*('Unit Mix &amp; Comparables'!$Q$55-'Unit Mix &amp; Comparables'!$N$55)+(DQ17*'Unit Mix &amp; Comparables'!$Q$55))/MAX(1,1+'Unit Mix &amp; Comparables'!$D$51-('Unit Mix &amp; Comparables'!$D$51*DQ4/'Renovation Plan'!$D$19)))*DQ7</f>
        <v>6940.20594942999</v>
      </c>
      <c r="DR20" s="253" t="n">
        <f aca="false">((DR16*('Unit Mix &amp; Comparables'!$Q$55-'Unit Mix &amp; Comparables'!$N$55)+(DR17*'Unit Mix &amp; Comparables'!$Q$55))/MAX(1,1+'Unit Mix &amp; Comparables'!$D$51-('Unit Mix &amp; Comparables'!$D$51*DR4/'Renovation Plan'!$D$19)))*DR7</f>
        <v>6957.32236957663</v>
      </c>
      <c r="DS20" s="253" t="n">
        <f aca="false">((DS16*('Unit Mix &amp; Comparables'!$Q$55-'Unit Mix &amp; Comparables'!$N$55)+(DS17*'Unit Mix &amp; Comparables'!$Q$55))/MAX(1,1+'Unit Mix &amp; Comparables'!$D$51-('Unit Mix &amp; Comparables'!$D$51*DS4/'Renovation Plan'!$D$19)))*DS7</f>
        <v>6974.48100343289</v>
      </c>
      <c r="DT20" s="253" t="n">
        <f aca="false">((DT16*('Unit Mix &amp; Comparables'!$Q$55-'Unit Mix &amp; Comparables'!$N$55)+(DT17*'Unit Mix &amp; Comparables'!$Q$55))/MAX(1,1+'Unit Mix &amp; Comparables'!$D$51-('Unit Mix &amp; Comparables'!$D$51*DT4/'Renovation Plan'!$D$19)))*DT7</f>
        <v>6991.68195510916</v>
      </c>
      <c r="DU20" s="253" t="n">
        <f aca="false">((DU16*('Unit Mix &amp; Comparables'!$Q$55-'Unit Mix &amp; Comparables'!$N$55)+(DU17*'Unit Mix &amp; Comparables'!$Q$55))/MAX(1,1+'Unit Mix &amp; Comparables'!$D$51-('Unit Mix &amp; Comparables'!$D$51*DU4/'Renovation Plan'!$D$19)))*DU7</f>
        <v>7008.92532897261</v>
      </c>
      <c r="DV20" s="253" t="n">
        <f aca="false">((DV16*('Unit Mix &amp; Comparables'!$Q$55-'Unit Mix &amp; Comparables'!$N$55)+(DV17*'Unit Mix &amp; Comparables'!$Q$55))/MAX(1,1+'Unit Mix &amp; Comparables'!$D$51-('Unit Mix &amp; Comparables'!$D$51*DV4/'Renovation Plan'!$D$19)))*DV7</f>
        <v>7026.21122964779</v>
      </c>
      <c r="DW20" s="253" t="n">
        <f aca="false">((DW16*('Unit Mix &amp; Comparables'!$Q$55-'Unit Mix &amp; Comparables'!$N$55)+(DW17*'Unit Mix &amp; Comparables'!$Q$55))/MAX(1,1+'Unit Mix &amp; Comparables'!$D$51-('Unit Mix &amp; Comparables'!$D$51*DW4/'Renovation Plan'!$D$19)))*DW7</f>
        <v>7043.53976201727</v>
      </c>
      <c r="DX20" s="253" t="n">
        <f aca="false">((DX16*('Unit Mix &amp; Comparables'!$Q$55-'Unit Mix &amp; Comparables'!$N$55)+(DX17*'Unit Mix &amp; Comparables'!$Q$55))/MAX(1,1+'Unit Mix &amp; Comparables'!$D$51-('Unit Mix &amp; Comparables'!$D$51*DX4/'Renovation Plan'!$D$19)))*DX7</f>
        <v>4789.77263767455</v>
      </c>
      <c r="DY20" s="253" t="n">
        <f aca="false">((DY16*('Unit Mix &amp; Comparables'!$Q$55-'Unit Mix &amp; Comparables'!$N$55)+(DY17*'Unit Mix &amp; Comparables'!$Q$55))/MAX(1,1+'Unit Mix &amp; Comparables'!$D$51-('Unit Mix &amp; Comparables'!$D$51*DY4/'Renovation Plan'!$D$19)))*DY7</f>
        <v>7078.3251426636</v>
      </c>
      <c r="DZ20" s="253" t="n">
        <f aca="false">((DZ16*('Unit Mix &amp; Comparables'!$Q$55-'Unit Mix &amp; Comparables'!$N$55)+(DZ17*'Unit Mix &amp; Comparables'!$Q$55))/MAX(1,1+'Unit Mix &amp; Comparables'!$D$51-('Unit Mix &amp; Comparables'!$D$51*DZ4/'Renovation Plan'!$D$19)))*DZ7</f>
        <v>7095.78220200149</v>
      </c>
      <c r="EA20" s="253" t="n">
        <f aca="false">((EA16*('Unit Mix &amp; Comparables'!$Q$55-'Unit Mix &amp; Comparables'!$N$55)+(EA17*'Unit Mix &amp; Comparables'!$Q$55))/MAX(1,1+'Unit Mix &amp; Comparables'!$D$51-('Unit Mix &amp; Comparables'!$D$51*EA4/'Renovation Plan'!$D$19)))*EA7</f>
        <v>7113.28231515713</v>
      </c>
      <c r="EB20" s="253" t="n">
        <f aca="false">((EB16*('Unit Mix &amp; Comparables'!$Q$55-'Unit Mix &amp; Comparables'!$N$55)+(EB17*'Unit Mix &amp; Comparables'!$Q$55))/MAX(1,1+'Unit Mix &amp; Comparables'!$D$51-('Unit Mix &amp; Comparables'!$D$51*EB4/'Renovation Plan'!$D$19)))*EB7</f>
        <v>7130.82558831287</v>
      </c>
      <c r="EC20" s="253" t="n">
        <f aca="false">((EC16*('Unit Mix &amp; Comparables'!$Q$55-'Unit Mix &amp; Comparables'!$N$55)+(EC17*'Unit Mix &amp; Comparables'!$Q$55))/MAX(1,1+'Unit Mix &amp; Comparables'!$D$51-('Unit Mix &amp; Comparables'!$D$51*EC4/'Renovation Plan'!$D$19)))*EC7</f>
        <v>7148.41212791289</v>
      </c>
      <c r="ED20" s="253" t="n">
        <f aca="false">((ED16*('Unit Mix &amp; Comparables'!$Q$55-'Unit Mix &amp; Comparables'!$N$55)+(ED17*'Unit Mix &amp; Comparables'!$Q$55))/MAX(1,1+'Unit Mix &amp; Comparables'!$D$51-('Unit Mix &amp; Comparables'!$D$51*ED4/'Renovation Plan'!$D$19)))*ED7</f>
        <v>7166.04204066393</v>
      </c>
      <c r="EE20" s="253" t="n">
        <f aca="false">((EE16*('Unit Mix &amp; Comparables'!$Q$55-'Unit Mix &amp; Comparables'!$N$55)+(EE17*'Unit Mix &amp; Comparables'!$Q$55))/MAX(1,1+'Unit Mix &amp; Comparables'!$D$51-('Unit Mix &amp; Comparables'!$D$51*EE4/'Renovation Plan'!$D$19)))*EE7</f>
        <v>7183.71543353588</v>
      </c>
      <c r="EF20" s="253" t="n">
        <f aca="false">((EF16*('Unit Mix &amp; Comparables'!$Q$55-'Unit Mix &amp; Comparables'!$N$55)+(EF17*'Unit Mix &amp; Comparables'!$Q$55))/MAX(1,1+'Unit Mix &amp; Comparables'!$D$51-('Unit Mix &amp; Comparables'!$D$51*EF4/'Renovation Plan'!$D$19)))*EF7</f>
        <v>7201.43241376244</v>
      </c>
      <c r="EG20" s="253" t="n">
        <f aca="false">((EG16*('Unit Mix &amp; Comparables'!$Q$55-'Unit Mix &amp; Comparables'!$N$55)+(EG17*'Unit Mix &amp; Comparables'!$Q$55))/MAX(1,1+'Unit Mix &amp; Comparables'!$D$51-('Unit Mix &amp; Comparables'!$D$51*EG4/'Renovation Plan'!$D$19)))*EG7</f>
        <v>7219.19308884179</v>
      </c>
      <c r="EH20" s="253" t="n">
        <f aca="false">((EH16*('Unit Mix &amp; Comparables'!$Q$55-'Unit Mix &amp; Comparables'!$N$55)+(EH17*'Unit Mix &amp; Comparables'!$Q$55))/MAX(1,1+'Unit Mix &amp; Comparables'!$D$51-('Unit Mix &amp; Comparables'!$D$51*EH4/'Renovation Plan'!$D$19)))*EH7</f>
        <v>7236.99756653723</v>
      </c>
      <c r="EI20" s="51" t="n">
        <f aca="false">((EI16*('Unit Mix &amp; Comparables'!$Q$55-'Unit Mix &amp; Comparables'!$N$55)+(EI17*'Unit Mix &amp; Comparables'!$Q$55))/MAX(1,1+'Unit Mix &amp; Comparables'!$D$51-('Unit Mix &amp; Comparables'!$D$51*EI4/'Renovation Plan'!$D$19)))*EI7</f>
        <v>7254.8459548778</v>
      </c>
    </row>
    <row r="21" s="538" customFormat="true" ht="12.75" hidden="true" customHeight="true" outlineLevel="0" collapsed="false">
      <c r="B21" s="539" t="s">
        <v>572</v>
      </c>
      <c r="C21" s="115"/>
      <c r="D21" s="540"/>
      <c r="E21" s="541"/>
      <c r="F21" s="115"/>
      <c r="G21" s="539" t="n">
        <f aca="false">'Operating Inputs'!G10/12*G12</f>
        <v>57832.0466666667</v>
      </c>
      <c r="H21" s="542" t="n">
        <f aca="false">G21-($G$21/12)+H20</f>
        <v>56424.0059806645</v>
      </c>
      <c r="I21" s="115" t="n">
        <f aca="false">H21-($G$21/12)+I20</f>
        <v>56786.4018242343</v>
      </c>
      <c r="J21" s="115" t="n">
        <f aca="false">I21-($G$21/12)+J20</f>
        <v>57251.8036292504</v>
      </c>
      <c r="K21" s="115" t="n">
        <f aca="false">J21-($G$21/12)+K20</f>
        <v>57619.8837673775</v>
      </c>
      <c r="L21" s="115" t="n">
        <f aca="false">K21-($G$21/12)+L20</f>
        <v>58091.0828631663</v>
      </c>
      <c r="M21" s="115" t="n">
        <f aca="false">L21-($G$21/12)+M20</f>
        <v>58464.8535314486</v>
      </c>
      <c r="N21" s="115" t="n">
        <f aca="false">M21-($G$21/12)+N20</f>
        <v>58941.8562775635</v>
      </c>
      <c r="O21" s="115" t="n">
        <f aca="false">N21-($G$21/12)+O20</f>
        <v>59321.3237184396</v>
      </c>
      <c r="P21" s="115" t="n">
        <f aca="false">O21-($G$21/12)+P20</f>
        <v>59804.1364814105</v>
      </c>
      <c r="Q21" s="115" t="n">
        <f aca="false">P21-($G$21/12)+Q20</f>
        <v>60189.3069441666</v>
      </c>
      <c r="R21" s="115" t="n">
        <f aca="false">Q21-($G$21/12)+R20</f>
        <v>60677.9360975072</v>
      </c>
      <c r="S21" s="115" t="n">
        <f aca="false">R21-($G$21/12)+S20</f>
        <v>61068.815838285</v>
      </c>
      <c r="T21" s="115" t="n">
        <f aca="false">S21-H20+T20</f>
        <v>61320.0073969586</v>
      </c>
      <c r="U21" s="115" t="n">
        <f aca="false">T21-I20+U20</f>
        <v>61551.8357999432</v>
      </c>
      <c r="V21" s="115" t="n">
        <f aca="false">U21-J20+V20</f>
        <v>61695.1498094472</v>
      </c>
      <c r="W21" s="115" t="n">
        <f aca="false">V21-K20+W20</f>
        <v>61950.3158462983</v>
      </c>
      <c r="X21" s="115" t="n">
        <f aca="false">W21-L20+X20</f>
        <v>62116.9321822817</v>
      </c>
      <c r="Y21" s="115" t="n">
        <f aca="false">X21-M20+Y20</f>
        <v>62395.5852030234</v>
      </c>
      <c r="Z21" s="115" t="n">
        <f aca="false">Y21-N20+Z20</f>
        <v>62585.6535080424</v>
      </c>
      <c r="AA21" s="115" t="n">
        <f aca="false">Z21-O20+AA20</f>
        <v>62887.9436899479</v>
      </c>
      <c r="AB21" s="115" t="n">
        <f aca="false">AA21-P20+AB20</f>
        <v>63101.6144359044</v>
      </c>
      <c r="AC21" s="115" t="n">
        <f aca="false">AB21-Q20+AC20</f>
        <v>63427.6927879603</v>
      </c>
      <c r="AD21" s="115" t="n">
        <f aca="false">AC21-R20+AD20</f>
        <v>63665.117280578</v>
      </c>
      <c r="AE21" s="115" t="n">
        <f aca="false">AD21-S20+AE20</f>
        <v>64015.1356479717</v>
      </c>
      <c r="AF21" s="115" t="n">
        <f aca="false">AE21-T20+AF20</f>
        <v>64133.7383035225</v>
      </c>
      <c r="AG21" s="115" t="n">
        <f aca="false">AF21-U20+AG20</f>
        <v>64307.8720658409</v>
      </c>
      <c r="AH21" s="115" t="n">
        <f aca="false">AG21-V20+AH20</f>
        <v>64481.295024039</v>
      </c>
      <c r="AI21" s="115" t="n">
        <f aca="false">AH21-W20+AI20</f>
        <v>64654.0023727057</v>
      </c>
      <c r="AJ21" s="115" t="n">
        <f aca="false">AI21-X20+AJ20</f>
        <v>64825.9892864075</v>
      </c>
      <c r="AK21" s="115" t="n">
        <f aca="false">AJ21-Y20+AK20</f>
        <v>64997.2509196173</v>
      </c>
      <c r="AL21" s="115" t="n">
        <f aca="false">AK21-Z20+AL20</f>
        <v>65167.7824066432</v>
      </c>
      <c r="AM21" s="115" t="n">
        <f aca="false">AL21-AA20+AM20</f>
        <v>65337.578861556</v>
      </c>
      <c r="AN21" s="115" t="n">
        <f aca="false">AM21-AB20+AN20</f>
        <v>65506.6353781182</v>
      </c>
      <c r="AO21" s="115" t="n">
        <f aca="false">AN21-AC20+AO20</f>
        <v>65674.947029711</v>
      </c>
      <c r="AP21" s="115" t="n">
        <f aca="false">AO21-AD20+AP20</f>
        <v>65842.5088692624</v>
      </c>
      <c r="AQ21" s="115" t="n">
        <f aca="false">AP21-AE20+AQ20</f>
        <v>66009.3159291743</v>
      </c>
      <c r="AR21" s="115" t="n">
        <f aca="false">AQ21-AF20+AR20</f>
        <v>66122.7486516876</v>
      </c>
      <c r="AS21" s="115" t="n">
        <f aca="false">AR21-AG20+AS20</f>
        <v>66290.3795086205</v>
      </c>
      <c r="AT21" s="115" t="n">
        <f aca="false">AS21-AH20+AT20</f>
        <v>66458.4237884687</v>
      </c>
      <c r="AU21" s="115" t="n">
        <f aca="false">AT21-AI20+AU20</f>
        <v>66626.8825108447</v>
      </c>
      <c r="AV21" s="115" t="n">
        <f aca="false">AU21-AJ20+AV20</f>
        <v>66795.7566978756</v>
      </c>
      <c r="AW21" s="115" t="n">
        <f aca="false">AV21-AK20+AW20</f>
        <v>66965.0473742093</v>
      </c>
      <c r="AX21" s="115" t="n">
        <f aca="false">AW21-AL20+AX20</f>
        <v>67134.7555670207</v>
      </c>
      <c r="AY21" s="115" t="n">
        <f aca="false">AX21-AM20+AY20</f>
        <v>67304.8823060183</v>
      </c>
      <c r="AZ21" s="115" t="n">
        <f aca="false">AY21-AN20+AZ20</f>
        <v>67475.4286234496</v>
      </c>
      <c r="BA21" s="115" t="n">
        <f aca="false">AZ21-AO20+BA20</f>
        <v>67646.3955541084</v>
      </c>
      <c r="BB21" s="115" t="n">
        <f aca="false">BA21-AP20+BB20</f>
        <v>67817.7841353404</v>
      </c>
      <c r="BC21" s="115" t="n">
        <f aca="false">BB21-AQ20+BC20</f>
        <v>67989.5954070496</v>
      </c>
      <c r="BD21" s="115" t="n">
        <f aca="false">BC21-AR20+BD20</f>
        <v>68106.4311112383</v>
      </c>
      <c r="BE21" s="115" t="n">
        <f aca="false">BD21-AS20+BE20</f>
        <v>68279.0908938791</v>
      </c>
      <c r="BF21" s="115" t="n">
        <f aca="false">BE21-AT20+BF20</f>
        <v>68452.1765021228</v>
      </c>
      <c r="BG21" s="115" t="n">
        <f aca="false">BF21-AU20+BG20</f>
        <v>68625.6889861701</v>
      </c>
      <c r="BH21" s="115" t="n">
        <f aca="false">BG21-AV20+BH20</f>
        <v>68799.6293988119</v>
      </c>
      <c r="BI21" s="115" t="n">
        <f aca="false">BH21-AW20+BI20</f>
        <v>68973.9987954356</v>
      </c>
      <c r="BJ21" s="115" t="n">
        <f aca="false">BI21-AX20+BJ20</f>
        <v>69148.7982340314</v>
      </c>
      <c r="BK21" s="115" t="n">
        <f aca="false">BJ21-AY20+BK20</f>
        <v>69324.0287751988</v>
      </c>
      <c r="BL21" s="115" t="n">
        <f aca="false">BK21-AZ20+BL20</f>
        <v>69499.6914821531</v>
      </c>
      <c r="BM21" s="115" t="n">
        <f aca="false">BL21-BA20+BM20</f>
        <v>69675.7874207317</v>
      </c>
      <c r="BN21" s="115" t="n">
        <f aca="false">BM21-BB20+BN20</f>
        <v>69852.3176594006</v>
      </c>
      <c r="BO21" s="115" t="n">
        <f aca="false">BN21-BC20+BO20</f>
        <v>70029.2832692611</v>
      </c>
      <c r="BP21" s="115" t="n">
        <f aca="false">BO21-BD20+BP20</f>
        <v>70149.6240445755</v>
      </c>
      <c r="BQ21" s="115" t="n">
        <f aca="false">BP21-BE20+BQ20</f>
        <v>70327.4636206955</v>
      </c>
      <c r="BR21" s="115" t="n">
        <f aca="false">BQ21-BF20+BR20</f>
        <v>70505.7417971865</v>
      </c>
      <c r="BS21" s="115" t="n">
        <f aca="false">BR21-BG20+BS20</f>
        <v>70684.4596557552</v>
      </c>
      <c r="BT21" s="115" t="n">
        <f aca="false">BS21-BH20+BT20</f>
        <v>70863.6182807763</v>
      </c>
      <c r="BU21" s="115" t="n">
        <f aca="false">BT21-BI20+BU20</f>
        <v>71043.2187592987</v>
      </c>
      <c r="BV21" s="115" t="n">
        <f aca="false">BU21-BJ20+BV20</f>
        <v>71223.2621810524</v>
      </c>
      <c r="BW21" s="115" t="n">
        <f aca="false">BV21-BK20+BW20</f>
        <v>71403.7496384549</v>
      </c>
      <c r="BX21" s="115" t="n">
        <f aca="false">BW21-BL20+BX20</f>
        <v>71584.6822266178</v>
      </c>
      <c r="BY21" s="115" t="n">
        <f aca="false">BX21-BM20+BY20</f>
        <v>71766.0610433537</v>
      </c>
      <c r="BZ21" s="115" t="n">
        <f aca="false">BY21-BN20+BZ20</f>
        <v>71947.8871891827</v>
      </c>
      <c r="CA21" s="115" t="n">
        <f aca="false">BZ21-BO20+CA20</f>
        <v>72130.161767339</v>
      </c>
      <c r="CB21" s="115" t="n">
        <f aca="false">CA21-BP20+CB20</f>
        <v>72254.1127659128</v>
      </c>
      <c r="CC21" s="115" t="n">
        <f aca="false">CB21-BQ20+CC20</f>
        <v>72437.2875293165</v>
      </c>
      <c r="CD21" s="115" t="n">
        <f aca="false">CC21-BR20+CD20</f>
        <v>72620.9140511022</v>
      </c>
      <c r="CE21" s="115" t="n">
        <f aca="false">CD21-BS20+CE20</f>
        <v>72804.993445428</v>
      </c>
      <c r="CF21" s="115" t="n">
        <f aca="false">CE21-BT20+CF20</f>
        <v>72989.5268291997</v>
      </c>
      <c r="CG21" s="115" t="n">
        <f aca="false">CF21-BU20+CG20</f>
        <v>73174.5153220777</v>
      </c>
      <c r="CH21" s="115" t="n">
        <f aca="false">CG21-BV20+CH20</f>
        <v>73359.960046484</v>
      </c>
      <c r="CI21" s="115" t="n">
        <f aca="false">CH21-BW20+CI20</f>
        <v>73545.8621276086</v>
      </c>
      <c r="CJ21" s="115" t="n">
        <f aca="false">CI21-BX20+CJ20</f>
        <v>73732.2226934164</v>
      </c>
      <c r="CK21" s="115" t="n">
        <f aca="false">CJ21-BY20+CK20</f>
        <v>73919.0428746544</v>
      </c>
      <c r="CL21" s="115" t="n">
        <f aca="false">CK21-BZ20+CL20</f>
        <v>74106.3238048583</v>
      </c>
      <c r="CM21" s="115" t="n">
        <f aca="false">CL21-CA20+CM20</f>
        <v>74294.0666203592</v>
      </c>
      <c r="CN21" s="115" t="n">
        <f aca="false">CM21-CB20+CN20</f>
        <v>74421.7361488902</v>
      </c>
      <c r="CO21" s="115" t="n">
        <f aca="false">CN21-CC20+CO20</f>
        <v>74610.406155196</v>
      </c>
      <c r="CP21" s="115" t="n">
        <f aca="false">CO21-CD20+CP20</f>
        <v>74799.5414726353</v>
      </c>
      <c r="CQ21" s="115" t="n">
        <f aca="false">CP21-CE20+CQ20</f>
        <v>74989.1432487909</v>
      </c>
      <c r="CR21" s="115" t="n">
        <f aca="false">CQ21-CF20+CR20</f>
        <v>75179.2126340757</v>
      </c>
      <c r="CS21" s="115" t="n">
        <f aca="false">CR21-CG20+CS20</f>
        <v>75369.7507817401</v>
      </c>
      <c r="CT21" s="115" t="n">
        <f aca="false">CS21-CH20+CT20</f>
        <v>75560.7588478786</v>
      </c>
      <c r="CU21" s="115" t="n">
        <f aca="false">CT21-CI20+CU20</f>
        <v>75752.2379914369</v>
      </c>
      <c r="CV21" s="115" t="n">
        <f aca="false">CU21-CJ20+CV20</f>
        <v>75944.1893742189</v>
      </c>
      <c r="CW21" s="115" t="n">
        <f aca="false">CV21-CK20+CW20</f>
        <v>76136.6141608941</v>
      </c>
      <c r="CX21" s="115" t="n">
        <f aca="false">CW21-CL20+CX20</f>
        <v>76329.5135190041</v>
      </c>
      <c r="CY21" s="115" t="n">
        <f aca="false">CX21-CM20+CY20</f>
        <v>76522.8886189701</v>
      </c>
      <c r="CZ21" s="115" t="n">
        <f aca="false">CY21-CN20+CZ20</f>
        <v>76654.3882333571</v>
      </c>
      <c r="DA21" s="115" t="n">
        <f aca="false">CZ21-CO20+DA20</f>
        <v>76848.718339852</v>
      </c>
      <c r="DB21" s="115" t="n">
        <f aca="false">DA21-CP20+DB20</f>
        <v>77043.5277168145</v>
      </c>
      <c r="DC21" s="115" t="n">
        <f aca="false">DB21-CQ20+DC20</f>
        <v>77238.8175462547</v>
      </c>
      <c r="DD21" s="115" t="n">
        <f aca="false">DC21-CR20+DD20</f>
        <v>77434.5890130981</v>
      </c>
      <c r="DE21" s="115" t="n">
        <f aca="false">DD21-CS20+DE20</f>
        <v>77630.8433051925</v>
      </c>
      <c r="DF21" s="115" t="n">
        <f aca="false">DE21-CT20+DF20</f>
        <v>77827.5816133151</v>
      </c>
      <c r="DG21" s="115" t="n">
        <f aca="false">DF21-CU20+DG20</f>
        <v>78024.8051311801</v>
      </c>
      <c r="DH21" s="115" t="n">
        <f aca="false">DG21-CV20+DH20</f>
        <v>78222.5150554456</v>
      </c>
      <c r="DI21" s="115" t="n">
        <f aca="false">DH21-CW20+DI20</f>
        <v>78420.712585721</v>
      </c>
      <c r="DJ21" s="115" t="n">
        <f aca="false">DI21-CX20+DJ20</f>
        <v>78619.3989245743</v>
      </c>
      <c r="DK21" s="115" t="n">
        <f aca="false">DJ21-CY20+DK20</f>
        <v>78818.5752775393</v>
      </c>
      <c r="DL21" s="115" t="n">
        <f aca="false">DK21-CZ20+DL20</f>
        <v>78954.0198803579</v>
      </c>
      <c r="DM21" s="115" t="n">
        <f aca="false">DL21-DA20+DM20</f>
        <v>79154.1798900477</v>
      </c>
      <c r="DN21" s="115" t="n">
        <f aca="false">DM21-DB20+DN20</f>
        <v>79354.833548319</v>
      </c>
      <c r="DO21" s="115" t="n">
        <f aca="false">DN21-DC20+DO20</f>
        <v>79555.9820726424</v>
      </c>
      <c r="DP21" s="115" t="n">
        <f aca="false">DO21-DD20+DP20</f>
        <v>79757.6266834911</v>
      </c>
      <c r="DQ21" s="115" t="n">
        <f aca="false">DP21-DE20+DQ20</f>
        <v>79959.7686043483</v>
      </c>
      <c r="DR21" s="115" t="n">
        <f aca="false">DQ21-DF20+DR20</f>
        <v>80162.4090617146</v>
      </c>
      <c r="DS21" s="115" t="n">
        <f aca="false">DR21-DG20+DS20</f>
        <v>80365.5492851156</v>
      </c>
      <c r="DT21" s="115" t="n">
        <f aca="false">DS21-DH20+DT20</f>
        <v>80569.1905071091</v>
      </c>
      <c r="DU21" s="115" t="n">
        <f aca="false">DT21-DI20+DU20</f>
        <v>80773.3339632927</v>
      </c>
      <c r="DV21" s="115" t="n">
        <f aca="false">DU21-DJ20+DV20</f>
        <v>80977.9808923116</v>
      </c>
      <c r="DW21" s="115" t="n">
        <f aca="false">DV21-DK20+DW20</f>
        <v>81183.1325358655</v>
      </c>
      <c r="DX21" s="115" t="n">
        <f aca="false">DW21-DL20+DX20</f>
        <v>81322.6404767687</v>
      </c>
      <c r="DY21" s="115" t="n">
        <f aca="false">DX21-DM20+DY20</f>
        <v>81528.8052867492</v>
      </c>
      <c r="DZ21" s="115" t="n">
        <f aca="false">DY21-DN20+DZ20</f>
        <v>81735.4785547687</v>
      </c>
      <c r="EA21" s="115" t="n">
        <f aca="false">DZ21-DO20+EA20</f>
        <v>81942.6615348218</v>
      </c>
      <c r="EB21" s="115" t="n">
        <f aca="false">EA21-DP20+EB20</f>
        <v>82150.355483996</v>
      </c>
      <c r="EC21" s="115" t="n">
        <f aca="false">EB21-DQ20+EC20</f>
        <v>82358.5616624789</v>
      </c>
      <c r="ED21" s="115" t="n">
        <f aca="false">EC21-DR20+ED20</f>
        <v>82567.2813335662</v>
      </c>
      <c r="EE21" s="115" t="n">
        <f aca="false">ED21-DS20+EE20</f>
        <v>82776.5157636692</v>
      </c>
      <c r="EF21" s="115" t="n">
        <f aca="false">EE21-DT20+EF20</f>
        <v>82986.2662223224</v>
      </c>
      <c r="EG21" s="115" t="n">
        <f aca="false">EF21-DU20+EG20</f>
        <v>83196.5339821916</v>
      </c>
      <c r="EH21" s="115" t="n">
        <f aca="false">EG21-DV20+EH20</f>
        <v>83407.3203190811</v>
      </c>
      <c r="EI21" s="541" t="n">
        <f aca="false">EH21-DW20+EI20</f>
        <v>83618.6265119416</v>
      </c>
    </row>
    <row r="22" customFormat="false" ht="13.5" hidden="false" customHeight="true" outlineLevel="0" collapsed="false">
      <c r="B22" s="60"/>
      <c r="C22" s="29"/>
      <c r="D22" s="17"/>
      <c r="E22" s="19"/>
      <c r="F22" s="17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9"/>
      <c r="EJ22" s="535"/>
      <c r="EK22" s="538"/>
      <c r="EL22" s="538"/>
      <c r="EM22" s="535"/>
      <c r="EN22" s="535"/>
      <c r="EO22" s="535"/>
      <c r="EP22" s="535"/>
      <c r="EQ22" s="535"/>
      <c r="ER22" s="535"/>
      <c r="ES22" s="535"/>
      <c r="ET22" s="535"/>
    </row>
    <row r="23" s="522" customFormat="true" ht="13.5" hidden="false" customHeight="true" outlineLevel="0" collapsed="false">
      <c r="B23" s="543" t="s">
        <v>370</v>
      </c>
      <c r="C23" s="61"/>
      <c r="D23" s="421"/>
      <c r="E23" s="472"/>
      <c r="F23" s="421"/>
      <c r="G23" s="513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421"/>
      <c r="S23" s="421"/>
      <c r="T23" s="421"/>
      <c r="U23" s="421"/>
      <c r="V23" s="421"/>
      <c r="W23" s="421"/>
      <c r="X23" s="421"/>
      <c r="Y23" s="421"/>
      <c r="Z23" s="421"/>
      <c r="AA23" s="421"/>
      <c r="AB23" s="421"/>
      <c r="AC23" s="421"/>
      <c r="AD23" s="421"/>
      <c r="AE23" s="421"/>
      <c r="AF23" s="421"/>
      <c r="AG23" s="421"/>
      <c r="AH23" s="421"/>
      <c r="AI23" s="421"/>
      <c r="AJ23" s="421"/>
      <c r="AK23" s="421"/>
      <c r="AL23" s="421"/>
      <c r="AM23" s="421"/>
      <c r="AN23" s="421"/>
      <c r="AO23" s="421"/>
      <c r="AP23" s="421"/>
      <c r="AQ23" s="421"/>
      <c r="AR23" s="421"/>
      <c r="AS23" s="421"/>
      <c r="AT23" s="421"/>
      <c r="AU23" s="421"/>
      <c r="AV23" s="421"/>
      <c r="AW23" s="421"/>
      <c r="AX23" s="421"/>
      <c r="AY23" s="421"/>
      <c r="AZ23" s="421"/>
      <c r="BA23" s="421"/>
      <c r="BB23" s="421"/>
      <c r="BC23" s="421"/>
      <c r="BD23" s="421"/>
      <c r="BE23" s="421"/>
      <c r="BF23" s="421"/>
      <c r="BG23" s="421"/>
      <c r="BH23" s="421"/>
      <c r="BI23" s="421"/>
      <c r="BJ23" s="421"/>
      <c r="BK23" s="421"/>
      <c r="BL23" s="421"/>
      <c r="BM23" s="421"/>
      <c r="BN23" s="421"/>
      <c r="BO23" s="421"/>
      <c r="BP23" s="421"/>
      <c r="BQ23" s="421"/>
      <c r="BR23" s="421"/>
      <c r="BS23" s="421"/>
      <c r="BT23" s="421"/>
      <c r="BU23" s="421"/>
      <c r="BV23" s="421"/>
      <c r="BW23" s="421"/>
      <c r="BX23" s="421"/>
      <c r="BY23" s="421"/>
      <c r="BZ23" s="421"/>
      <c r="CA23" s="421"/>
      <c r="CB23" s="421"/>
      <c r="CC23" s="421"/>
      <c r="CD23" s="421"/>
      <c r="CE23" s="421"/>
      <c r="CF23" s="421"/>
      <c r="CG23" s="421"/>
      <c r="CH23" s="421"/>
      <c r="CI23" s="421"/>
      <c r="CJ23" s="421"/>
      <c r="CK23" s="421"/>
      <c r="CL23" s="421"/>
      <c r="CM23" s="421"/>
      <c r="CN23" s="421"/>
      <c r="CO23" s="421"/>
      <c r="CP23" s="421"/>
      <c r="CQ23" s="421"/>
      <c r="CR23" s="421"/>
      <c r="CS23" s="421"/>
      <c r="CT23" s="421"/>
      <c r="CU23" s="421"/>
      <c r="CV23" s="421"/>
      <c r="CW23" s="421"/>
      <c r="CX23" s="421"/>
      <c r="CY23" s="421"/>
      <c r="CZ23" s="421"/>
      <c r="DA23" s="421"/>
      <c r="DB23" s="421"/>
      <c r="DC23" s="421"/>
      <c r="DD23" s="421"/>
      <c r="DE23" s="421"/>
      <c r="DF23" s="421"/>
      <c r="DG23" s="421"/>
      <c r="DH23" s="421"/>
      <c r="DI23" s="421"/>
      <c r="DJ23" s="421"/>
      <c r="DK23" s="421"/>
      <c r="DL23" s="421"/>
      <c r="DM23" s="421"/>
      <c r="DN23" s="421"/>
      <c r="DO23" s="421"/>
      <c r="DP23" s="421"/>
      <c r="DQ23" s="421"/>
      <c r="DR23" s="421"/>
      <c r="DS23" s="421"/>
      <c r="DT23" s="421"/>
      <c r="DU23" s="421"/>
      <c r="DV23" s="421"/>
      <c r="DW23" s="421"/>
      <c r="DX23" s="421"/>
      <c r="DY23" s="421"/>
      <c r="DZ23" s="421"/>
      <c r="EA23" s="421"/>
      <c r="EB23" s="421"/>
      <c r="EC23" s="421"/>
      <c r="ED23" s="421"/>
      <c r="EE23" s="421"/>
      <c r="EF23" s="421"/>
      <c r="EG23" s="421"/>
      <c r="EH23" s="421"/>
      <c r="EI23" s="472"/>
      <c r="EJ23" s="535"/>
      <c r="EK23" s="535"/>
      <c r="EL23" s="535"/>
      <c r="EM23" s="535"/>
      <c r="EN23" s="535"/>
      <c r="EO23" s="535"/>
      <c r="EP23" s="535"/>
      <c r="EQ23" s="535"/>
      <c r="ER23" s="535"/>
      <c r="ES23" s="535"/>
      <c r="ET23" s="535"/>
    </row>
    <row r="24" s="522" customFormat="true" ht="13.5" hidden="false" customHeight="true" outlineLevel="0" collapsed="false">
      <c r="B24" s="543" t="s">
        <v>160</v>
      </c>
      <c r="C24" s="61"/>
      <c r="D24" s="421"/>
      <c r="E24" s="472"/>
      <c r="F24" s="421"/>
      <c r="G24" s="513"/>
      <c r="H24" s="421"/>
      <c r="I24" s="421"/>
      <c r="J24" s="421"/>
      <c r="K24" s="421"/>
      <c r="L24" s="421"/>
      <c r="M24" s="421"/>
      <c r="N24" s="421"/>
      <c r="O24" s="421"/>
      <c r="P24" s="421"/>
      <c r="Q24" s="421"/>
      <c r="R24" s="421"/>
      <c r="S24" s="421"/>
      <c r="T24" s="421"/>
      <c r="U24" s="421"/>
      <c r="V24" s="421"/>
      <c r="W24" s="421"/>
      <c r="X24" s="421"/>
      <c r="Y24" s="421"/>
      <c r="Z24" s="421"/>
      <c r="AA24" s="421"/>
      <c r="AB24" s="421"/>
      <c r="AC24" s="421"/>
      <c r="AD24" s="421"/>
      <c r="AE24" s="421"/>
      <c r="AF24" s="421"/>
      <c r="AG24" s="421"/>
      <c r="AH24" s="421"/>
      <c r="AI24" s="421"/>
      <c r="AJ24" s="421"/>
      <c r="AK24" s="421"/>
      <c r="AL24" s="421"/>
      <c r="AM24" s="421"/>
      <c r="AN24" s="421"/>
      <c r="AO24" s="421"/>
      <c r="AP24" s="421"/>
      <c r="AQ24" s="421"/>
      <c r="AR24" s="421"/>
      <c r="AS24" s="421"/>
      <c r="AT24" s="421"/>
      <c r="AU24" s="421"/>
      <c r="AV24" s="421"/>
      <c r="AW24" s="421"/>
      <c r="AX24" s="421"/>
      <c r="AY24" s="421"/>
      <c r="AZ24" s="421"/>
      <c r="BA24" s="421"/>
      <c r="BB24" s="421"/>
      <c r="BC24" s="421"/>
      <c r="BD24" s="421"/>
      <c r="BE24" s="421"/>
      <c r="BF24" s="421"/>
      <c r="BG24" s="421"/>
      <c r="BH24" s="421"/>
      <c r="BI24" s="421"/>
      <c r="BJ24" s="421"/>
      <c r="BK24" s="421"/>
      <c r="BL24" s="421"/>
      <c r="BM24" s="421"/>
      <c r="BN24" s="421"/>
      <c r="BO24" s="421"/>
      <c r="BP24" s="421"/>
      <c r="BQ24" s="421"/>
      <c r="BR24" s="421"/>
      <c r="BS24" s="421"/>
      <c r="BT24" s="421"/>
      <c r="BU24" s="421"/>
      <c r="BV24" s="421"/>
      <c r="BW24" s="421"/>
      <c r="BX24" s="421"/>
      <c r="BY24" s="421"/>
      <c r="BZ24" s="421"/>
      <c r="CA24" s="421"/>
      <c r="CB24" s="421"/>
      <c r="CC24" s="421"/>
      <c r="CD24" s="421"/>
      <c r="CE24" s="421"/>
      <c r="CF24" s="421"/>
      <c r="CG24" s="421"/>
      <c r="CH24" s="421"/>
      <c r="CI24" s="421"/>
      <c r="CJ24" s="421"/>
      <c r="CK24" s="421"/>
      <c r="CL24" s="421"/>
      <c r="CM24" s="421"/>
      <c r="CN24" s="421"/>
      <c r="CO24" s="421"/>
      <c r="CP24" s="421"/>
      <c r="CQ24" s="421"/>
      <c r="CR24" s="421"/>
      <c r="CS24" s="421"/>
      <c r="CT24" s="421"/>
      <c r="CU24" s="421"/>
      <c r="CV24" s="421"/>
      <c r="CW24" s="421"/>
      <c r="CX24" s="421"/>
      <c r="CY24" s="421"/>
      <c r="CZ24" s="421"/>
      <c r="DA24" s="421"/>
      <c r="DB24" s="421"/>
      <c r="DC24" s="421"/>
      <c r="DD24" s="421"/>
      <c r="DE24" s="421"/>
      <c r="DF24" s="421"/>
      <c r="DG24" s="421"/>
      <c r="DH24" s="421"/>
      <c r="DI24" s="421"/>
      <c r="DJ24" s="421"/>
      <c r="DK24" s="421"/>
      <c r="DL24" s="421"/>
      <c r="DM24" s="421"/>
      <c r="DN24" s="421"/>
      <c r="DO24" s="421"/>
      <c r="DP24" s="421"/>
      <c r="DQ24" s="421"/>
      <c r="DR24" s="421"/>
      <c r="DS24" s="421"/>
      <c r="DT24" s="421"/>
      <c r="DU24" s="421"/>
      <c r="DV24" s="421"/>
      <c r="DW24" s="421"/>
      <c r="DX24" s="421"/>
      <c r="DY24" s="421"/>
      <c r="DZ24" s="421"/>
      <c r="EA24" s="421"/>
      <c r="EB24" s="421"/>
      <c r="EC24" s="421"/>
      <c r="ED24" s="421"/>
      <c r="EE24" s="421"/>
      <c r="EF24" s="421"/>
      <c r="EG24" s="421"/>
      <c r="EH24" s="421"/>
      <c r="EI24" s="472"/>
      <c r="EK24" s="544" t="n">
        <v>1</v>
      </c>
      <c r="EL24" s="545" t="n">
        <v>2</v>
      </c>
      <c r="EM24" s="545" t="n">
        <v>3</v>
      </c>
      <c r="EN24" s="545" t="n">
        <v>4</v>
      </c>
      <c r="EO24" s="545" t="n">
        <v>5</v>
      </c>
      <c r="EP24" s="545" t="n">
        <v>6</v>
      </c>
      <c r="EQ24" s="545" t="n">
        <v>7</v>
      </c>
      <c r="ER24" s="545" t="n">
        <v>8</v>
      </c>
      <c r="ES24" s="545" t="n">
        <v>9</v>
      </c>
      <c r="ET24" s="546" t="n">
        <v>10</v>
      </c>
    </row>
    <row r="25" s="522" customFormat="true" ht="13.5" hidden="false" customHeight="true" outlineLevel="0" collapsed="false">
      <c r="B25" s="547" t="s">
        <v>70</v>
      </c>
      <c r="C25" s="61"/>
      <c r="D25" s="421"/>
      <c r="E25" s="472" t="n">
        <f aca="true">SUM(OFFSET(G25,0,0,1,'Executive Summary'!$I$13+1))</f>
        <v>4161766.87809195</v>
      </c>
      <c r="F25" s="421"/>
      <c r="G25" s="513" t="n">
        <v>0</v>
      </c>
      <c r="H25" s="421" t="n">
        <f aca="false">H11*'Executive Summary'!$C$12</f>
        <v>62212.0948854725</v>
      </c>
      <c r="I25" s="421" t="n">
        <f aca="false">I11*'Executive Summary'!$C$12</f>
        <v>62396.3730147163</v>
      </c>
      <c r="J25" s="421" t="n">
        <f aca="false">J11*'Executive Summary'!$C$12</f>
        <v>62680.9991265288</v>
      </c>
      <c r="K25" s="421" t="n">
        <f aca="false">K11*'Executive Summary'!$C$12</f>
        <v>62865.6991048183</v>
      </c>
      <c r="L25" s="421" t="n">
        <f aca="false">L11*'Executive Summary'!$C$12</f>
        <v>63150.8572665934</v>
      </c>
      <c r="M25" s="421" t="n">
        <f aca="false">M11*'Executive Summary'!$C$12</f>
        <v>63335.9797976979</v>
      </c>
      <c r="N25" s="421" t="n">
        <f aca="false">N11*'Executive Summary'!$C$12</f>
        <v>63621.670834226</v>
      </c>
      <c r="O25" s="421" t="n">
        <f aca="false">O11*'Executive Summary'!$C$12</f>
        <v>63807.2166229509</v>
      </c>
      <c r="P25" s="421" t="n">
        <f aca="false">P11*'Executive Summary'!$C$12</f>
        <v>64093.4413601916</v>
      </c>
      <c r="Q25" s="421" t="n">
        <f aca="false">Q11*'Executive Summary'!$C$12</f>
        <v>64279.4111123805</v>
      </c>
      <c r="R25" s="421" t="n">
        <f aca="false">R11*'Executive Summary'!$C$12</f>
        <v>64566.1703774643</v>
      </c>
      <c r="S25" s="421" t="n">
        <f aca="false">S11*'Executive Summary'!$C$12</f>
        <v>64752.5647999999</v>
      </c>
      <c r="T25" s="421" t="n">
        <f aca="false">T11*'Executive Summary'!$C$12</f>
        <v>65178.224645877</v>
      </c>
      <c r="U25" s="421" t="n">
        <f aca="false">U11*'Executive Summary'!$C$12</f>
        <v>65605.6993864132</v>
      </c>
      <c r="V25" s="421" t="n">
        <f aca="false">V11*'Executive Summary'!$C$12</f>
        <v>66034.9956880022</v>
      </c>
      <c r="W25" s="421" t="n">
        <f aca="false">W11*'Executive Summary'!$C$12</f>
        <v>66466.120239723</v>
      </c>
      <c r="X25" s="421" t="n">
        <f aca="false">X11*'Executive Summary'!$C$12</f>
        <v>66899.0797534139</v>
      </c>
      <c r="Y25" s="421" t="n">
        <f aca="false">Y11*'Executive Summary'!$C$12</f>
        <v>67333.880963746</v>
      </c>
      <c r="Z25" s="421" t="n">
        <f aca="false">Z11*'Executive Summary'!$C$12</f>
        <v>67770.5306282977</v>
      </c>
      <c r="AA25" s="421" t="n">
        <f aca="false">AA11*'Executive Summary'!$C$12</f>
        <v>68054.7815876766</v>
      </c>
      <c r="AB25" s="421" t="n">
        <f aca="false">AB11*'Executive Summary'!$C$12</f>
        <v>68236.9574987573</v>
      </c>
      <c r="AC25" s="421" t="n">
        <f aca="false">AC11*'Executive Summary'!$C$12</f>
        <v>68419.6210767116</v>
      </c>
      <c r="AD25" s="421" t="n">
        <f aca="false">AD11*'Executive Summary'!$C$12</f>
        <v>68602.7736269757</v>
      </c>
      <c r="AE25" s="421" t="n">
        <f aca="false">AE11*'Executive Summary'!$C$12</f>
        <v>68786.4164584798</v>
      </c>
      <c r="AF25" s="421" t="n">
        <f aca="false">AF11*'Executive Summary'!$C$12</f>
        <v>68956.0623181364</v>
      </c>
      <c r="AG25" s="421" t="n">
        <f aca="false">AG11*'Executive Summary'!$C$12</f>
        <v>69126.1265702487</v>
      </c>
      <c r="AH25" s="421" t="n">
        <f aca="false">AH11*'Executive Summary'!$C$12</f>
        <v>69296.6102466854</v>
      </c>
      <c r="AI25" s="421" t="n">
        <f aca="false">AI11*'Executive Summary'!$C$12</f>
        <v>69467.5143818599</v>
      </c>
      <c r="AJ25" s="421" t="n">
        <f aca="false">AJ11*'Executive Summary'!$C$12</f>
        <v>69638.8400127369</v>
      </c>
      <c r="AK25" s="421" t="n">
        <f aca="false">AK11*'Executive Summary'!$C$12</f>
        <v>69810.5881788387</v>
      </c>
      <c r="AL25" s="421" t="n">
        <f aca="false">AL11*'Executive Summary'!$C$12</f>
        <v>69982.7599222509</v>
      </c>
      <c r="AM25" s="421" t="n">
        <f aca="false">AM11*'Executive Summary'!$C$12</f>
        <v>70155.3562876295</v>
      </c>
      <c r="AN25" s="421" t="n">
        <f aca="false">AN11*'Executive Summary'!$C$12</f>
        <v>70328.3783222069</v>
      </c>
      <c r="AO25" s="421" t="n">
        <f aca="false">AO11*'Executive Summary'!$C$12</f>
        <v>70501.8270757981</v>
      </c>
      <c r="AP25" s="421" t="n">
        <f aca="false">AP11*'Executive Summary'!$C$12</f>
        <v>70675.7036008073</v>
      </c>
      <c r="AQ25" s="421" t="n">
        <f aca="false">AQ11*'Executive Summary'!$C$12</f>
        <v>70850.0089522343</v>
      </c>
      <c r="AR25" s="421" t="n">
        <f aca="false">AR11*'Executive Summary'!$C$12</f>
        <v>71024.7441876806</v>
      </c>
      <c r="AS25" s="421" t="n">
        <f aca="false">AS11*'Executive Summary'!$C$12</f>
        <v>71199.9103673563</v>
      </c>
      <c r="AT25" s="421" t="n">
        <f aca="false">AT11*'Executive Summary'!$C$12</f>
        <v>71375.508554086</v>
      </c>
      <c r="AU25" s="421" t="n">
        <f aca="false">AU11*'Executive Summary'!$C$12</f>
        <v>71551.5398133158</v>
      </c>
      <c r="AV25" s="421" t="n">
        <f aca="false">AV11*'Executive Summary'!$C$12</f>
        <v>71728.0052131191</v>
      </c>
      <c r="AW25" s="421" t="n">
        <f aca="false">AW11*'Executive Summary'!$C$12</f>
        <v>71904.9058242039</v>
      </c>
      <c r="AX25" s="421" t="n">
        <f aca="false">AX11*'Executive Summary'!$C$12</f>
        <v>72082.2427199185</v>
      </c>
      <c r="AY25" s="421" t="n">
        <f aca="false">AY11*'Executive Summary'!$C$12</f>
        <v>72260.0169762585</v>
      </c>
      <c r="AZ25" s="421" t="n">
        <f aca="false">AZ11*'Executive Summary'!$C$12</f>
        <v>72438.2296718732</v>
      </c>
      <c r="BA25" s="421" t="n">
        <f aca="false">BA11*'Executive Summary'!$C$12</f>
        <v>72616.8818880721</v>
      </c>
      <c r="BB25" s="421" t="n">
        <f aca="false">BB11*'Executive Summary'!$C$12</f>
        <v>72795.9747088316</v>
      </c>
      <c r="BC25" s="421" t="n">
        <f aca="false">BC11*'Executive Summary'!$C$12</f>
        <v>72975.5092208013</v>
      </c>
      <c r="BD25" s="421" t="n">
        <f aca="false">BD11*'Executive Summary'!$C$12</f>
        <v>73155.4865133111</v>
      </c>
      <c r="BE25" s="421" t="n">
        <f aca="false">BE11*'Executive Summary'!$C$12</f>
        <v>73335.907678377</v>
      </c>
      <c r="BF25" s="421" t="n">
        <f aca="false">BF11*'Executive Summary'!$C$12</f>
        <v>73516.7738107087</v>
      </c>
      <c r="BG25" s="421" t="n">
        <f aca="false">BG11*'Executive Summary'!$C$12</f>
        <v>73698.0860077153</v>
      </c>
      <c r="BH25" s="421" t="n">
        <f aca="false">BH11*'Executive Summary'!$C$12</f>
        <v>73879.8453695128</v>
      </c>
      <c r="BI25" s="421" t="n">
        <f aca="false">BI11*'Executive Summary'!$C$12</f>
        <v>74062.0529989301</v>
      </c>
      <c r="BJ25" s="421" t="n">
        <f aca="false">BJ11*'Executive Summary'!$C$12</f>
        <v>74244.7100015161</v>
      </c>
      <c r="BK25" s="421" t="n">
        <f aca="false">BK11*'Executive Summary'!$C$12</f>
        <v>74427.8174855463</v>
      </c>
      <c r="BL25" s="421" t="n">
        <f aca="false">BL11*'Executive Summary'!$C$12</f>
        <v>74611.3765620294</v>
      </c>
      <c r="BM25" s="421" t="n">
        <f aca="false">BM11*'Executive Summary'!$C$12</f>
        <v>74795.3883447143</v>
      </c>
      <c r="BN25" s="421" t="n">
        <f aca="false">BN11*'Executive Summary'!$C$12</f>
        <v>74979.8539500966</v>
      </c>
      <c r="BO25" s="421" t="n">
        <f aca="false">BO11*'Executive Summary'!$C$12</f>
        <v>75164.7744974255</v>
      </c>
      <c r="BP25" s="421" t="n">
        <f aca="false">BP11*'Executive Summary'!$C$12</f>
        <v>75350.1511087105</v>
      </c>
      <c r="BQ25" s="421" t="n">
        <f aca="false">BQ11*'Executive Summary'!$C$12</f>
        <v>75535.9849087284</v>
      </c>
      <c r="BR25" s="421" t="n">
        <f aca="false">BR11*'Executive Summary'!$C$12</f>
        <v>75722.27702503</v>
      </c>
      <c r="BS25" s="421" t="n">
        <f aca="false">BS11*'Executive Summary'!$C$12</f>
        <v>75909.0285879468</v>
      </c>
      <c r="BT25" s="421" t="n">
        <f aca="false">BT11*'Executive Summary'!$C$12</f>
        <v>76096.2407305982</v>
      </c>
      <c r="BU25" s="421" t="n">
        <f aca="false">BU11*'Executive Summary'!$C$12</f>
        <v>76283.914588898</v>
      </c>
      <c r="BV25" s="421" t="n">
        <f aca="false">BV11*'Executive Summary'!$C$12</f>
        <v>76472.0513015616</v>
      </c>
      <c r="BW25" s="421" t="n">
        <f aca="false">BW11*'Executive Summary'!$C$12</f>
        <v>76660.6520101127</v>
      </c>
      <c r="BX25" s="421" t="n">
        <f aca="false">BX11*'Executive Summary'!$C$12</f>
        <v>76849.7178588904</v>
      </c>
      <c r="BY25" s="421" t="n">
        <f aca="false">BY11*'Executive Summary'!$C$12</f>
        <v>77039.2499950558</v>
      </c>
      <c r="BZ25" s="421" t="n">
        <f aca="false">BZ11*'Executive Summary'!$C$12</f>
        <v>77229.2495685996</v>
      </c>
      <c r="CA25" s="421" t="n">
        <f aca="false">CA11*'Executive Summary'!$C$12</f>
        <v>77419.7177323483</v>
      </c>
      <c r="CB25" s="421" t="n">
        <f aca="false">CB11*'Executive Summary'!$C$12</f>
        <v>77610.6556419719</v>
      </c>
      <c r="CC25" s="421" t="n">
        <f aca="false">CC11*'Executive Summary'!$C$12</f>
        <v>77802.0644559903</v>
      </c>
      <c r="CD25" s="421" t="n">
        <f aca="false">CD11*'Executive Summary'!$C$12</f>
        <v>77993.945335781</v>
      </c>
      <c r="CE25" s="421" t="n">
        <f aca="false">CE11*'Executive Summary'!$C$12</f>
        <v>78186.2994455853</v>
      </c>
      <c r="CF25" s="421" t="n">
        <f aca="false">CF11*'Executive Summary'!$C$12</f>
        <v>78379.1279525163</v>
      </c>
      <c r="CG25" s="421" t="n">
        <f aca="false">CG11*'Executive Summary'!$C$12</f>
        <v>78572.4320265651</v>
      </c>
      <c r="CH25" s="421" t="n">
        <f aca="false">CH11*'Executive Summary'!$C$12</f>
        <v>78766.2128406086</v>
      </c>
      <c r="CI25" s="421" t="n">
        <f aca="false">CI11*'Executive Summary'!$C$12</f>
        <v>78960.4715704162</v>
      </c>
      <c r="CJ25" s="421" t="n">
        <f aca="false">CJ11*'Executive Summary'!$C$12</f>
        <v>79155.2093946572</v>
      </c>
      <c r="CK25" s="421" t="n">
        <f aca="false">CK11*'Executive Summary'!$C$12</f>
        <v>79350.4274949076</v>
      </c>
      <c r="CL25" s="421" t="n">
        <f aca="false">CL11*'Executive Summary'!$C$12</f>
        <v>79546.1270556577</v>
      </c>
      <c r="CM25" s="421" t="n">
        <f aca="false">CM11*'Executive Summary'!$C$12</f>
        <v>79742.3092643188</v>
      </c>
      <c r="CN25" s="421" t="n">
        <f aca="false">CN11*'Executive Summary'!$C$12</f>
        <v>79938.9753112311</v>
      </c>
      <c r="CO25" s="421" t="n">
        <f aca="false">CO11*'Executive Summary'!$C$12</f>
        <v>80136.1263896701</v>
      </c>
      <c r="CP25" s="421" t="n">
        <f aca="false">CP11*'Executive Summary'!$C$12</f>
        <v>80333.7636958545</v>
      </c>
      <c r="CQ25" s="421" t="n">
        <f aca="false">CQ11*'Executive Summary'!$C$12</f>
        <v>80531.888428953</v>
      </c>
      <c r="CR25" s="421" t="n">
        <f aca="false">CR11*'Executive Summary'!$C$12</f>
        <v>80730.5017910918</v>
      </c>
      <c r="CS25" s="421" t="n">
        <f aca="false">CS11*'Executive Summary'!$C$12</f>
        <v>80929.6049873621</v>
      </c>
      <c r="CT25" s="421" t="n">
        <f aca="false">CT11*'Executive Summary'!$C$12</f>
        <v>81129.1992258269</v>
      </c>
      <c r="CU25" s="421" t="n">
        <f aca="false">CU11*'Executive Summary'!$C$12</f>
        <v>81329.2857175288</v>
      </c>
      <c r="CV25" s="421" t="n">
        <f aca="false">CV11*'Executive Summary'!$C$12</f>
        <v>81529.865676497</v>
      </c>
      <c r="CW25" s="421" t="n">
        <f aca="false">CW11*'Executive Summary'!$C$12</f>
        <v>81730.9403197549</v>
      </c>
      <c r="CX25" s="421" t="n">
        <f aca="false">CX11*'Executive Summary'!$C$12</f>
        <v>81932.5108673275</v>
      </c>
      <c r="CY25" s="421" t="n">
        <f aca="false">CY11*'Executive Summary'!$C$12</f>
        <v>82134.5785422485</v>
      </c>
      <c r="CZ25" s="421" t="n">
        <f aca="false">CZ11*'Executive Summary'!$C$12</f>
        <v>82337.1445705682</v>
      </c>
      <c r="DA25" s="421" t="n">
        <f aca="false">DA11*'Executive Summary'!$C$12</f>
        <v>82540.2101813603</v>
      </c>
      <c r="DB25" s="421" t="n">
        <f aca="false">DB11*'Executive Summary'!$C$12</f>
        <v>82743.7766067302</v>
      </c>
      <c r="DC25" s="421" t="n">
        <f aca="false">DC11*'Executive Summary'!$C$12</f>
        <v>82947.8450818217</v>
      </c>
      <c r="DD25" s="421" t="n">
        <f aca="false">DD11*'Executive Summary'!$C$12</f>
        <v>83152.4168448247</v>
      </c>
      <c r="DE25" s="421" t="n">
        <f aca="false">DE11*'Executive Summary'!$C$12</f>
        <v>83357.493136983</v>
      </c>
      <c r="DF25" s="421" t="n">
        <f aca="false">DF11*'Executive Summary'!$C$12</f>
        <v>83563.0752026018</v>
      </c>
      <c r="DG25" s="421" t="n">
        <f aca="false">DG11*'Executive Summary'!$C$12</f>
        <v>83769.1642890547</v>
      </c>
      <c r="DH25" s="421" t="n">
        <f aca="false">DH11*'Executive Summary'!$C$12</f>
        <v>83975.761646792</v>
      </c>
      <c r="DI25" s="421" t="n">
        <f aca="false">DI11*'Executive Summary'!$C$12</f>
        <v>84182.8685293476</v>
      </c>
      <c r="DJ25" s="421" t="n">
        <f aca="false">DJ11*'Executive Summary'!$C$12</f>
        <v>84390.4861933473</v>
      </c>
      <c r="DK25" s="421" t="n">
        <f aca="false">DK11*'Executive Summary'!$C$12</f>
        <v>84598.615898516</v>
      </c>
      <c r="DL25" s="421" t="n">
        <f aca="false">DL11*'Executive Summary'!$C$12</f>
        <v>84807.2589076853</v>
      </c>
      <c r="DM25" s="421" t="n">
        <f aca="false">DM11*'Executive Summary'!$C$12</f>
        <v>85016.4164868012</v>
      </c>
      <c r="DN25" s="421" t="n">
        <f aca="false">DN11*'Executive Summary'!$C$12</f>
        <v>85226.0899049322</v>
      </c>
      <c r="DO25" s="421" t="n">
        <f aca="false">DO11*'Executive Summary'!$C$12</f>
        <v>85436.2804342764</v>
      </c>
      <c r="DP25" s="421" t="n">
        <f aca="false">DP11*'Executive Summary'!$C$12</f>
        <v>85646.9893501695</v>
      </c>
      <c r="DQ25" s="421" t="n">
        <f aca="false">DQ11*'Executive Summary'!$C$12</f>
        <v>85858.2179310926</v>
      </c>
      <c r="DR25" s="421" t="n">
        <f aca="false">DR11*'Executive Summary'!$C$12</f>
        <v>86069.96745868</v>
      </c>
      <c r="DS25" s="421" t="n">
        <f aca="false">DS11*'Executive Summary'!$C$12</f>
        <v>86282.2392177265</v>
      </c>
      <c r="DT25" s="421" t="n">
        <f aca="false">DT11*'Executive Summary'!$C$12</f>
        <v>86495.0344961958</v>
      </c>
      <c r="DU25" s="421" t="n">
        <f aca="false">DU11*'Executive Summary'!$C$12</f>
        <v>86708.3545852282</v>
      </c>
      <c r="DV25" s="421" t="n">
        <f aca="false">DV11*'Executive Summary'!$C$12</f>
        <v>86922.2007791479</v>
      </c>
      <c r="DW25" s="421" t="n">
        <f aca="false">DW11*'Executive Summary'!$C$12</f>
        <v>87136.5743754716</v>
      </c>
      <c r="DX25" s="421" t="n">
        <f aca="false">DX11*'Executive Summary'!$C$12</f>
        <v>87351.4766749159</v>
      </c>
      <c r="DY25" s="421" t="n">
        <f aca="false">DY11*'Executive Summary'!$C$12</f>
        <v>87566.9089814054</v>
      </c>
      <c r="DZ25" s="421" t="n">
        <f aca="false">DZ11*'Executive Summary'!$C$12</f>
        <v>87782.8726020803</v>
      </c>
      <c r="EA25" s="421" t="n">
        <f aca="false">EA11*'Executive Summary'!$C$12</f>
        <v>87999.3688473048</v>
      </c>
      <c r="EB25" s="421" t="n">
        <f aca="false">EB11*'Executive Summary'!$C$12</f>
        <v>88216.3990306747</v>
      </c>
      <c r="EC25" s="421" t="n">
        <f aca="false">EC11*'Executive Summary'!$C$12</f>
        <v>88433.9644690255</v>
      </c>
      <c r="ED25" s="421" t="n">
        <f aca="false">ED11*'Executive Summary'!$C$12</f>
        <v>88652.0664824404</v>
      </c>
      <c r="EE25" s="421" t="n">
        <f aca="false">EE11*'Executive Summary'!$C$12</f>
        <v>88870.7063942583</v>
      </c>
      <c r="EF25" s="421" t="n">
        <f aca="false">EF11*'Executive Summary'!$C$12</f>
        <v>89089.8855310818</v>
      </c>
      <c r="EG25" s="421" t="n">
        <f aca="false">EG11*'Executive Summary'!$C$12</f>
        <v>89309.6052227851</v>
      </c>
      <c r="EH25" s="421" t="n">
        <f aca="false">EH11*'Executive Summary'!$C$12</f>
        <v>89529.8668025224</v>
      </c>
      <c r="EI25" s="472" t="n">
        <f aca="false">EI11*'Executive Summary'!$C$12</f>
        <v>89750.6716067358</v>
      </c>
      <c r="EK25" s="513" t="n">
        <f aca="true">SUM(OFFSET($G25,0,EK$24*12-11,1,12))</f>
        <v>761762.478303041</v>
      </c>
      <c r="EL25" s="421" t="n">
        <f aca="true">SUM(OFFSET($G25,0,EL$24*12-11,1,12))</f>
        <v>807389.081554074</v>
      </c>
      <c r="EM25" s="421" t="n">
        <f aca="true">SUM(OFFSET($G25,0,EM$24*12-11,1,12))</f>
        <v>838789.775869433</v>
      </c>
      <c r="EN25" s="421" t="n">
        <f aca="true">SUM(OFFSET($G25,0,EN$24*12-11,1,12))</f>
        <v>863953.469145517</v>
      </c>
      <c r="EO25" s="421" t="n">
        <f aca="true">SUM(OFFSET($G25,0,EO$24*12-11,1,12))</f>
        <v>889872.073219883</v>
      </c>
      <c r="EP25" s="421" t="n">
        <f aca="true">SUM(OFFSET($G25,0,EP$24*12-11,1,12))</f>
        <v>916568.23541648</v>
      </c>
      <c r="EQ25" s="421" t="n">
        <f aca="true">SUM(OFFSET($G25,0,EQ$24*12-11,1,12))</f>
        <v>944065.282478976</v>
      </c>
      <c r="ER25" s="421" t="n">
        <f aca="true">SUM(OFFSET($G25,0,ER$24*12-11,1,12))</f>
        <v>972387.240953346</v>
      </c>
      <c r="ES25" s="421" t="n">
        <f aca="true">SUM(OFFSET($G25,0,ES$24*12-11,1,12))</f>
        <v>1001558.85818195</v>
      </c>
      <c r="ET25" s="472" t="n">
        <f aca="true">SUM(OFFSET($G25,0,ET$24*12-11,1,12))</f>
        <v>1031605.62392741</v>
      </c>
    </row>
    <row r="26" s="522" customFormat="true" ht="13.5" hidden="false" customHeight="true" outlineLevel="0" collapsed="false">
      <c r="B26" s="548" t="s">
        <v>371</v>
      </c>
      <c r="C26" s="79"/>
      <c r="D26" s="478"/>
      <c r="E26" s="479" t="n">
        <f aca="true">SUM(OFFSET(G26,0,0,1,'Executive Summary'!$I$13+1))</f>
        <v>-62384.0968517929</v>
      </c>
      <c r="F26" s="421"/>
      <c r="G26" s="549" t="n">
        <v>0</v>
      </c>
      <c r="H26" s="478" t="n">
        <f aca="false">H21-(H12*H25)</f>
        <v>-2304.21159122153</v>
      </c>
      <c r="I26" s="478" t="n">
        <f aca="false">I21/I12-I25</f>
        <v>-2241.28633650195</v>
      </c>
      <c r="J26" s="478" t="n">
        <f aca="false">J21/J12-J25</f>
        <v>-2032.90206164489</v>
      </c>
      <c r="K26" s="478" t="n">
        <f aca="false">K21/K12-K25</f>
        <v>-1827.68663937607</v>
      </c>
      <c r="L26" s="478" t="n">
        <f aca="false">L21/L12-L25</f>
        <v>-1613.69321662918</v>
      </c>
      <c r="M26" s="478" t="n">
        <f aca="false">M21/M12-M25</f>
        <v>-1402.87224319722</v>
      </c>
      <c r="N26" s="478" t="n">
        <f aca="false">N21/N12-N25</f>
        <v>-1183.26376053575</v>
      </c>
      <c r="O26" s="478" t="n">
        <f aca="false">O21/O12-O25</f>
        <v>-966.831327993699</v>
      </c>
      <c r="P26" s="478" t="n">
        <f aca="false">P21/P12-P25</f>
        <v>-741.601867172001</v>
      </c>
      <c r="Q26" s="478" t="n">
        <f aca="false">Q21/Q12-Q25</f>
        <v>-519.552061356604</v>
      </c>
      <c r="R26" s="478" t="n">
        <f aca="false">R21/R12-R25</f>
        <v>-288.695697901625</v>
      </c>
      <c r="S26" s="478" t="n">
        <f aca="false">S21/S12-S25</f>
        <v>-61.0225984268545</v>
      </c>
      <c r="T26" s="478" t="n">
        <f aca="false">T21/T12-T25</f>
        <v>-220.589691471723</v>
      </c>
      <c r="U26" s="478" t="n">
        <f aca="false">U21/U12-U25</f>
        <v>-402.483496642853</v>
      </c>
      <c r="V26" s="478" t="n">
        <f aca="false">V21/V12-V25</f>
        <v>-679.964110197878</v>
      </c>
      <c r="W26" s="478" t="n">
        <f aca="false">W21/W12-W25</f>
        <v>-840.785656779859</v>
      </c>
      <c r="X26" s="478" t="n">
        <f aca="false">X21/X12-X25</f>
        <v>-1097.24481455611</v>
      </c>
      <c r="Y26" s="478" t="n">
        <f aca="false">Y21/Y12-Y25</f>
        <v>-1236.86274020426</v>
      </c>
      <c r="Z26" s="478" t="n">
        <f aca="false">Z21/Z12-Z25</f>
        <v>-1472.16886130365</v>
      </c>
      <c r="AA26" s="478" t="n">
        <f aca="false">AA21/AA12-AA25</f>
        <v>-1436.19717035885</v>
      </c>
      <c r="AB26" s="478" t="n">
        <f aca="false">AB21/AB12-AB25</f>
        <v>-1392.02695224839</v>
      </c>
      <c r="AC26" s="478" t="n">
        <f aca="false">AC21/AC12-AC25</f>
        <v>-1229.26854709271</v>
      </c>
      <c r="AD26" s="478" t="n">
        <f aca="false">AD21/AD12-AD25</f>
        <v>-1160.91210093969</v>
      </c>
      <c r="AE26" s="478" t="n">
        <f aca="false">AE21/AE12-AE25</f>
        <v>-973.772763594476</v>
      </c>
      <c r="AF26" s="478" t="n">
        <f aca="false">AF21/AF12-AF25</f>
        <v>-1017.78021694736</v>
      </c>
      <c r="AG26" s="478" t="n">
        <f aca="false">AG21/AG12-AG25</f>
        <v>-1003.38073779012</v>
      </c>
      <c r="AH26" s="478" t="n">
        <f aca="false">AH21/AH12-AH25</f>
        <v>-990.153653423709</v>
      </c>
      <c r="AI26" s="478" t="n">
        <f aca="false">AI21/AI12-AI25</f>
        <v>-978.105088739452</v>
      </c>
      <c r="AJ26" s="478" t="n">
        <f aca="false">AJ21/AJ12-AJ25</f>
        <v>-967.241192390051</v>
      </c>
      <c r="AK26" s="478" t="n">
        <f aca="false">AK21/AK12-AK25</f>
        <v>-957.568136871138</v>
      </c>
      <c r="AL26" s="478" t="n">
        <f aca="false">AL21/AL12-AL25</f>
        <v>-949.092118603439</v>
      </c>
      <c r="AM26" s="478" t="n">
        <f aca="false">AM21/AM12-AM25</f>
        <v>-941.819358015069</v>
      </c>
      <c r="AN26" s="478" t="n">
        <f aca="false">AN21/AN12-AN25</f>
        <v>-935.756099624021</v>
      </c>
      <c r="AO26" s="478" t="n">
        <f aca="false">AO21/AO12-AO25</f>
        <v>-930.908612121129</v>
      </c>
      <c r="AP26" s="478" t="n">
        <f aca="false">AP21/AP12-AP25</f>
        <v>-927.283188453032</v>
      </c>
      <c r="AQ26" s="478" t="n">
        <f aca="false">AQ21/AQ12-AQ25</f>
        <v>-924.886145905606</v>
      </c>
      <c r="AR26" s="478" t="n">
        <f aca="false">AR21/AR12-AR25</f>
        <v>-979.459599028487</v>
      </c>
      <c r="AS26" s="478" t="n">
        <f aca="false">AS21/AS12-AS25</f>
        <v>-977.050718393904</v>
      </c>
      <c r="AT26" s="478" t="n">
        <f aca="false">AT21/AT12-AT25</f>
        <v>-974.635896809865</v>
      </c>
      <c r="AU26" s="478" t="n">
        <f aca="false">AU21/AU12-AU25</f>
        <v>-972.21511962435</v>
      </c>
      <c r="AV26" s="478" t="n">
        <f aca="false">AV21/AV12-AV25</f>
        <v>-969.788372149225</v>
      </c>
      <c r="AW26" s="478" t="n">
        <f aca="false">AW21/AW12-AW25</f>
        <v>-967.355639660149</v>
      </c>
      <c r="AX26" s="478" t="n">
        <f aca="false">AX21/AX12-AX25</f>
        <v>-964.916907396488</v>
      </c>
      <c r="AY26" s="478" t="n">
        <f aca="false">AY21/AY12-AY25</f>
        <v>-962.472160561156</v>
      </c>
      <c r="AZ26" s="478" t="n">
        <f aca="false">AZ21/AZ12-AZ25</f>
        <v>-960.021384320615</v>
      </c>
      <c r="BA26" s="478" t="n">
        <f aca="false">BA21/BA12-BA25</f>
        <v>-957.564563804684</v>
      </c>
      <c r="BB26" s="478" t="n">
        <f aca="false">BB21/BB12-BB25</f>
        <v>-955.101684106601</v>
      </c>
      <c r="BC26" s="478" t="n">
        <f aca="false">BC21/BC12-BC25</f>
        <v>-952.632730282741</v>
      </c>
      <c r="BD26" s="478" t="n">
        <f aca="false">BD21/BD12-BD25</f>
        <v>-1008.84338699933</v>
      </c>
      <c r="BE26" s="478" t="n">
        <f aca="false">BE21/BE12-BE25</f>
        <v>-1006.36223994574</v>
      </c>
      <c r="BF26" s="478" t="n">
        <f aca="false">BF21/BF12-BF25</f>
        <v>-1003.87497371416</v>
      </c>
      <c r="BG26" s="478" t="n">
        <f aca="false">BG21/BG12-BG25</f>
        <v>-1001.38157321309</v>
      </c>
      <c r="BH26" s="478" t="n">
        <f aca="false">BH21/BH12-BH25</f>
        <v>-998.882023313709</v>
      </c>
      <c r="BI26" s="478" t="n">
        <f aca="false">BI21/BI12-BI25</f>
        <v>-996.376308849984</v>
      </c>
      <c r="BJ26" s="478" t="n">
        <f aca="false">BJ21/BJ12-BJ25</f>
        <v>-993.864414618409</v>
      </c>
      <c r="BK26" s="478" t="n">
        <f aca="false">BK21/BK12-BK25</f>
        <v>-991.346325378021</v>
      </c>
      <c r="BL26" s="478" t="n">
        <f aca="false">BL21/BL12-BL25</f>
        <v>-988.822025850241</v>
      </c>
      <c r="BM26" s="478" t="n">
        <f aca="false">BM21/BM12-BM25</f>
        <v>-986.291500718842</v>
      </c>
      <c r="BN26" s="478" t="n">
        <f aca="false">BN21/BN12-BN25</f>
        <v>-983.754734629838</v>
      </c>
      <c r="BO26" s="478" t="n">
        <f aca="false">BO21/BO12-BO25</f>
        <v>-981.211712191274</v>
      </c>
      <c r="BP26" s="478" t="n">
        <f aca="false">BP21/BP12-BP25</f>
        <v>-1039.10868860935</v>
      </c>
      <c r="BQ26" s="478" t="n">
        <f aca="false">BQ21/BQ12-BQ25</f>
        <v>-1036.55310714415</v>
      </c>
      <c r="BR26" s="478" t="n">
        <f aca="false">BR21/BR12-BR25</f>
        <v>-1033.99122292564</v>
      </c>
      <c r="BS26" s="478" t="n">
        <f aca="false">BS21/BS12-BS25</f>
        <v>-1031.42302040951</v>
      </c>
      <c r="BT26" s="478" t="n">
        <f aca="false">BT21/BT12-BT25</f>
        <v>-1028.84848401314</v>
      </c>
      <c r="BU26" s="478" t="n">
        <f aca="false">BU21/BU12-BU25</f>
        <v>-1026.26759811549</v>
      </c>
      <c r="BV26" s="478" t="n">
        <f aca="false">BV21/BV12-BV25</f>
        <v>-1023.68034705697</v>
      </c>
      <c r="BW26" s="478" t="n">
        <f aca="false">BW21/BW12-BW25</f>
        <v>-1021.08671513938</v>
      </c>
      <c r="BX26" s="478" t="n">
        <f aca="false">BX21/BX12-BX25</f>
        <v>-1018.48668662577</v>
      </c>
      <c r="BY26" s="478" t="n">
        <f aca="false">BY21/BY12-BY25</f>
        <v>-1015.88024574044</v>
      </c>
      <c r="BZ26" s="478" t="n">
        <f aca="false">BZ21/BZ12-BZ25</f>
        <v>-1013.26737666872</v>
      </c>
      <c r="CA26" s="478" t="n">
        <f aca="false">CA21/CA12-CA25</f>
        <v>-1010.648063557</v>
      </c>
      <c r="CB26" s="478" t="n">
        <f aca="false">CB21/CB12-CB25</f>
        <v>-1070.28194926764</v>
      </c>
      <c r="CC26" s="478" t="n">
        <f aca="false">CC21/CC12-CC25</f>
        <v>-1067.64970035847</v>
      </c>
      <c r="CD26" s="478" t="n">
        <f aca="false">CD21/CD12-CD25</f>
        <v>-1065.01095961341</v>
      </c>
      <c r="CE26" s="478" t="n">
        <f aca="false">CE21/CE12-CE25</f>
        <v>-1062.3657110218</v>
      </c>
      <c r="CF26" s="478" t="n">
        <f aca="false">CF21/CF12-CF25</f>
        <v>-1059.71393853356</v>
      </c>
      <c r="CG26" s="478" t="n">
        <f aca="false">CG21/CG12-CG25</f>
        <v>-1057.05562605898</v>
      </c>
      <c r="CH26" s="478" t="n">
        <f aca="false">CH21/CH12-CH25</f>
        <v>-1054.3907574687</v>
      </c>
      <c r="CI26" s="478" t="n">
        <f aca="false">CI21/CI12-CI25</f>
        <v>-1051.71931659356</v>
      </c>
      <c r="CJ26" s="478" t="n">
        <f aca="false">CJ21/CJ12-CJ25</f>
        <v>-1049.04128722457</v>
      </c>
      <c r="CK26" s="478" t="n">
        <f aca="false">CK21/CK12-CK25</f>
        <v>-1046.35665311267</v>
      </c>
      <c r="CL26" s="478" t="n">
        <f aca="false">CL21/CL12-CL25</f>
        <v>-1043.66539796881</v>
      </c>
      <c r="CM26" s="478" t="n">
        <f aca="false">CM21/CM12-CM25</f>
        <v>-1040.96750546376</v>
      </c>
      <c r="CN26" s="478" t="n">
        <f aca="false">CN21/CN12-CN25</f>
        <v>-1102.39040774568</v>
      </c>
      <c r="CO26" s="478" t="n">
        <f aca="false">CO21/CO12-CO25</f>
        <v>-1099.67919136926</v>
      </c>
      <c r="CP26" s="478" t="n">
        <f aca="false">CP21/CP12-CP25</f>
        <v>-1096.96128840184</v>
      </c>
      <c r="CQ26" s="478" t="n">
        <f aca="false">CQ21/CQ12-CQ25</f>
        <v>-1094.23668235248</v>
      </c>
      <c r="CR26" s="478" t="n">
        <f aca="false">CR21/CR12-CR25</f>
        <v>-1091.50535668958</v>
      </c>
      <c r="CS26" s="478" t="n">
        <f aca="false">CS21/CS12-CS25</f>
        <v>-1088.76729484076</v>
      </c>
      <c r="CT26" s="478" t="n">
        <f aca="false">CT21/CT12-CT25</f>
        <v>-1086.02248019277</v>
      </c>
      <c r="CU26" s="478" t="n">
        <f aca="false">CU21/CU12-CU25</f>
        <v>-1083.27089609139</v>
      </c>
      <c r="CV26" s="478" t="n">
        <f aca="false">CV21/CV12-CV25</f>
        <v>-1080.5125258413</v>
      </c>
      <c r="CW26" s="478" t="n">
        <f aca="false">CW21/CW12-CW25</f>
        <v>-1077.74735270605</v>
      </c>
      <c r="CX26" s="478" t="n">
        <f aca="false">CX21/CX12-CX25</f>
        <v>-1074.9753599079</v>
      </c>
      <c r="CY26" s="478" t="n">
        <f aca="false">CY21/CY12-CY25</f>
        <v>-1072.19653062767</v>
      </c>
      <c r="CZ26" s="478" t="n">
        <f aca="false">CZ21/CZ12-CZ25</f>
        <v>-1135.46211997807</v>
      </c>
      <c r="DA26" s="478" t="n">
        <f aca="false">DA21/DA12-DA25</f>
        <v>-1132.66956711032</v>
      </c>
      <c r="DB26" s="478" t="n">
        <f aca="false">DB21/DB12-DB25</f>
        <v>-1129.87012705389</v>
      </c>
      <c r="DC26" s="478" t="n">
        <f aca="false">DC21/DC12-DC25</f>
        <v>-1127.06378282302</v>
      </c>
      <c r="DD26" s="478" t="n">
        <f aca="false">DD21/DD12-DD25</f>
        <v>-1124.25051739025</v>
      </c>
      <c r="DE26" s="478" t="n">
        <f aca="false">DE21/DE12-DE25</f>
        <v>-1121.43031368594</v>
      </c>
      <c r="DF26" s="478" t="n">
        <f aca="false">DF21/DF12-DF25</f>
        <v>-1118.60315459853</v>
      </c>
      <c r="DG26" s="478" t="n">
        <f aca="false">DG21/DG12-DG25</f>
        <v>-1115.7690229741</v>
      </c>
      <c r="DH26" s="478" t="n">
        <f aca="false">DH21/DH12-DH25</f>
        <v>-1112.92790161649</v>
      </c>
      <c r="DI26" s="478" t="n">
        <f aca="false">DI21/DI12-DI25</f>
        <v>-1110.07977328719</v>
      </c>
      <c r="DJ26" s="478" t="n">
        <f aca="false">DJ21/DJ12-DJ25</f>
        <v>-1107.22462070506</v>
      </c>
      <c r="DK26" s="478" t="n">
        <f aca="false">DK21/DK12-DK25</f>
        <v>-1104.36242654643</v>
      </c>
      <c r="DL26" s="478" t="n">
        <f aca="false">DL21/DL12-DL25</f>
        <v>-1169.52598357735</v>
      </c>
      <c r="DM26" s="478" t="n">
        <f aca="false">DM21/DM12-DM25</f>
        <v>-1166.64965412358</v>
      </c>
      <c r="DN26" s="478" t="n">
        <f aca="false">DN21/DN12-DN25</f>
        <v>-1163.76623086544</v>
      </c>
      <c r="DO26" s="478" t="n">
        <f aca="false">DO21/DO12-DO25</f>
        <v>-1160.87569630769</v>
      </c>
      <c r="DP26" s="478" t="n">
        <f aca="false">DP21/DP12-DP25</f>
        <v>-1157.97803291194</v>
      </c>
      <c r="DQ26" s="478" t="n">
        <f aca="false">DQ21/DQ12-DQ25</f>
        <v>-1155.07322309655</v>
      </c>
      <c r="DR26" s="478" t="n">
        <f aca="false">DR21/DR12-DR25</f>
        <v>-1152.16124923649</v>
      </c>
      <c r="DS26" s="478" t="n">
        <f aca="false">DS21/DS12-DS25</f>
        <v>-1149.24209366334</v>
      </c>
      <c r="DT26" s="478" t="n">
        <f aca="false">DT21/DT12-DT25</f>
        <v>-1146.31573866501</v>
      </c>
      <c r="DU26" s="478" t="n">
        <f aca="false">DU21/DU12-DU25</f>
        <v>-1143.38216648584</v>
      </c>
      <c r="DV26" s="478" t="n">
        <f aca="false">DV21/DV12-DV25</f>
        <v>-1140.44135932624</v>
      </c>
      <c r="DW26" s="478" t="n">
        <f aca="false">DW21/DW12-DW25</f>
        <v>-1137.49329934287</v>
      </c>
      <c r="DX26" s="478" t="n">
        <f aca="false">DX21/DX12-DX25</f>
        <v>-1204.61176308469</v>
      </c>
      <c r="DY26" s="478" t="n">
        <f aca="false">DY21/DY12-DY25</f>
        <v>-1201.64914374733</v>
      </c>
      <c r="DZ26" s="478" t="n">
        <f aca="false">DZ21/DZ12-DZ25</f>
        <v>-1198.67921779143</v>
      </c>
      <c r="EA26" s="478" t="n">
        <f aca="false">EA21/EA12-EA25</f>
        <v>-1195.70196719693</v>
      </c>
      <c r="EB26" s="478" t="n">
        <f aca="false">EB21/EB12-EB25</f>
        <v>-1192.71737389929</v>
      </c>
      <c r="EC26" s="478" t="n">
        <f aca="false">EC21/EC12-EC25</f>
        <v>-1189.72541978944</v>
      </c>
      <c r="ED26" s="478" t="n">
        <f aca="false">ED21/ED12-ED25</f>
        <v>-1186.72608671356</v>
      </c>
      <c r="EE26" s="478" t="n">
        <f aca="false">EE21/EE12-EE25</f>
        <v>-1183.7193564732</v>
      </c>
      <c r="EF26" s="478" t="n">
        <f aca="false">EF21/EF12-EF25</f>
        <v>-1180.70521082495</v>
      </c>
      <c r="EG26" s="478" t="n">
        <f aca="false">EG21/EG12-EG25</f>
        <v>-1177.68363148038</v>
      </c>
      <c r="EH26" s="478" t="n">
        <f aca="false">EH21/EH12-EH25</f>
        <v>-1174.65460010602</v>
      </c>
      <c r="EI26" s="479" t="n">
        <f aca="false">EI21/EI12-EI25</f>
        <v>-1171.61809832315</v>
      </c>
      <c r="EK26" s="549" t="n">
        <f aca="true">SUM(OFFSET($G26,0,EK$24*12-11,1,12))</f>
        <v>-15183.6194019574</v>
      </c>
      <c r="EL26" s="478" t="n">
        <f aca="true">SUM(OFFSET($G26,0,EL$24*12-11,1,12))</f>
        <v>-12142.2769053904</v>
      </c>
      <c r="EM26" s="478" t="n">
        <f aca="true">SUM(OFFSET($G26,0,EM$24*12-11,1,12))</f>
        <v>-11523.9745488841</v>
      </c>
      <c r="EN26" s="478" t="n">
        <f aca="true">SUM(OFFSET($G26,0,EN$24*12-11,1,12))</f>
        <v>-11593.2147761383</v>
      </c>
      <c r="EO26" s="478" t="n">
        <f aca="true">SUM(OFFSET($G26,0,EO$24*12-11,1,12))</f>
        <v>-11941.0112194226</v>
      </c>
      <c r="EP26" s="478" t="n">
        <f aca="true">SUM(OFFSET($G26,0,EP$24*12-11,1,12))</f>
        <v>-12299.2415560056</v>
      </c>
      <c r="EQ26" s="478" t="n">
        <f aca="true">SUM(OFFSET($G26,0,EQ$24*12-11,1,12))</f>
        <v>-12668.2188026859</v>
      </c>
      <c r="ER26" s="478" t="n">
        <f aca="true">SUM(OFFSET($G26,0,ER$24*12-11,1,12))</f>
        <v>-13048.2653667667</v>
      </c>
      <c r="ES26" s="478" t="n">
        <f aca="true">SUM(OFFSET($G26,0,ES$24*12-11,1,12))</f>
        <v>-13439.7133277693</v>
      </c>
      <c r="ET26" s="479" t="n">
        <f aca="true">SUM(OFFSET($G26,0,ET$24*12-11,1,12))</f>
        <v>-13842.9047276023</v>
      </c>
    </row>
    <row r="27" s="550" customFormat="true" ht="13.5" hidden="false" customHeight="true" outlineLevel="0" collapsed="false">
      <c r="B27" s="551" t="s">
        <v>372</v>
      </c>
      <c r="C27" s="552"/>
      <c r="D27" s="473"/>
      <c r="E27" s="553" t="n">
        <f aca="true">SUM(OFFSET(G27,0,0,1,'Executive Summary'!$I$13+1))</f>
        <v>4099382.78124015</v>
      </c>
      <c r="F27" s="473"/>
      <c r="G27" s="543" t="n">
        <f aca="false">SUM(G25:G26)</f>
        <v>0</v>
      </c>
      <c r="H27" s="473" t="n">
        <f aca="false">SUM(H25:H26)</f>
        <v>59907.883294251</v>
      </c>
      <c r="I27" s="473" t="n">
        <f aca="false">SUM(I25:I26)</f>
        <v>60155.0866782144</v>
      </c>
      <c r="J27" s="473" t="n">
        <f aca="false">SUM(J25:J26)</f>
        <v>60648.0970648839</v>
      </c>
      <c r="K27" s="473" t="n">
        <f aca="false">SUM(K25:K26)</f>
        <v>61038.0124654423</v>
      </c>
      <c r="L27" s="473" t="n">
        <f aca="false">SUM(L25:L26)</f>
        <v>61537.1640499643</v>
      </c>
      <c r="M27" s="473" t="n">
        <f aca="false">SUM(M25:M26)</f>
        <v>61933.1075545007</v>
      </c>
      <c r="N27" s="473" t="n">
        <f aca="false">SUM(N25:N26)</f>
        <v>62438.4070736902</v>
      </c>
      <c r="O27" s="473" t="n">
        <f aca="false">SUM(O25:O26)</f>
        <v>62840.3852949572</v>
      </c>
      <c r="P27" s="473" t="n">
        <f aca="false">SUM(P25:P26)</f>
        <v>63351.8394930196</v>
      </c>
      <c r="Q27" s="473" t="n">
        <f aca="false">SUM(Q25:Q26)</f>
        <v>63759.8590510239</v>
      </c>
      <c r="R27" s="473" t="n">
        <f aca="false">SUM(R25:R26)</f>
        <v>64277.4746795627</v>
      </c>
      <c r="S27" s="473" t="n">
        <f aca="false">SUM(S25:S26)</f>
        <v>64691.5422015731</v>
      </c>
      <c r="T27" s="473" t="n">
        <f aca="false">SUM(T25:T26)</f>
        <v>64957.6349544053</v>
      </c>
      <c r="U27" s="473" t="n">
        <f aca="false">SUM(U25:U26)</f>
        <v>65203.2158897704</v>
      </c>
      <c r="V27" s="473" t="n">
        <f aca="false">SUM(V25:V26)</f>
        <v>65355.0315778043</v>
      </c>
      <c r="W27" s="473" t="n">
        <f aca="false">SUM(W25:W26)</f>
        <v>65625.3345829431</v>
      </c>
      <c r="X27" s="473" t="n">
        <f aca="false">SUM(X25:X26)</f>
        <v>65801.8349388578</v>
      </c>
      <c r="Y27" s="473" t="n">
        <f aca="false">SUM(Y25:Y26)</f>
        <v>66097.0182235418</v>
      </c>
      <c r="Z27" s="473" t="n">
        <f aca="false">SUM(Z25:Z26)</f>
        <v>66298.361766994</v>
      </c>
      <c r="AA27" s="473" t="n">
        <f aca="false">SUM(AA25:AA26)</f>
        <v>66618.5844173177</v>
      </c>
      <c r="AB27" s="473" t="n">
        <f aca="false">SUM(AB25:AB26)</f>
        <v>66844.9305465089</v>
      </c>
      <c r="AC27" s="473" t="n">
        <f aca="false">SUM(AC25:AC26)</f>
        <v>67190.3525296189</v>
      </c>
      <c r="AD27" s="473" t="n">
        <f aca="false">SUM(AD25:AD26)</f>
        <v>67441.861526036</v>
      </c>
      <c r="AE27" s="473" t="n">
        <f aca="false">SUM(AE25:AE26)</f>
        <v>67812.6436948853</v>
      </c>
      <c r="AF27" s="473" t="n">
        <f aca="false">SUM(AF25:AF26)</f>
        <v>67938.2821011891</v>
      </c>
      <c r="AG27" s="473" t="n">
        <f aca="false">SUM(AG25:AG26)</f>
        <v>68122.7458324586</v>
      </c>
      <c r="AH27" s="473" t="n">
        <f aca="false">SUM(AH25:AH26)</f>
        <v>68306.4565932617</v>
      </c>
      <c r="AI27" s="473" t="n">
        <f aca="false">SUM(AI25:AI26)</f>
        <v>68489.4092931204</v>
      </c>
      <c r="AJ27" s="473" t="n">
        <f aca="false">SUM(AJ25:AJ26)</f>
        <v>68671.5988203469</v>
      </c>
      <c r="AK27" s="473" t="n">
        <f aca="false">SUM(AK25:AK26)</f>
        <v>68853.0200419675</v>
      </c>
      <c r="AL27" s="473" t="n">
        <f aca="false">SUM(AL25:AL26)</f>
        <v>69033.6678036474</v>
      </c>
      <c r="AM27" s="473" t="n">
        <f aca="false">SUM(AM25:AM26)</f>
        <v>69213.5369296145</v>
      </c>
      <c r="AN27" s="473" t="n">
        <f aca="false">SUM(AN25:AN26)</f>
        <v>69392.6222225829</v>
      </c>
      <c r="AO27" s="473" t="n">
        <f aca="false">SUM(AO25:AO26)</f>
        <v>69570.918463677</v>
      </c>
      <c r="AP27" s="473" t="n">
        <f aca="false">SUM(AP25:AP26)</f>
        <v>69748.4204123543</v>
      </c>
      <c r="AQ27" s="473" t="n">
        <f aca="false">SUM(AQ25:AQ26)</f>
        <v>69925.1228063287</v>
      </c>
      <c r="AR27" s="473" t="n">
        <f aca="false">SUM(AR25:AR26)</f>
        <v>70045.2845886521</v>
      </c>
      <c r="AS27" s="473" t="n">
        <f aca="false">SUM(AS25:AS26)</f>
        <v>70222.8596489624</v>
      </c>
      <c r="AT27" s="473" t="n">
        <f aca="false">SUM(AT25:AT26)</f>
        <v>70400.8726572761</v>
      </c>
      <c r="AU27" s="473" t="n">
        <f aca="false">SUM(AU25:AU26)</f>
        <v>70579.3246936914</v>
      </c>
      <c r="AV27" s="473" t="n">
        <f aca="false">SUM(AV25:AV26)</f>
        <v>70758.2168409699</v>
      </c>
      <c r="AW27" s="473" t="n">
        <f aca="false">SUM(AW25:AW26)</f>
        <v>70937.5501845437</v>
      </c>
      <c r="AX27" s="473" t="n">
        <f aca="false">SUM(AX25:AX26)</f>
        <v>71117.325812522</v>
      </c>
      <c r="AY27" s="473" t="n">
        <f aca="false">SUM(AY25:AY26)</f>
        <v>71297.5448156973</v>
      </c>
      <c r="AZ27" s="473" t="n">
        <f aca="false">SUM(AZ25:AZ26)</f>
        <v>71478.2082875525</v>
      </c>
      <c r="BA27" s="473" t="n">
        <f aca="false">SUM(BA25:BA26)</f>
        <v>71659.3173242674</v>
      </c>
      <c r="BB27" s="473" t="n">
        <f aca="false">SUM(BB25:BB26)</f>
        <v>71840.873024725</v>
      </c>
      <c r="BC27" s="473" t="n">
        <f aca="false">SUM(BC25:BC26)</f>
        <v>72022.8764905186</v>
      </c>
      <c r="BD27" s="473" t="n">
        <f aca="false">SUM(BD25:BD26)</f>
        <v>72146.6431263117</v>
      </c>
      <c r="BE27" s="473" t="n">
        <f aca="false">SUM(BE25:BE26)</f>
        <v>72329.5454384313</v>
      </c>
      <c r="BF27" s="473" t="n">
        <f aca="false">SUM(BF25:BF26)</f>
        <v>72512.8988369945</v>
      </c>
      <c r="BG27" s="473" t="n">
        <f aca="false">SUM(BG25:BG26)</f>
        <v>72696.7044345022</v>
      </c>
      <c r="BH27" s="473" t="n">
        <f aca="false">SUM(BH25:BH26)</f>
        <v>72880.9633461991</v>
      </c>
      <c r="BI27" s="473" t="n">
        <f aca="false">SUM(BI25:BI26)</f>
        <v>73065.6766900801</v>
      </c>
      <c r="BJ27" s="473" t="n">
        <f aca="false">SUM(BJ25:BJ26)</f>
        <v>73250.8455868977</v>
      </c>
      <c r="BK27" s="473" t="n">
        <f aca="false">SUM(BK25:BK26)</f>
        <v>73436.4711601683</v>
      </c>
      <c r="BL27" s="473" t="n">
        <f aca="false">SUM(BL25:BL26)</f>
        <v>73622.5545361792</v>
      </c>
      <c r="BM27" s="473" t="n">
        <f aca="false">SUM(BM25:BM26)</f>
        <v>73809.0968439955</v>
      </c>
      <c r="BN27" s="473" t="n">
        <f aca="false">SUM(BN25:BN26)</f>
        <v>73996.0992154668</v>
      </c>
      <c r="BO27" s="473" t="n">
        <f aca="false">SUM(BO25:BO26)</f>
        <v>74183.5627852342</v>
      </c>
      <c r="BP27" s="473" t="n">
        <f aca="false">SUM(BP25:BP26)</f>
        <v>74311.0424201011</v>
      </c>
      <c r="BQ27" s="473" t="n">
        <f aca="false">SUM(BQ25:BQ26)</f>
        <v>74499.4318015843</v>
      </c>
      <c r="BR27" s="473" t="n">
        <f aca="false">SUM(BR25:BR26)</f>
        <v>74688.2858021044</v>
      </c>
      <c r="BS27" s="473" t="n">
        <f aca="false">SUM(BS25:BS26)</f>
        <v>74877.6055675373</v>
      </c>
      <c r="BT27" s="473" t="n">
        <f aca="false">SUM(BT25:BT26)</f>
        <v>75067.3922465851</v>
      </c>
      <c r="BU27" s="473" t="n">
        <f aca="false">SUM(BU25:BU26)</f>
        <v>75257.6469907825</v>
      </c>
      <c r="BV27" s="473" t="n">
        <f aca="false">SUM(BV25:BV26)</f>
        <v>75448.3709545047</v>
      </c>
      <c r="BW27" s="473" t="n">
        <f aca="false">SUM(BW25:BW26)</f>
        <v>75639.5652949734</v>
      </c>
      <c r="BX27" s="473" t="n">
        <f aca="false">SUM(BX25:BX26)</f>
        <v>75831.2311722646</v>
      </c>
      <c r="BY27" s="473" t="n">
        <f aca="false">SUM(BY25:BY26)</f>
        <v>76023.3697493154</v>
      </c>
      <c r="BZ27" s="473" t="n">
        <f aca="false">SUM(BZ25:BZ26)</f>
        <v>76215.9821919309</v>
      </c>
      <c r="CA27" s="473" t="n">
        <f aca="false">SUM(CA25:CA26)</f>
        <v>76409.0696687913</v>
      </c>
      <c r="CB27" s="473" t="n">
        <f aca="false">SUM(CB25:CB26)</f>
        <v>76540.3736927043</v>
      </c>
      <c r="CC27" s="473" t="n">
        <f aca="false">SUM(CC25:CC26)</f>
        <v>76734.4147556319</v>
      </c>
      <c r="CD27" s="473" t="n">
        <f aca="false">SUM(CD25:CD26)</f>
        <v>76928.9343761676</v>
      </c>
      <c r="CE27" s="473" t="n">
        <f aca="false">SUM(CE25:CE26)</f>
        <v>77123.9337345635</v>
      </c>
      <c r="CF27" s="473" t="n">
        <f aca="false">SUM(CF25:CF26)</f>
        <v>77319.4140139827</v>
      </c>
      <c r="CG27" s="473" t="n">
        <f aca="false">SUM(CG25:CG26)</f>
        <v>77515.3764005061</v>
      </c>
      <c r="CH27" s="473" t="n">
        <f aca="false">SUM(CH25:CH26)</f>
        <v>77711.8220831399</v>
      </c>
      <c r="CI27" s="473" t="n">
        <f aca="false">SUM(CI25:CI26)</f>
        <v>77908.7522538226</v>
      </c>
      <c r="CJ27" s="473" t="n">
        <f aca="false">SUM(CJ25:CJ26)</f>
        <v>78106.1681074326</v>
      </c>
      <c r="CK27" s="473" t="n">
        <f aca="false">SUM(CK25:CK26)</f>
        <v>78304.0708417949</v>
      </c>
      <c r="CL27" s="473" t="n">
        <f aca="false">SUM(CL25:CL26)</f>
        <v>78502.4616576888</v>
      </c>
      <c r="CM27" s="473" t="n">
        <f aca="false">SUM(CM25:CM26)</f>
        <v>78701.3417588551</v>
      </c>
      <c r="CN27" s="473" t="n">
        <f aca="false">SUM(CN25:CN26)</f>
        <v>78836.5849034854</v>
      </c>
      <c r="CO27" s="473" t="n">
        <f aca="false">SUM(CO25:CO26)</f>
        <v>79036.4471983009</v>
      </c>
      <c r="CP27" s="473" t="n">
        <f aca="false">SUM(CP25:CP26)</f>
        <v>79236.8024074527</v>
      </c>
      <c r="CQ27" s="473" t="n">
        <f aca="false">SUM(CQ25:CQ26)</f>
        <v>79437.6517466005</v>
      </c>
      <c r="CR27" s="473" t="n">
        <f aca="false">SUM(CR25:CR26)</f>
        <v>79638.9964344022</v>
      </c>
      <c r="CS27" s="473" t="n">
        <f aca="false">SUM(CS25:CS26)</f>
        <v>79840.8376925213</v>
      </c>
      <c r="CT27" s="473" t="n">
        <f aca="false">SUM(CT25:CT26)</f>
        <v>80043.1767456341</v>
      </c>
      <c r="CU27" s="473" t="n">
        <f aca="false">SUM(CU25:CU26)</f>
        <v>80246.0148214374</v>
      </c>
      <c r="CV27" s="473" t="n">
        <f aca="false">SUM(CV25:CV26)</f>
        <v>80449.3531506557</v>
      </c>
      <c r="CW27" s="473" t="n">
        <f aca="false">SUM(CW25:CW26)</f>
        <v>80653.1929670489</v>
      </c>
      <c r="CX27" s="473" t="n">
        <f aca="false">SUM(CX25:CX26)</f>
        <v>80857.5355074196</v>
      </c>
      <c r="CY27" s="473" t="n">
        <f aca="false">SUM(CY25:CY26)</f>
        <v>81062.3820116208</v>
      </c>
      <c r="CZ27" s="473" t="n">
        <f aca="false">SUM(CZ25:CZ26)</f>
        <v>81201.6824505901</v>
      </c>
      <c r="DA27" s="473" t="n">
        <f aca="false">SUM(DA25:DA26)</f>
        <v>81407.54061425</v>
      </c>
      <c r="DB27" s="473" t="n">
        <f aca="false">SUM(DB25:DB26)</f>
        <v>81613.9064796763</v>
      </c>
      <c r="DC27" s="473" t="n">
        <f aca="false">SUM(DC25:DC26)</f>
        <v>81820.7812989986</v>
      </c>
      <c r="DD27" s="473" t="n">
        <f aca="false">SUM(DD25:DD26)</f>
        <v>82028.1663274344</v>
      </c>
      <c r="DE27" s="473" t="n">
        <f aca="false">SUM(DE25:DE26)</f>
        <v>82236.0628232971</v>
      </c>
      <c r="DF27" s="473" t="n">
        <f aca="false">SUM(DF25:DF26)</f>
        <v>82444.4720480033</v>
      </c>
      <c r="DG27" s="473" t="n">
        <f aca="false">SUM(DG25:DG26)</f>
        <v>82653.3952660806</v>
      </c>
      <c r="DH27" s="473" t="n">
        <f aca="false">SUM(DH25:DH26)</f>
        <v>82862.8337451755</v>
      </c>
      <c r="DI27" s="473" t="n">
        <f aca="false">SUM(DI25:DI26)</f>
        <v>83072.7887560604</v>
      </c>
      <c r="DJ27" s="473" t="n">
        <f aca="false">SUM(DJ25:DJ26)</f>
        <v>83283.2615726423</v>
      </c>
      <c r="DK27" s="473" t="n">
        <f aca="false">SUM(DK25:DK26)</f>
        <v>83494.2534719696</v>
      </c>
      <c r="DL27" s="473" t="n">
        <f aca="false">SUM(DL25:DL26)</f>
        <v>83637.7329241079</v>
      </c>
      <c r="DM27" s="473" t="n">
        <f aca="false">SUM(DM25:DM26)</f>
        <v>83849.7668326776</v>
      </c>
      <c r="DN27" s="473" t="n">
        <f aca="false">SUM(DN25:DN26)</f>
        <v>84062.3236740668</v>
      </c>
      <c r="DO27" s="473" t="n">
        <f aca="false">SUM(DO25:DO26)</f>
        <v>84275.4047379687</v>
      </c>
      <c r="DP27" s="473" t="n">
        <f aca="false">SUM(DP25:DP26)</f>
        <v>84489.0113172576</v>
      </c>
      <c r="DQ27" s="473" t="n">
        <f aca="false">SUM(DQ25:DQ26)</f>
        <v>84703.1447079961</v>
      </c>
      <c r="DR27" s="473" t="n">
        <f aca="false">SUM(DR25:DR26)</f>
        <v>84917.8062094435</v>
      </c>
      <c r="DS27" s="473" t="n">
        <f aca="false">SUM(DS25:DS26)</f>
        <v>85132.9971240631</v>
      </c>
      <c r="DT27" s="473" t="n">
        <f aca="false">SUM(DT25:DT26)</f>
        <v>85348.7187575308</v>
      </c>
      <c r="DU27" s="473" t="n">
        <f aca="false">SUM(DU25:DU26)</f>
        <v>85564.9724187423</v>
      </c>
      <c r="DV27" s="473" t="n">
        <f aca="false">SUM(DV25:DV26)</f>
        <v>85781.7594198216</v>
      </c>
      <c r="DW27" s="473" t="n">
        <f aca="false">SUM(DW25:DW26)</f>
        <v>85999.0810761287</v>
      </c>
      <c r="DX27" s="473" t="n">
        <f aca="false">SUM(DX25:DX26)</f>
        <v>86146.8649118312</v>
      </c>
      <c r="DY27" s="473" t="n">
        <f aca="false">SUM(DY25:DY26)</f>
        <v>86365.259837658</v>
      </c>
      <c r="DZ27" s="473" t="n">
        <f aca="false">SUM(DZ25:DZ26)</f>
        <v>86584.1933842888</v>
      </c>
      <c r="EA27" s="473" t="n">
        <f aca="false">SUM(EA25:EA26)</f>
        <v>86803.6668801078</v>
      </c>
      <c r="EB27" s="473" t="n">
        <f aca="false">SUM(EB25:EB26)</f>
        <v>87023.6816567754</v>
      </c>
      <c r="EC27" s="473" t="n">
        <f aca="false">SUM(EC25:EC26)</f>
        <v>87244.2390492361</v>
      </c>
      <c r="ED27" s="473" t="n">
        <f aca="false">SUM(ED25:ED26)</f>
        <v>87465.3403957269</v>
      </c>
      <c r="EE27" s="473" t="n">
        <f aca="false">SUM(EE25:EE26)</f>
        <v>87686.9870377851</v>
      </c>
      <c r="EF27" s="473" t="n">
        <f aca="false">SUM(EF25:EF26)</f>
        <v>87909.1803202568</v>
      </c>
      <c r="EG27" s="473" t="n">
        <f aca="false">SUM(EG25:EG26)</f>
        <v>88131.9215913047</v>
      </c>
      <c r="EH27" s="473" t="n">
        <f aca="false">SUM(EH25:EH26)</f>
        <v>88355.2122024164</v>
      </c>
      <c r="EI27" s="553" t="n">
        <f aca="false">SUM(EI25:EI26)</f>
        <v>88579.0535084127</v>
      </c>
      <c r="EK27" s="543" t="n">
        <f aca="true">SUM(OFFSET($G27,0,EK$24*12-11,1,12))</f>
        <v>746578.858901083</v>
      </c>
      <c r="EL27" s="473" t="n">
        <f aca="true">SUM(OFFSET($G27,0,EL$24*12-11,1,12))</f>
        <v>795246.804648683</v>
      </c>
      <c r="EM27" s="473" t="n">
        <f aca="true">SUM(OFFSET($G27,0,EM$24*12-11,1,12))</f>
        <v>827265.801320549</v>
      </c>
      <c r="EN27" s="473" t="n">
        <f aca="true">SUM(OFFSET($G27,0,EN$24*12-11,1,12))</f>
        <v>852360.254369378</v>
      </c>
      <c r="EO27" s="473" t="n">
        <f aca="true">SUM(OFFSET($G27,0,EO$24*12-11,1,12))</f>
        <v>877931.06200046</v>
      </c>
      <c r="EP27" s="473" t="n">
        <f aca="true">SUM(OFFSET($G27,0,EP$24*12-11,1,12))</f>
        <v>904268.993860475</v>
      </c>
      <c r="EQ27" s="473" t="n">
        <f aca="true">SUM(OFFSET($G27,0,EQ$24*12-11,1,12))</f>
        <v>931397.06367629</v>
      </c>
      <c r="ER27" s="473" t="n">
        <f aca="true">SUM(OFFSET($G27,0,ER$24*12-11,1,12))</f>
        <v>959338.975586579</v>
      </c>
      <c r="ES27" s="473" t="n">
        <f aca="true">SUM(OFFSET($G27,0,ES$24*12-11,1,12))</f>
        <v>988119.144854178</v>
      </c>
      <c r="ET27" s="553" t="n">
        <f aca="true">SUM(OFFSET($G27,0,ET$24*12-11,1,12))</f>
        <v>1017762.7191998</v>
      </c>
    </row>
    <row r="28" s="522" customFormat="true" ht="13.5" hidden="false" customHeight="true" outlineLevel="0" collapsed="false">
      <c r="B28" s="554" t="s">
        <v>487</v>
      </c>
      <c r="C28" s="61"/>
      <c r="D28" s="421"/>
      <c r="E28" s="472" t="n">
        <f aca="true">SUM(OFFSET(G28,0,0,1,'Executive Summary'!$I$13+1))</f>
        <v>-12298.1483437205</v>
      </c>
      <c r="F28" s="421"/>
      <c r="G28" s="513" t="n">
        <v>0</v>
      </c>
      <c r="H28" s="421" t="n">
        <f aca="false">'Renovation Plan'!D10*H27</f>
        <v>-179.723649882753</v>
      </c>
      <c r="I28" s="421" t="n">
        <f aca="false">'Renovation Plan'!E10*I27</f>
        <v>-180.465260034643</v>
      </c>
      <c r="J28" s="421" t="n">
        <f aca="false">'Renovation Plan'!F10*J27</f>
        <v>-181.944291194652</v>
      </c>
      <c r="K28" s="421" t="n">
        <f aca="false">'Renovation Plan'!G10*K27</f>
        <v>-183.114037396327</v>
      </c>
      <c r="L28" s="421" t="n">
        <f aca="false">'Renovation Plan'!H10*L27</f>
        <v>-184.611492149893</v>
      </c>
      <c r="M28" s="421" t="n">
        <f aca="false">'Renovation Plan'!I10*M27</f>
        <v>-185.799322663502</v>
      </c>
      <c r="N28" s="421" t="n">
        <f aca="false">'Renovation Plan'!J10*N27</f>
        <v>-187.315221221071</v>
      </c>
      <c r="O28" s="421" t="n">
        <f aca="false">'Renovation Plan'!K10*O27</f>
        <v>-188.521155884872</v>
      </c>
      <c r="P28" s="421" t="n">
        <f aca="false">'Renovation Plan'!L10*P27</f>
        <v>-190.055518479059</v>
      </c>
      <c r="Q28" s="421" t="n">
        <f aca="false">'Renovation Plan'!M10*Q27</f>
        <v>-191.279577153072</v>
      </c>
      <c r="R28" s="421" t="n">
        <f aca="false">'Renovation Plan'!N10*R27</f>
        <v>-192.832424038688</v>
      </c>
      <c r="S28" s="421" t="n">
        <f aca="false">'Renovation Plan'!O10*S27</f>
        <v>-194.074626604719</v>
      </c>
      <c r="T28" s="421" t="n">
        <f aca="false">'Renovation Plan'!$P$10*T27</f>
        <v>-194.872904863216</v>
      </c>
      <c r="U28" s="421" t="n">
        <f aca="false">'Renovation Plan'!$P$10*U27</f>
        <v>-195.609647669311</v>
      </c>
      <c r="V28" s="421" t="n">
        <f aca="false">'Renovation Plan'!$P$10*V27</f>
        <v>-196.065094733413</v>
      </c>
      <c r="W28" s="421" t="n">
        <f aca="false">'Renovation Plan'!$P$10*W27</f>
        <v>-196.876003748829</v>
      </c>
      <c r="X28" s="421" t="n">
        <f aca="false">'Renovation Plan'!$P$10*X27</f>
        <v>-197.405504816573</v>
      </c>
      <c r="Y28" s="421" t="n">
        <f aca="false">'Renovation Plan'!$P$10*Y27</f>
        <v>-198.291054670625</v>
      </c>
      <c r="Z28" s="421" t="n">
        <f aca="false">'Renovation Plan'!$P$10*Z27</f>
        <v>-198.895085300982</v>
      </c>
      <c r="AA28" s="421" t="n">
        <f aca="false">'Renovation Plan'!$P$10*AA27</f>
        <v>-199.855753251953</v>
      </c>
      <c r="AB28" s="421" t="n">
        <f aca="false">'Renovation Plan'!$P$10*AB27</f>
        <v>-200.534791639527</v>
      </c>
      <c r="AC28" s="421" t="n">
        <f aca="false">'Renovation Plan'!$P$10*AC27</f>
        <v>-201.571057588857</v>
      </c>
      <c r="AD28" s="421" t="n">
        <f aca="false">'Renovation Plan'!$P$10*AD27</f>
        <v>-202.325584578108</v>
      </c>
      <c r="AE28" s="421" t="n">
        <f aca="false">'Renovation Plan'!$P$10*AE27</f>
        <v>-203.437931084656</v>
      </c>
      <c r="AF28" s="421" t="n">
        <f aca="false">'Operating Inputs'!$P$11*AF27</f>
        <v>-203.814846303567</v>
      </c>
      <c r="AG28" s="421" t="n">
        <f aca="false">'Operating Inputs'!$P$11*AG27</f>
        <v>-204.368237497376</v>
      </c>
      <c r="AH28" s="421" t="n">
        <f aca="false">'Operating Inputs'!$P$11*AH27</f>
        <v>-204.919369779785</v>
      </c>
      <c r="AI28" s="421" t="n">
        <f aca="false">'Operating Inputs'!$P$11*AI27</f>
        <v>-205.468227879361</v>
      </c>
      <c r="AJ28" s="421" t="n">
        <f aca="false">'Operating Inputs'!$P$11*AJ27</f>
        <v>-206.014796461041</v>
      </c>
      <c r="AK28" s="421" t="n">
        <f aca="false">'Operating Inputs'!$P$11*AK27</f>
        <v>-206.559060125903</v>
      </c>
      <c r="AL28" s="421" t="n">
        <f aca="false">'Operating Inputs'!$P$11*AL27</f>
        <v>-207.101003410942</v>
      </c>
      <c r="AM28" s="421" t="n">
        <f aca="false">'Operating Inputs'!$P$11*AM27</f>
        <v>-207.640610788843</v>
      </c>
      <c r="AN28" s="421" t="n">
        <f aca="false">'Operating Inputs'!$P$11*AN27</f>
        <v>-208.177866667749</v>
      </c>
      <c r="AO28" s="421" t="n">
        <f aca="false">'Operating Inputs'!$P$11*AO27</f>
        <v>-208.712755391031</v>
      </c>
      <c r="AP28" s="421" t="n">
        <f aca="false">'Operating Inputs'!$P$11*AP27</f>
        <v>-209.245261237063</v>
      </c>
      <c r="AQ28" s="421" t="n">
        <f aca="false">'Operating Inputs'!$P$11*AQ27</f>
        <v>-209.775368418986</v>
      </c>
      <c r="AR28" s="421" t="n">
        <f aca="false">'Operating Inputs'!$P$11*AR27</f>
        <v>-210.135853765956</v>
      </c>
      <c r="AS28" s="421" t="n">
        <f aca="false">'Operating Inputs'!$P$11*AS27</f>
        <v>-210.668578946887</v>
      </c>
      <c r="AT28" s="421" t="n">
        <f aca="false">'Operating Inputs'!$P$11*AT27</f>
        <v>-211.202617971828</v>
      </c>
      <c r="AU28" s="421" t="n">
        <f aca="false">'Operating Inputs'!$P$11*AU27</f>
        <v>-211.737974081074</v>
      </c>
      <c r="AV28" s="421" t="n">
        <f aca="false">'Operating Inputs'!$P$11*AV27</f>
        <v>-212.27465052291</v>
      </c>
      <c r="AW28" s="421" t="n">
        <f aca="false">'Operating Inputs'!$P$11*AW27</f>
        <v>-212.812650553631</v>
      </c>
      <c r="AX28" s="421" t="n">
        <f aca="false">'Operating Inputs'!$P$11*AX27</f>
        <v>-213.351977437566</v>
      </c>
      <c r="AY28" s="421" t="n">
        <f aca="false">'Operating Inputs'!$P$11*AY27</f>
        <v>-213.892634447092</v>
      </c>
      <c r="AZ28" s="421" t="n">
        <f aca="false">'Operating Inputs'!$P$11*AZ27</f>
        <v>-214.434624862658</v>
      </c>
      <c r="BA28" s="421" t="n">
        <f aca="false">'Operating Inputs'!$P$11*BA27</f>
        <v>-214.977951972802</v>
      </c>
      <c r="BB28" s="421" t="n">
        <f aca="false">'Operating Inputs'!$P$11*BB27</f>
        <v>-215.522619074175</v>
      </c>
      <c r="BC28" s="421" t="n">
        <f aca="false">'Operating Inputs'!$P$11*BC27</f>
        <v>-216.068629471556</v>
      </c>
      <c r="BD28" s="421" t="n">
        <f aca="false">'Operating Inputs'!$P$11*BD27</f>
        <v>-216.439929378935</v>
      </c>
      <c r="BE28" s="421" t="n">
        <f aca="false">'Operating Inputs'!$P$11*BE27</f>
        <v>-216.988636315294</v>
      </c>
      <c r="BF28" s="421" t="n">
        <f aca="false">'Operating Inputs'!$P$11*BF27</f>
        <v>-217.538696510983</v>
      </c>
      <c r="BG28" s="421" t="n">
        <f aca="false">'Operating Inputs'!$P$11*BG27</f>
        <v>-218.090113303507</v>
      </c>
      <c r="BH28" s="421" t="n">
        <f aca="false">'Operating Inputs'!$P$11*BH27</f>
        <v>-218.642890038597</v>
      </c>
      <c r="BI28" s="421" t="n">
        <f aca="false">'Operating Inputs'!$P$11*BI27</f>
        <v>-219.19703007024</v>
      </c>
      <c r="BJ28" s="421" t="n">
        <f aca="false">'Operating Inputs'!$P$11*BJ27</f>
        <v>-219.752536760693</v>
      </c>
      <c r="BK28" s="421" t="n">
        <f aca="false">'Operating Inputs'!$P$11*BK27</f>
        <v>-220.309413480505</v>
      </c>
      <c r="BL28" s="421" t="n">
        <f aca="false">'Operating Inputs'!$P$11*BL27</f>
        <v>-220.867663608537</v>
      </c>
      <c r="BM28" s="421" t="n">
        <f aca="false">'Operating Inputs'!$P$11*BM27</f>
        <v>-221.427290531986</v>
      </c>
      <c r="BN28" s="421" t="n">
        <f aca="false">'Operating Inputs'!$P$11*BN27</f>
        <v>-221.9882976464</v>
      </c>
      <c r="BO28" s="421" t="n">
        <f aca="false">'Operating Inputs'!$P$11*BO27</f>
        <v>-222.550688355703</v>
      </c>
      <c r="BP28" s="421" t="n">
        <f aca="false">'Operating Inputs'!$P$11*BP27</f>
        <v>-222.933127260303</v>
      </c>
      <c r="BQ28" s="421" t="n">
        <f aca="false">'Operating Inputs'!$P$11*BQ27</f>
        <v>-223.498295404753</v>
      </c>
      <c r="BR28" s="421" t="n">
        <f aca="false">'Operating Inputs'!$P$11*BR27</f>
        <v>-224.064857406313</v>
      </c>
      <c r="BS28" s="421" t="n">
        <f aca="false">'Operating Inputs'!$P$11*BS27</f>
        <v>-224.632816702612</v>
      </c>
      <c r="BT28" s="421" t="n">
        <f aca="false">'Operating Inputs'!$P$11*BT27</f>
        <v>-225.202176739755</v>
      </c>
      <c r="BU28" s="421" t="n">
        <f aca="false">'Operating Inputs'!$P$11*BU27</f>
        <v>-225.772940972348</v>
      </c>
      <c r="BV28" s="421" t="n">
        <f aca="false">'Operating Inputs'!$P$11*BV27</f>
        <v>-226.345112863514</v>
      </c>
      <c r="BW28" s="421" t="n">
        <f aca="false">'Operating Inputs'!$P$11*BW27</f>
        <v>-226.91869588492</v>
      </c>
      <c r="BX28" s="421" t="n">
        <f aca="false">'Operating Inputs'!$P$11*BX27</f>
        <v>-227.493693516794</v>
      </c>
      <c r="BY28" s="421" t="n">
        <f aca="false">'Operating Inputs'!$P$11*BY27</f>
        <v>-228.070109247946</v>
      </c>
      <c r="BZ28" s="421" t="n">
        <f aca="false">'Operating Inputs'!$P$11*BZ27</f>
        <v>-228.647946575793</v>
      </c>
      <c r="CA28" s="421" t="n">
        <f aca="false">'Operating Inputs'!$P$11*CA27</f>
        <v>-229.227209006374</v>
      </c>
      <c r="CB28" s="421" t="n">
        <f aca="false">'Operating Inputs'!$P$11*CB27</f>
        <v>-229.621121078113</v>
      </c>
      <c r="CC28" s="421" t="n">
        <f aca="false">'Operating Inputs'!$P$11*CC27</f>
        <v>-230.203244266896</v>
      </c>
      <c r="CD28" s="421" t="n">
        <f aca="false">'Operating Inputs'!$P$11*CD27</f>
        <v>-230.786803128503</v>
      </c>
      <c r="CE28" s="421" t="n">
        <f aca="false">'Operating Inputs'!$P$11*CE27</f>
        <v>-231.371801203691</v>
      </c>
      <c r="CF28" s="421" t="n">
        <f aca="false">'Operating Inputs'!$P$11*CF27</f>
        <v>-231.958242041948</v>
      </c>
      <c r="CG28" s="421" t="n">
        <f aca="false">'Operating Inputs'!$P$11*CG27</f>
        <v>-232.546129201518</v>
      </c>
      <c r="CH28" s="421" t="n">
        <f aca="false">'Operating Inputs'!$P$11*CH27</f>
        <v>-233.13546624942</v>
      </c>
      <c r="CI28" s="421" t="n">
        <f aca="false">'Operating Inputs'!$P$11*CI27</f>
        <v>-233.726256761468</v>
      </c>
      <c r="CJ28" s="421" t="n">
        <f aca="false">'Operating Inputs'!$P$11*CJ27</f>
        <v>-234.318504322298</v>
      </c>
      <c r="CK28" s="421" t="n">
        <f aca="false">'Operating Inputs'!$P$11*CK27</f>
        <v>-234.912212525385</v>
      </c>
      <c r="CL28" s="421" t="n">
        <f aca="false">'Operating Inputs'!$P$11*CL27</f>
        <v>-235.507384973067</v>
      </c>
      <c r="CM28" s="421" t="n">
        <f aca="false">'Operating Inputs'!$P$11*CM27</f>
        <v>-236.104025276565</v>
      </c>
      <c r="CN28" s="421" t="n">
        <f aca="false">'Operating Inputs'!$P$11*CN27</f>
        <v>-236.509754710456</v>
      </c>
      <c r="CO28" s="421" t="n">
        <f aca="false">'Operating Inputs'!$P$11*CO27</f>
        <v>-237.109341594903</v>
      </c>
      <c r="CP28" s="421" t="n">
        <f aca="false">'Operating Inputs'!$P$11*CP27</f>
        <v>-237.710407222358</v>
      </c>
      <c r="CQ28" s="421" t="n">
        <f aca="false">'Operating Inputs'!$P$11*CQ27</f>
        <v>-238.312955239801</v>
      </c>
      <c r="CR28" s="421" t="n">
        <f aca="false">'Operating Inputs'!$P$11*CR27</f>
        <v>-238.916989303207</v>
      </c>
      <c r="CS28" s="421" t="n">
        <f aca="false">'Operating Inputs'!$P$11*CS27</f>
        <v>-239.522513077564</v>
      </c>
      <c r="CT28" s="421" t="n">
        <f aca="false">'Operating Inputs'!$P$11*CT27</f>
        <v>-240.129530236902</v>
      </c>
      <c r="CU28" s="421" t="n">
        <f aca="false">'Operating Inputs'!$P$11*CU27</f>
        <v>-240.738044464312</v>
      </c>
      <c r="CV28" s="421" t="n">
        <f aca="false">'Operating Inputs'!$P$11*CV27</f>
        <v>-241.348059451967</v>
      </c>
      <c r="CW28" s="421" t="n">
        <f aca="false">'Operating Inputs'!$P$11*CW27</f>
        <v>-241.959578901147</v>
      </c>
      <c r="CX28" s="421" t="n">
        <f aca="false">'Operating Inputs'!$P$11*CX27</f>
        <v>-242.572606522259</v>
      </c>
      <c r="CY28" s="421" t="n">
        <f aca="false">'Operating Inputs'!$P$11*CY27</f>
        <v>-243.187146034863</v>
      </c>
      <c r="CZ28" s="421" t="n">
        <f aca="false">'Operating Inputs'!$P$11*CZ27</f>
        <v>-243.60504735177</v>
      </c>
      <c r="DA28" s="421" t="n">
        <f aca="false">'Operating Inputs'!$P$11*DA27</f>
        <v>-244.22262184275</v>
      </c>
      <c r="DB28" s="421" t="n">
        <f aca="false">'Operating Inputs'!$P$11*DB27</f>
        <v>-244.841719439029</v>
      </c>
      <c r="DC28" s="421" t="n">
        <f aca="false">'Operating Inputs'!$P$11*DC27</f>
        <v>-245.462343896996</v>
      </c>
      <c r="DD28" s="421" t="n">
        <f aca="false">'Operating Inputs'!$P$11*DD27</f>
        <v>-246.084498982303</v>
      </c>
      <c r="DE28" s="421" t="n">
        <f aca="false">'Operating Inputs'!$P$11*DE27</f>
        <v>-246.708188469891</v>
      </c>
      <c r="DF28" s="421" t="n">
        <f aca="false">'Operating Inputs'!$P$11*DF27</f>
        <v>-247.33341614401</v>
      </c>
      <c r="DG28" s="421" t="n">
        <f aca="false">'Operating Inputs'!$P$11*DG27</f>
        <v>-247.960185798242</v>
      </c>
      <c r="DH28" s="421" t="n">
        <f aca="false">'Operating Inputs'!$P$11*DH27</f>
        <v>-248.588501235526</v>
      </c>
      <c r="DI28" s="421" t="n">
        <f aca="false">'Operating Inputs'!$P$11*DI27</f>
        <v>-249.218366268181</v>
      </c>
      <c r="DJ28" s="421" t="n">
        <f aca="false">'Operating Inputs'!$P$11*DJ27</f>
        <v>-249.849784717927</v>
      </c>
      <c r="DK28" s="421" t="n">
        <f aca="false">'Operating Inputs'!$P$11*DK27</f>
        <v>-250.482760415909</v>
      </c>
      <c r="DL28" s="421" t="n">
        <f aca="false">'Operating Inputs'!$P$11*DL27</f>
        <v>-250.913198772324</v>
      </c>
      <c r="DM28" s="421" t="n">
        <f aca="false">'Operating Inputs'!$P$11*DM27</f>
        <v>-251.549300498033</v>
      </c>
      <c r="DN28" s="421" t="n">
        <f aca="false">'Operating Inputs'!$P$11*DN27</f>
        <v>-252.1869710222</v>
      </c>
      <c r="DO28" s="421" t="n">
        <f aca="false">'Operating Inputs'!$P$11*DO27</f>
        <v>-252.826214213906</v>
      </c>
      <c r="DP28" s="421" t="n">
        <f aca="false">'Operating Inputs'!$P$11*DP27</f>
        <v>-253.467033951773</v>
      </c>
      <c r="DQ28" s="421" t="n">
        <f aca="false">'Operating Inputs'!$P$11*DQ27</f>
        <v>-254.109434123988</v>
      </c>
      <c r="DR28" s="421" t="n">
        <f aca="false">'Operating Inputs'!$P$11*DR27</f>
        <v>-254.75341862833</v>
      </c>
      <c r="DS28" s="421" t="n">
        <f aca="false">'Operating Inputs'!$P$11*DS27</f>
        <v>-255.398991372189</v>
      </c>
      <c r="DT28" s="421" t="n">
        <f aca="false">'Operating Inputs'!$P$11*DT27</f>
        <v>-256.046156272592</v>
      </c>
      <c r="DU28" s="421" t="n">
        <f aca="false">'Operating Inputs'!$P$11*DU27</f>
        <v>-256.694917256227</v>
      </c>
      <c r="DV28" s="421" t="n">
        <f aca="false">'Operating Inputs'!$P$11*DV27</f>
        <v>-257.345278259465</v>
      </c>
      <c r="DW28" s="421" t="n">
        <f aca="false">'Operating Inputs'!$P$11*DW27</f>
        <v>-257.997243228386</v>
      </c>
      <c r="DX28" s="421" t="n">
        <f aca="false">'Operating Inputs'!$P$11*DX27</f>
        <v>-258.440594735494</v>
      </c>
      <c r="DY28" s="421" t="n">
        <f aca="false">'Operating Inputs'!$P$11*DY27</f>
        <v>-259.095779512974</v>
      </c>
      <c r="DZ28" s="421" t="n">
        <f aca="false">'Operating Inputs'!$P$11*DZ27</f>
        <v>-259.752580152866</v>
      </c>
      <c r="EA28" s="421" t="n">
        <f aca="false">'Operating Inputs'!$P$11*EA27</f>
        <v>-260.411000640323</v>
      </c>
      <c r="EB28" s="421" t="n">
        <f aca="false">'Operating Inputs'!$P$11*EB27</f>
        <v>-261.071044970326</v>
      </c>
      <c r="EC28" s="421" t="n">
        <f aca="false">'Operating Inputs'!$P$11*EC27</f>
        <v>-261.732717147708</v>
      </c>
      <c r="ED28" s="421" t="n">
        <f aca="false">'Operating Inputs'!$P$11*ED27</f>
        <v>-262.396021187181</v>
      </c>
      <c r="EE28" s="421" t="n">
        <f aca="false">'Operating Inputs'!$P$11*EE27</f>
        <v>-263.060961113355</v>
      </c>
      <c r="EF28" s="421" t="n">
        <f aca="false">'Operating Inputs'!$P$11*EF27</f>
        <v>-263.72754096077</v>
      </c>
      <c r="EG28" s="421" t="n">
        <f aca="false">'Operating Inputs'!$P$11*EG27</f>
        <v>-264.395764773914</v>
      </c>
      <c r="EH28" s="421" t="n">
        <f aca="false">'Operating Inputs'!$P$11*EH27</f>
        <v>-265.065636607249</v>
      </c>
      <c r="EI28" s="472" t="n">
        <f aca="false">'Operating Inputs'!$P$11*EI27</f>
        <v>-265.737160525238</v>
      </c>
      <c r="EK28" s="513" t="n">
        <f aca="true">SUM(OFFSET($G28,0,EK$24*12-11,1,12))</f>
        <v>-2239.73657670325</v>
      </c>
      <c r="EL28" s="421" t="n">
        <f aca="true">SUM(OFFSET($G28,0,EL$24*12-11,1,12))</f>
        <v>-2385.74041394605</v>
      </c>
      <c r="EM28" s="421" t="n">
        <f aca="true">SUM(OFFSET($G28,0,EM$24*12-11,1,12))</f>
        <v>-2481.79740396165</v>
      </c>
      <c r="EN28" s="421" t="n">
        <f aca="true">SUM(OFFSET($G28,0,EN$24*12-11,1,12))</f>
        <v>-2557.08076310814</v>
      </c>
      <c r="EO28" s="421" t="n">
        <f aca="true">SUM(OFFSET($G28,0,EO$24*12-11,1,12))</f>
        <v>-2633.79318600138</v>
      </c>
      <c r="EP28" s="421" t="n">
        <f aca="true">SUM(OFFSET($G28,0,EP$24*12-11,1,12))</f>
        <v>-2712.80698158142</v>
      </c>
      <c r="EQ28" s="421" t="n">
        <f aca="true">SUM(OFFSET($G28,0,EQ$24*12-11,1,12))</f>
        <v>-2794.19119102887</v>
      </c>
      <c r="ER28" s="421" t="n">
        <f aca="true">SUM(OFFSET($G28,0,ER$24*12-11,1,12))</f>
        <v>-2878.01692675974</v>
      </c>
      <c r="ES28" s="421" t="n">
        <f aca="true">SUM(OFFSET($G28,0,ES$24*12-11,1,12))</f>
        <v>-2964.35743456253</v>
      </c>
      <c r="ET28" s="472" t="n">
        <f aca="true">SUM(OFFSET($G28,0,ET$24*12-11,1,12))</f>
        <v>-3053.28815759941</v>
      </c>
    </row>
    <row r="29" s="522" customFormat="true" ht="13.5" hidden="false" customHeight="true" outlineLevel="0" collapsed="false">
      <c r="B29" s="554" t="s">
        <v>299</v>
      </c>
      <c r="C29" s="61"/>
      <c r="D29" s="421"/>
      <c r="E29" s="472" t="n">
        <f aca="true">SUM(OFFSET(G29,0,0,1,'Executive Summary'!$I$13+1))</f>
        <v>-229694.471598557</v>
      </c>
      <c r="F29" s="421"/>
      <c r="G29" s="513" t="n">
        <v>0</v>
      </c>
      <c r="H29" s="421" t="n">
        <f aca="false">H21-H27</f>
        <v>-3483.87731358646</v>
      </c>
      <c r="I29" s="421" t="n">
        <f aca="false">I21-I27</f>
        <v>-3368.68485398001</v>
      </c>
      <c r="J29" s="421" t="n">
        <f aca="false">J21-J27</f>
        <v>-3396.2934356335</v>
      </c>
      <c r="K29" s="421" t="n">
        <f aca="false">K21-K27</f>
        <v>-3418.12869806477</v>
      </c>
      <c r="L29" s="421" t="n">
        <f aca="false">L21-L27</f>
        <v>-3446.081186798</v>
      </c>
      <c r="M29" s="421" t="n">
        <f aca="false">M21-M27</f>
        <v>-3468.25402305204</v>
      </c>
      <c r="N29" s="421" t="n">
        <f aca="false">N21-N27</f>
        <v>-3496.55079612666</v>
      </c>
      <c r="O29" s="421" t="n">
        <f aca="false">O21-O27</f>
        <v>-3519.0615765176</v>
      </c>
      <c r="P29" s="421" t="n">
        <f aca="false">P21-P27</f>
        <v>-3547.7030116091</v>
      </c>
      <c r="Q29" s="421" t="n">
        <f aca="false">Q21-Q27</f>
        <v>-3570.55210685734</v>
      </c>
      <c r="R29" s="421" t="n">
        <f aca="false">R21-R27</f>
        <v>-3599.53858205552</v>
      </c>
      <c r="S29" s="421" t="n">
        <f aca="false">S21-S27</f>
        <v>-3622.72636328809</v>
      </c>
      <c r="T29" s="421" t="n">
        <f aca="false">T21-T27</f>
        <v>-3637.6275574467</v>
      </c>
      <c r="U29" s="421" t="n">
        <f aca="false">U21-U27</f>
        <v>-3651.38008982714</v>
      </c>
      <c r="V29" s="421" t="n">
        <f aca="false">V21-V27</f>
        <v>-3659.88176835705</v>
      </c>
      <c r="W29" s="421" t="n">
        <f aca="false">W21-W27</f>
        <v>-3675.01873664482</v>
      </c>
      <c r="X29" s="421" t="n">
        <f aca="false">X21-X27</f>
        <v>-3684.90275657603</v>
      </c>
      <c r="Y29" s="421" t="n">
        <f aca="false">Y21-Y27</f>
        <v>-3701.43302051834</v>
      </c>
      <c r="Z29" s="421" t="n">
        <f aca="false">Z21-Z27</f>
        <v>-3712.70825895167</v>
      </c>
      <c r="AA29" s="421" t="n">
        <f aca="false">AA21-AA27</f>
        <v>-3730.6407273698</v>
      </c>
      <c r="AB29" s="421" t="n">
        <f aca="false">AB21-AB27</f>
        <v>-3743.31611060449</v>
      </c>
      <c r="AC29" s="421" t="n">
        <f aca="false">AC21-AC27</f>
        <v>-3762.65974165867</v>
      </c>
      <c r="AD29" s="421" t="n">
        <f aca="false">AD21-AD27</f>
        <v>-3776.74424545802</v>
      </c>
      <c r="AE29" s="421" t="n">
        <f aca="false">AE21-AE27</f>
        <v>-3797.50804691358</v>
      </c>
      <c r="AF29" s="421" t="n">
        <f aca="false">AF21-AF27</f>
        <v>-3804.54379766659</v>
      </c>
      <c r="AG29" s="421" t="n">
        <f aca="false">AG21-AG27</f>
        <v>-3814.87376661769</v>
      </c>
      <c r="AH29" s="421" t="n">
        <f aca="false">AH21-AH27</f>
        <v>-3825.16156922266</v>
      </c>
      <c r="AI29" s="421" t="n">
        <f aca="false">AI21-AI27</f>
        <v>-3835.40692041475</v>
      </c>
      <c r="AJ29" s="421" t="n">
        <f aca="false">AJ21-AJ27</f>
        <v>-3845.60953393942</v>
      </c>
      <c r="AK29" s="421" t="n">
        <f aca="false">AK21-AK27</f>
        <v>-3855.76912235019</v>
      </c>
      <c r="AL29" s="421" t="n">
        <f aca="false">AL21-AL27</f>
        <v>-3865.88539700426</v>
      </c>
      <c r="AM29" s="421" t="n">
        <f aca="false">AM21-AM27</f>
        <v>-3875.95806805842</v>
      </c>
      <c r="AN29" s="421" t="n">
        <f aca="false">AN21-AN27</f>
        <v>-3885.98684446464</v>
      </c>
      <c r="AO29" s="421" t="n">
        <f aca="false">AO21-AO27</f>
        <v>-3895.97143396591</v>
      </c>
      <c r="AP29" s="421" t="n">
        <f aca="false">AP21-AP27</f>
        <v>-3905.91154309185</v>
      </c>
      <c r="AQ29" s="421" t="n">
        <f aca="false">AQ21-AQ27</f>
        <v>-3915.80687715441</v>
      </c>
      <c r="AR29" s="421" t="n">
        <f aca="false">AR21-AR27</f>
        <v>-3922.53593696452</v>
      </c>
      <c r="AS29" s="421" t="n">
        <f aca="false">AS21-AS27</f>
        <v>-3932.4801403419</v>
      </c>
      <c r="AT29" s="421" t="n">
        <f aca="false">AT21-AT27</f>
        <v>-3942.44886880746</v>
      </c>
      <c r="AU29" s="421" t="n">
        <f aca="false">AU21-AU27</f>
        <v>-3952.44218284672</v>
      </c>
      <c r="AV29" s="421" t="n">
        <f aca="false">AV21-AV27</f>
        <v>-3962.46014309432</v>
      </c>
      <c r="AW29" s="421" t="n">
        <f aca="false">AW21-AW27</f>
        <v>-3972.50281033445</v>
      </c>
      <c r="AX29" s="421" t="n">
        <f aca="false">AX21-AX27</f>
        <v>-3982.57024550124</v>
      </c>
      <c r="AY29" s="421" t="n">
        <f aca="false">AY21-AY27</f>
        <v>-3992.66250967905</v>
      </c>
      <c r="AZ29" s="421" t="n">
        <f aca="false">AZ21-AZ27</f>
        <v>-4002.77966410294</v>
      </c>
      <c r="BA29" s="421" t="n">
        <f aca="false">BA21-BA27</f>
        <v>-4012.92177015898</v>
      </c>
      <c r="BB29" s="421" t="n">
        <f aca="false">BB21-BB27</f>
        <v>-4023.0888893846</v>
      </c>
      <c r="BC29" s="421" t="n">
        <f aca="false">BC21-BC27</f>
        <v>-4033.28108346905</v>
      </c>
      <c r="BD29" s="421" t="n">
        <f aca="false">BD21-BD27</f>
        <v>-4040.21201507346</v>
      </c>
      <c r="BE29" s="421" t="n">
        <f aca="false">BE21-BE27</f>
        <v>-4050.45454455215</v>
      </c>
      <c r="BF29" s="421" t="n">
        <f aca="false">BF21-BF27</f>
        <v>-4060.72233487169</v>
      </c>
      <c r="BG29" s="421" t="n">
        <f aca="false">BG21-BG27</f>
        <v>-4071.01544833212</v>
      </c>
      <c r="BH29" s="421" t="n">
        <f aca="false">BH21-BH27</f>
        <v>-4081.33394738715</v>
      </c>
      <c r="BI29" s="421" t="n">
        <f aca="false">BI21-BI27</f>
        <v>-4091.67789464448</v>
      </c>
      <c r="BJ29" s="421" t="n">
        <f aca="false">BJ21-BJ27</f>
        <v>-4102.04735286627</v>
      </c>
      <c r="BK29" s="421" t="n">
        <f aca="false">BK21-BK27</f>
        <v>-4112.44238496943</v>
      </c>
      <c r="BL29" s="421" t="n">
        <f aca="false">BL21-BL27</f>
        <v>-4122.86305402604</v>
      </c>
      <c r="BM29" s="421" t="n">
        <f aca="false">BM21-BM27</f>
        <v>-4133.30942326375</v>
      </c>
      <c r="BN29" s="421" t="n">
        <f aca="false">BN21-BN27</f>
        <v>-4143.78155606614</v>
      </c>
      <c r="BO29" s="421" t="n">
        <f aca="false">BO21-BO27</f>
        <v>-4154.27951597312</v>
      </c>
      <c r="BP29" s="421" t="n">
        <f aca="false">BP21-BP27</f>
        <v>-4161.41837552567</v>
      </c>
      <c r="BQ29" s="421" t="n">
        <f aca="false">BQ21-BQ27</f>
        <v>-4171.96818088873</v>
      </c>
      <c r="BR29" s="421" t="n">
        <f aca="false">BR21-BR27</f>
        <v>-4182.54400491784</v>
      </c>
      <c r="BS29" s="421" t="n">
        <f aca="false">BS21-BS27</f>
        <v>-4193.14591178209</v>
      </c>
      <c r="BT29" s="421" t="n">
        <f aca="false">BT21-BT27</f>
        <v>-4203.77396580877</v>
      </c>
      <c r="BU29" s="421" t="n">
        <f aca="false">BU21-BU27</f>
        <v>-4214.42823148382</v>
      </c>
      <c r="BV29" s="421" t="n">
        <f aca="false">BV21-BV27</f>
        <v>-4225.10877345226</v>
      </c>
      <c r="BW29" s="421" t="n">
        <f aca="false">BW21-BW27</f>
        <v>-4235.81565651851</v>
      </c>
      <c r="BX29" s="421" t="n">
        <f aca="false">BX21-BX27</f>
        <v>-4246.54894564682</v>
      </c>
      <c r="BY29" s="421" t="n">
        <f aca="false">BY21-BY27</f>
        <v>-4257.30870596167</v>
      </c>
      <c r="BZ29" s="421" t="n">
        <f aca="false">BZ21-BZ27</f>
        <v>-4268.09500274813</v>
      </c>
      <c r="CA29" s="421" t="n">
        <f aca="false">CA21-CA27</f>
        <v>-4278.90790145232</v>
      </c>
      <c r="CB29" s="421" t="n">
        <f aca="false">CB21-CB27</f>
        <v>-4286.26092679144</v>
      </c>
      <c r="CC29" s="421" t="n">
        <f aca="false">CC21-CC27</f>
        <v>-4297.1272263154</v>
      </c>
      <c r="CD29" s="421" t="n">
        <f aca="false">CD21-CD27</f>
        <v>-4308.02032506539</v>
      </c>
      <c r="CE29" s="421" t="n">
        <f aca="false">CE21-CE27</f>
        <v>-4318.94028913556</v>
      </c>
      <c r="CF29" s="421" t="n">
        <f aca="false">CF21-CF27</f>
        <v>-4329.88718478303</v>
      </c>
      <c r="CG29" s="421" t="n">
        <f aca="false">CG21-CG27</f>
        <v>-4340.86107842835</v>
      </c>
      <c r="CH29" s="421" t="n">
        <f aca="false">CH21-CH27</f>
        <v>-4351.86203665583</v>
      </c>
      <c r="CI29" s="421" t="n">
        <f aca="false">CI21-CI27</f>
        <v>-4362.89012621407</v>
      </c>
      <c r="CJ29" s="421" t="n">
        <f aca="false">CJ21-CJ27</f>
        <v>-4373.94541401623</v>
      </c>
      <c r="CK29" s="421" t="n">
        <f aca="false">CK21-CK27</f>
        <v>-4385.02796714052</v>
      </c>
      <c r="CL29" s="421" t="n">
        <f aca="false">CL21-CL27</f>
        <v>-4396.13785283058</v>
      </c>
      <c r="CM29" s="421" t="n">
        <f aca="false">CM21-CM27</f>
        <v>-4407.27513849588</v>
      </c>
      <c r="CN29" s="421" t="n">
        <f aca="false">CN21-CN27</f>
        <v>-4414.84875459519</v>
      </c>
      <c r="CO29" s="421" t="n">
        <f aca="false">CO21-CO27</f>
        <v>-4426.04104310485</v>
      </c>
      <c r="CP29" s="421" t="n">
        <f aca="false">CP21-CP27</f>
        <v>-4437.26093481736</v>
      </c>
      <c r="CQ29" s="421" t="n">
        <f aca="false">CQ21-CQ27</f>
        <v>-4448.50849780963</v>
      </c>
      <c r="CR29" s="421" t="n">
        <f aca="false">CR21-CR27</f>
        <v>-4459.78380032654</v>
      </c>
      <c r="CS29" s="421" t="n">
        <f aca="false">CS21-CS27</f>
        <v>-4471.0869107812</v>
      </c>
      <c r="CT29" s="421" t="n">
        <f aca="false">CT21-CT27</f>
        <v>-4482.41789775551</v>
      </c>
      <c r="CU29" s="421" t="n">
        <f aca="false">CU21-CU27</f>
        <v>-4493.7768300005</v>
      </c>
      <c r="CV29" s="421" t="n">
        <f aca="false">CV21-CV27</f>
        <v>-4505.16377643672</v>
      </c>
      <c r="CW29" s="421" t="n">
        <f aca="false">CW21-CW27</f>
        <v>-4516.57880615474</v>
      </c>
      <c r="CX29" s="421" t="n">
        <f aca="false">CX21-CX27</f>
        <v>-4528.02198841549</v>
      </c>
      <c r="CY29" s="421" t="n">
        <f aca="false">CY21-CY27</f>
        <v>-4539.49339265077</v>
      </c>
      <c r="CZ29" s="421" t="n">
        <f aca="false">CZ21-CZ27</f>
        <v>-4547.29421723305</v>
      </c>
      <c r="DA29" s="421" t="n">
        <f aca="false">DA21-DA27</f>
        <v>-4558.822274398</v>
      </c>
      <c r="DB29" s="421" t="n">
        <f aca="false">DB21-DB27</f>
        <v>-4570.37876286187</v>
      </c>
      <c r="DC29" s="421" t="n">
        <f aca="false">DC21-DC27</f>
        <v>-4581.96375274393</v>
      </c>
      <c r="DD29" s="421" t="n">
        <f aca="false">DD21-DD27</f>
        <v>-4593.57731433633</v>
      </c>
      <c r="DE29" s="421" t="n">
        <f aca="false">DE21-DE27</f>
        <v>-4605.21951810464</v>
      </c>
      <c r="DF29" s="421" t="n">
        <f aca="false">DF21-DF27</f>
        <v>-4616.89043468819</v>
      </c>
      <c r="DG29" s="421" t="n">
        <f aca="false">DG21-DG27</f>
        <v>-4628.59013490051</v>
      </c>
      <c r="DH29" s="421" t="n">
        <f aca="false">DH21-DH27</f>
        <v>-4640.31868972983</v>
      </c>
      <c r="DI29" s="421" t="n">
        <f aca="false">DI21-DI27</f>
        <v>-4652.0761703394</v>
      </c>
      <c r="DJ29" s="421" t="n">
        <f aca="false">DJ21-DJ27</f>
        <v>-4663.86264806797</v>
      </c>
      <c r="DK29" s="421" t="n">
        <f aca="false">DK21-DK27</f>
        <v>-4675.67819443031</v>
      </c>
      <c r="DL29" s="421" t="n">
        <f aca="false">DL21-DL27</f>
        <v>-4683.71304375005</v>
      </c>
      <c r="DM29" s="421" t="n">
        <f aca="false">DM21-DM27</f>
        <v>-4695.58694262995</v>
      </c>
      <c r="DN29" s="421" t="n">
        <f aca="false">DN21-DN27</f>
        <v>-4707.49012574775</v>
      </c>
      <c r="DO29" s="421" t="n">
        <f aca="false">DO21-DO27</f>
        <v>-4719.42266532625</v>
      </c>
      <c r="DP29" s="421" t="n">
        <f aca="false">DP21-DP27</f>
        <v>-4731.38463376643</v>
      </c>
      <c r="DQ29" s="421" t="n">
        <f aca="false">DQ21-DQ27</f>
        <v>-4743.37610364778</v>
      </c>
      <c r="DR29" s="421" t="n">
        <f aca="false">DR21-DR27</f>
        <v>-4755.39714772884</v>
      </c>
      <c r="DS29" s="421" t="n">
        <f aca="false">DS21-DS27</f>
        <v>-4767.44783894754</v>
      </c>
      <c r="DT29" s="421" t="n">
        <f aca="false">DT21-DT27</f>
        <v>-4779.52825042173</v>
      </c>
      <c r="DU29" s="421" t="n">
        <f aca="false">DU21-DU27</f>
        <v>-4791.63845544957</v>
      </c>
      <c r="DV29" s="421" t="n">
        <f aca="false">DV21-DV27</f>
        <v>-4803.77852751002</v>
      </c>
      <c r="DW29" s="421" t="n">
        <f aca="false">DW21-DW27</f>
        <v>-4815.94854026321</v>
      </c>
      <c r="DX29" s="421" t="n">
        <f aca="false">DX21-DX27</f>
        <v>-4824.22443506256</v>
      </c>
      <c r="DY29" s="421" t="n">
        <f aca="false">DY21-DY27</f>
        <v>-4836.45455090885</v>
      </c>
      <c r="DZ29" s="421" t="n">
        <f aca="false">DZ21-DZ27</f>
        <v>-4848.71482952018</v>
      </c>
      <c r="EA29" s="421" t="n">
        <f aca="false">EA21-EA27</f>
        <v>-4861.00534528605</v>
      </c>
      <c r="EB29" s="421" t="n">
        <f aca="false">EB21-EB27</f>
        <v>-4873.32617277943</v>
      </c>
      <c r="EC29" s="421" t="n">
        <f aca="false">EC21-EC27</f>
        <v>-4885.67738675722</v>
      </c>
      <c r="ED29" s="421" t="n">
        <f aca="false">ED21-ED27</f>
        <v>-4898.05906216071</v>
      </c>
      <c r="EE29" s="421" t="n">
        <f aca="false">EE21-EE27</f>
        <v>-4910.47127411598</v>
      </c>
      <c r="EF29" s="421" t="n">
        <f aca="false">EF21-EF27</f>
        <v>-4922.91409793438</v>
      </c>
      <c r="EG29" s="421" t="n">
        <f aca="false">EG21-EG27</f>
        <v>-4935.38760911307</v>
      </c>
      <c r="EH29" s="421" t="n">
        <f aca="false">EH21-EH27</f>
        <v>-4947.89188333532</v>
      </c>
      <c r="EI29" s="472" t="n">
        <f aca="false">EI21-EI27</f>
        <v>-4960.42699647111</v>
      </c>
      <c r="EK29" s="513" t="n">
        <f aca="true">SUM(OFFSET($G29,0,EK$24*12-11,1,12))</f>
        <v>-41937.4519475691</v>
      </c>
      <c r="EL29" s="421" t="n">
        <f aca="true">SUM(OFFSET($G29,0,EL$24*12-11,1,12))</f>
        <v>-44533.8210603263</v>
      </c>
      <c r="EM29" s="421" t="n">
        <f aca="true">SUM(OFFSET($G29,0,EM$24*12-11,1,12))</f>
        <v>-46326.8848739508</v>
      </c>
      <c r="EN29" s="421" t="n">
        <f aca="true">SUM(OFFSET($G29,0,EN$24*12-11,1,12))</f>
        <v>-47732.1742446852</v>
      </c>
      <c r="EO29" s="421" t="n">
        <f aca="true">SUM(OFFSET($G29,0,EO$24*12-11,1,12))</f>
        <v>-49164.1394720258</v>
      </c>
      <c r="EP29" s="421" t="n">
        <f aca="true">SUM(OFFSET($G29,0,EP$24*12-11,1,12))</f>
        <v>-50639.0636561866</v>
      </c>
      <c r="EQ29" s="421" t="n">
        <f aca="true">SUM(OFFSET($G29,0,EQ$24*12-11,1,12))</f>
        <v>-52158.2355658723</v>
      </c>
      <c r="ER29" s="421" t="n">
        <f aca="true">SUM(OFFSET($G29,0,ER$24*12-11,1,12))</f>
        <v>-53722.9826328485</v>
      </c>
      <c r="ES29" s="421" t="n">
        <f aca="true">SUM(OFFSET($G29,0,ES$24*12-11,1,12))</f>
        <v>-55334.672111834</v>
      </c>
      <c r="ET29" s="472" t="n">
        <f aca="true">SUM(OFFSET($G29,0,ET$24*12-11,1,12))</f>
        <v>-56994.7122751891</v>
      </c>
    </row>
    <row r="30" s="522" customFormat="true" ht="13.5" hidden="false" customHeight="true" outlineLevel="0" collapsed="false">
      <c r="B30" s="555" t="s">
        <v>375</v>
      </c>
      <c r="C30" s="79"/>
      <c r="D30" s="478"/>
      <c r="E30" s="479" t="n">
        <f aca="true">SUM(OFFSET(G30,0,0,1,'Executive Summary'!$I$13+1))</f>
        <v>-12298.1483437205</v>
      </c>
      <c r="F30" s="421"/>
      <c r="G30" s="549" t="n">
        <v>0</v>
      </c>
      <c r="H30" s="478" t="n">
        <f aca="false">'Renovation Plan'!$D$12*H27</f>
        <v>-179.723649882753</v>
      </c>
      <c r="I30" s="478" t="n">
        <f aca="false">'Renovation Plan'!$D$12*I27</f>
        <v>-180.465260034643</v>
      </c>
      <c r="J30" s="478" t="n">
        <f aca="false">'Renovation Plan'!$D$12*J27</f>
        <v>-181.944291194652</v>
      </c>
      <c r="K30" s="478" t="n">
        <f aca="false">'Renovation Plan'!$D$12*K27</f>
        <v>-183.114037396327</v>
      </c>
      <c r="L30" s="478" t="n">
        <f aca="false">'Renovation Plan'!$D$12*L27</f>
        <v>-184.611492149893</v>
      </c>
      <c r="M30" s="478" t="n">
        <f aca="false">'Renovation Plan'!$D$12*M27</f>
        <v>-185.799322663502</v>
      </c>
      <c r="N30" s="478" t="n">
        <f aca="false">'Renovation Plan'!$D$12*N27</f>
        <v>-187.315221221071</v>
      </c>
      <c r="O30" s="478" t="n">
        <f aca="false">'Renovation Plan'!$D$12*O27</f>
        <v>-188.521155884872</v>
      </c>
      <c r="P30" s="478" t="n">
        <f aca="false">'Renovation Plan'!$D$12*P27</f>
        <v>-190.055518479059</v>
      </c>
      <c r="Q30" s="478" t="n">
        <f aca="false">'Renovation Plan'!$D$12*Q27</f>
        <v>-191.279577153072</v>
      </c>
      <c r="R30" s="478" t="n">
        <f aca="false">'Renovation Plan'!$D$12*R27</f>
        <v>-192.832424038688</v>
      </c>
      <c r="S30" s="478" t="n">
        <f aca="false">'Renovation Plan'!$D$12*S27</f>
        <v>-194.074626604719</v>
      </c>
      <c r="T30" s="478" t="n">
        <f aca="false">'Renovation Plan'!$P$12*T27</f>
        <v>-194.872904863216</v>
      </c>
      <c r="U30" s="478" t="n">
        <f aca="false">'Renovation Plan'!$P$12*U27</f>
        <v>-195.609647669311</v>
      </c>
      <c r="V30" s="478" t="n">
        <f aca="false">'Renovation Plan'!$P$12*V27</f>
        <v>-196.065094733413</v>
      </c>
      <c r="W30" s="478" t="n">
        <f aca="false">'Renovation Plan'!$P$12*W27</f>
        <v>-196.876003748829</v>
      </c>
      <c r="X30" s="478" t="n">
        <f aca="false">'Renovation Plan'!$P$12*X27</f>
        <v>-197.405504816573</v>
      </c>
      <c r="Y30" s="478" t="n">
        <f aca="false">'Renovation Plan'!$P$12*Y27</f>
        <v>-198.291054670625</v>
      </c>
      <c r="Z30" s="478" t="n">
        <f aca="false">'Renovation Plan'!$P$12*Z27</f>
        <v>-198.895085300982</v>
      </c>
      <c r="AA30" s="478" t="n">
        <f aca="false">'Renovation Plan'!$P$12*AA27</f>
        <v>-199.855753251953</v>
      </c>
      <c r="AB30" s="478" t="n">
        <f aca="false">'Renovation Plan'!$P$12*AB27</f>
        <v>-200.534791639527</v>
      </c>
      <c r="AC30" s="478" t="n">
        <f aca="false">'Renovation Plan'!$P$12*AC27</f>
        <v>-201.571057588857</v>
      </c>
      <c r="AD30" s="478" t="n">
        <f aca="false">'Renovation Plan'!$P$12*AD27</f>
        <v>-202.325584578108</v>
      </c>
      <c r="AE30" s="478" t="n">
        <f aca="false">'Renovation Plan'!$P$12*AE27</f>
        <v>-203.437931084656</v>
      </c>
      <c r="AF30" s="478" t="n">
        <f aca="false">'Operating Inputs'!$P$13*'Cash Flow - Monthly'!AF27</f>
        <v>-203.814846303567</v>
      </c>
      <c r="AG30" s="478" t="n">
        <f aca="false">'Operating Inputs'!$P$13*'Cash Flow - Monthly'!AG27</f>
        <v>-204.368237497376</v>
      </c>
      <c r="AH30" s="478" t="n">
        <f aca="false">'Operating Inputs'!$P$13*'Cash Flow - Monthly'!AH27</f>
        <v>-204.919369779785</v>
      </c>
      <c r="AI30" s="478" t="n">
        <f aca="false">'Operating Inputs'!$P$13*'Cash Flow - Monthly'!AI27</f>
        <v>-205.468227879361</v>
      </c>
      <c r="AJ30" s="478" t="n">
        <f aca="false">'Operating Inputs'!$P$13*'Cash Flow - Monthly'!AJ27</f>
        <v>-206.014796461041</v>
      </c>
      <c r="AK30" s="478" t="n">
        <f aca="false">'Operating Inputs'!$P$13*'Cash Flow - Monthly'!AK27</f>
        <v>-206.559060125903</v>
      </c>
      <c r="AL30" s="478" t="n">
        <f aca="false">'Operating Inputs'!$P$13*'Cash Flow - Monthly'!AL27</f>
        <v>-207.101003410942</v>
      </c>
      <c r="AM30" s="478" t="n">
        <f aca="false">'Operating Inputs'!$P$13*'Cash Flow - Monthly'!AM27</f>
        <v>-207.640610788843</v>
      </c>
      <c r="AN30" s="478" t="n">
        <f aca="false">'Operating Inputs'!$P$13*'Cash Flow - Monthly'!AN27</f>
        <v>-208.177866667749</v>
      </c>
      <c r="AO30" s="478" t="n">
        <f aca="false">'Operating Inputs'!$P$13*'Cash Flow - Monthly'!AO27</f>
        <v>-208.712755391031</v>
      </c>
      <c r="AP30" s="478" t="n">
        <f aca="false">'Operating Inputs'!$P$13*'Cash Flow - Monthly'!AP27</f>
        <v>-209.245261237063</v>
      </c>
      <c r="AQ30" s="478" t="n">
        <f aca="false">'Operating Inputs'!$P$13*'Cash Flow - Monthly'!AQ27</f>
        <v>-209.775368418986</v>
      </c>
      <c r="AR30" s="478" t="n">
        <f aca="false">'Operating Inputs'!$P$13*'Cash Flow - Monthly'!AR27</f>
        <v>-210.135853765956</v>
      </c>
      <c r="AS30" s="478" t="n">
        <f aca="false">'Operating Inputs'!$P$13*'Cash Flow - Monthly'!AS27</f>
        <v>-210.668578946887</v>
      </c>
      <c r="AT30" s="478" t="n">
        <f aca="false">'Operating Inputs'!$P$13*'Cash Flow - Monthly'!AT27</f>
        <v>-211.202617971828</v>
      </c>
      <c r="AU30" s="478" t="n">
        <f aca="false">'Operating Inputs'!$P$13*'Cash Flow - Monthly'!AU27</f>
        <v>-211.737974081074</v>
      </c>
      <c r="AV30" s="478" t="n">
        <f aca="false">'Operating Inputs'!$P$13*'Cash Flow - Monthly'!AV27</f>
        <v>-212.27465052291</v>
      </c>
      <c r="AW30" s="478" t="n">
        <f aca="false">'Operating Inputs'!$P$13*'Cash Flow - Monthly'!AW27</f>
        <v>-212.812650553631</v>
      </c>
      <c r="AX30" s="478" t="n">
        <f aca="false">'Operating Inputs'!$P$13*'Cash Flow - Monthly'!AX27</f>
        <v>-213.351977437566</v>
      </c>
      <c r="AY30" s="478" t="n">
        <f aca="false">'Operating Inputs'!$P$13*'Cash Flow - Monthly'!AY27</f>
        <v>-213.892634447092</v>
      </c>
      <c r="AZ30" s="478" t="n">
        <f aca="false">'Operating Inputs'!$P$13*'Cash Flow - Monthly'!AZ27</f>
        <v>-214.434624862658</v>
      </c>
      <c r="BA30" s="478" t="n">
        <f aca="false">'Operating Inputs'!$P$13*'Cash Flow - Monthly'!BA27</f>
        <v>-214.977951972802</v>
      </c>
      <c r="BB30" s="478" t="n">
        <f aca="false">'Operating Inputs'!$P$13*'Cash Flow - Monthly'!BB27</f>
        <v>-215.522619074175</v>
      </c>
      <c r="BC30" s="478" t="n">
        <f aca="false">'Operating Inputs'!$P$13*'Cash Flow - Monthly'!BC27</f>
        <v>-216.068629471556</v>
      </c>
      <c r="BD30" s="478" t="n">
        <f aca="false">'Operating Inputs'!$P$13*'Cash Flow - Monthly'!BD27</f>
        <v>-216.439929378935</v>
      </c>
      <c r="BE30" s="478" t="n">
        <f aca="false">'Operating Inputs'!$P$13*'Cash Flow - Monthly'!BE27</f>
        <v>-216.988636315294</v>
      </c>
      <c r="BF30" s="478" t="n">
        <f aca="false">'Operating Inputs'!$P$13*'Cash Flow - Monthly'!BF27</f>
        <v>-217.538696510983</v>
      </c>
      <c r="BG30" s="478" t="n">
        <f aca="false">'Operating Inputs'!$P$13*'Cash Flow - Monthly'!BG27</f>
        <v>-218.090113303507</v>
      </c>
      <c r="BH30" s="478" t="n">
        <f aca="false">'Operating Inputs'!$P$13*'Cash Flow - Monthly'!BH27</f>
        <v>-218.642890038597</v>
      </c>
      <c r="BI30" s="478" t="n">
        <f aca="false">'Operating Inputs'!$P$13*'Cash Flow - Monthly'!BI27</f>
        <v>-219.19703007024</v>
      </c>
      <c r="BJ30" s="478" t="n">
        <f aca="false">'Operating Inputs'!$P$13*'Cash Flow - Monthly'!BJ27</f>
        <v>-219.752536760693</v>
      </c>
      <c r="BK30" s="478" t="n">
        <f aca="false">'Operating Inputs'!$P$13*'Cash Flow - Monthly'!BK27</f>
        <v>-220.309413480505</v>
      </c>
      <c r="BL30" s="478" t="n">
        <f aca="false">'Operating Inputs'!$P$13*'Cash Flow - Monthly'!BL27</f>
        <v>-220.867663608537</v>
      </c>
      <c r="BM30" s="478" t="n">
        <f aca="false">'Operating Inputs'!$P$13*'Cash Flow - Monthly'!BM27</f>
        <v>-221.427290531986</v>
      </c>
      <c r="BN30" s="478" t="n">
        <f aca="false">'Operating Inputs'!$P$13*'Cash Flow - Monthly'!BN27</f>
        <v>-221.9882976464</v>
      </c>
      <c r="BO30" s="478" t="n">
        <f aca="false">'Operating Inputs'!$P$13*'Cash Flow - Monthly'!BO27</f>
        <v>-222.550688355703</v>
      </c>
      <c r="BP30" s="478" t="n">
        <f aca="false">'Operating Inputs'!$P$13*'Cash Flow - Monthly'!BP27</f>
        <v>-222.933127260303</v>
      </c>
      <c r="BQ30" s="478" t="n">
        <f aca="false">'Operating Inputs'!$P$13*'Cash Flow - Monthly'!BQ27</f>
        <v>-223.498295404753</v>
      </c>
      <c r="BR30" s="478" t="n">
        <f aca="false">'Operating Inputs'!$P$13*'Cash Flow - Monthly'!BR27</f>
        <v>-224.064857406313</v>
      </c>
      <c r="BS30" s="478" t="n">
        <f aca="false">'Operating Inputs'!$P$13*'Cash Flow - Monthly'!BS27</f>
        <v>-224.632816702612</v>
      </c>
      <c r="BT30" s="478" t="n">
        <f aca="false">'Operating Inputs'!$P$13*'Cash Flow - Monthly'!BT27</f>
        <v>-225.202176739755</v>
      </c>
      <c r="BU30" s="478" t="n">
        <f aca="false">'Operating Inputs'!$P$13*'Cash Flow - Monthly'!BU27</f>
        <v>-225.772940972348</v>
      </c>
      <c r="BV30" s="478" t="n">
        <f aca="false">'Operating Inputs'!$P$13*'Cash Flow - Monthly'!BV27</f>
        <v>-226.345112863514</v>
      </c>
      <c r="BW30" s="478" t="n">
        <f aca="false">'Operating Inputs'!$P$13*'Cash Flow - Monthly'!BW27</f>
        <v>-226.91869588492</v>
      </c>
      <c r="BX30" s="478" t="n">
        <f aca="false">'Operating Inputs'!$P$13*'Cash Flow - Monthly'!BX27</f>
        <v>-227.493693516794</v>
      </c>
      <c r="BY30" s="478" t="n">
        <f aca="false">'Operating Inputs'!$P$13*'Cash Flow - Monthly'!BY27</f>
        <v>-228.070109247946</v>
      </c>
      <c r="BZ30" s="478" t="n">
        <f aca="false">'Operating Inputs'!$P$13*'Cash Flow - Monthly'!BZ27</f>
        <v>-228.647946575793</v>
      </c>
      <c r="CA30" s="478" t="n">
        <f aca="false">'Operating Inputs'!$P$13*'Cash Flow - Monthly'!CA27</f>
        <v>-229.227209006374</v>
      </c>
      <c r="CB30" s="478" t="n">
        <f aca="false">'Operating Inputs'!$P$13*'Cash Flow - Monthly'!CB27</f>
        <v>-229.621121078113</v>
      </c>
      <c r="CC30" s="478" t="n">
        <f aca="false">'Operating Inputs'!$P$13*'Cash Flow - Monthly'!CC27</f>
        <v>-230.203244266896</v>
      </c>
      <c r="CD30" s="478" t="n">
        <f aca="false">'Operating Inputs'!$P$13*'Cash Flow - Monthly'!CD27</f>
        <v>-230.786803128503</v>
      </c>
      <c r="CE30" s="478" t="n">
        <f aca="false">'Operating Inputs'!$P$13*'Cash Flow - Monthly'!CE27</f>
        <v>-231.371801203691</v>
      </c>
      <c r="CF30" s="478" t="n">
        <f aca="false">'Operating Inputs'!$P$13*'Cash Flow - Monthly'!CF27</f>
        <v>-231.958242041948</v>
      </c>
      <c r="CG30" s="478" t="n">
        <f aca="false">'Operating Inputs'!$P$13*'Cash Flow - Monthly'!CG27</f>
        <v>-232.546129201518</v>
      </c>
      <c r="CH30" s="478" t="n">
        <f aca="false">'Operating Inputs'!$P$13*'Cash Flow - Monthly'!CH27</f>
        <v>-233.13546624942</v>
      </c>
      <c r="CI30" s="478" t="n">
        <f aca="false">'Operating Inputs'!$P$13*'Cash Flow - Monthly'!CI27</f>
        <v>-233.726256761468</v>
      </c>
      <c r="CJ30" s="478" t="n">
        <f aca="false">'Operating Inputs'!$P$13*'Cash Flow - Monthly'!CJ27</f>
        <v>-234.318504322298</v>
      </c>
      <c r="CK30" s="478" t="n">
        <f aca="false">'Operating Inputs'!$P$13*'Cash Flow - Monthly'!CK27</f>
        <v>-234.912212525385</v>
      </c>
      <c r="CL30" s="478" t="n">
        <f aca="false">'Operating Inputs'!$P$13*'Cash Flow - Monthly'!CL27</f>
        <v>-235.507384973067</v>
      </c>
      <c r="CM30" s="478" t="n">
        <f aca="false">'Operating Inputs'!$P$13*'Cash Flow - Monthly'!CM27</f>
        <v>-236.104025276565</v>
      </c>
      <c r="CN30" s="478" t="n">
        <f aca="false">'Operating Inputs'!$P$13*'Cash Flow - Monthly'!CN27</f>
        <v>-236.509754710456</v>
      </c>
      <c r="CO30" s="478" t="n">
        <f aca="false">'Operating Inputs'!$P$13*'Cash Flow - Monthly'!CO27</f>
        <v>-237.109341594903</v>
      </c>
      <c r="CP30" s="478" t="n">
        <f aca="false">'Operating Inputs'!$P$13*'Cash Flow - Monthly'!CP27</f>
        <v>-237.710407222358</v>
      </c>
      <c r="CQ30" s="478" t="n">
        <f aca="false">'Operating Inputs'!$P$13*'Cash Flow - Monthly'!CQ27</f>
        <v>-238.312955239801</v>
      </c>
      <c r="CR30" s="478" t="n">
        <f aca="false">'Operating Inputs'!$P$13*'Cash Flow - Monthly'!CR27</f>
        <v>-238.916989303207</v>
      </c>
      <c r="CS30" s="478" t="n">
        <f aca="false">'Operating Inputs'!$P$13*'Cash Flow - Monthly'!CS27</f>
        <v>-239.522513077564</v>
      </c>
      <c r="CT30" s="478" t="n">
        <f aca="false">'Operating Inputs'!$P$13*'Cash Flow - Monthly'!CT27</f>
        <v>-240.129530236902</v>
      </c>
      <c r="CU30" s="478" t="n">
        <f aca="false">'Operating Inputs'!$P$13*'Cash Flow - Monthly'!CU27</f>
        <v>-240.738044464312</v>
      </c>
      <c r="CV30" s="478" t="n">
        <f aca="false">'Operating Inputs'!$P$13*'Cash Flow - Monthly'!CV27</f>
        <v>-241.348059451967</v>
      </c>
      <c r="CW30" s="478" t="n">
        <f aca="false">'Operating Inputs'!$P$13*'Cash Flow - Monthly'!CW27</f>
        <v>-241.959578901147</v>
      </c>
      <c r="CX30" s="478" t="n">
        <f aca="false">'Operating Inputs'!$P$13*'Cash Flow - Monthly'!CX27</f>
        <v>-242.572606522259</v>
      </c>
      <c r="CY30" s="478" t="n">
        <f aca="false">'Operating Inputs'!$P$13*'Cash Flow - Monthly'!CY27</f>
        <v>-243.187146034863</v>
      </c>
      <c r="CZ30" s="478" t="n">
        <f aca="false">'Operating Inputs'!$P$13*'Cash Flow - Monthly'!CZ27</f>
        <v>-243.60504735177</v>
      </c>
      <c r="DA30" s="478" t="n">
        <f aca="false">'Operating Inputs'!$P$13*'Cash Flow - Monthly'!DA27</f>
        <v>-244.22262184275</v>
      </c>
      <c r="DB30" s="478" t="n">
        <f aca="false">'Operating Inputs'!$P$13*'Cash Flow - Monthly'!DB27</f>
        <v>-244.841719439029</v>
      </c>
      <c r="DC30" s="478" t="n">
        <f aca="false">'Operating Inputs'!$P$13*'Cash Flow - Monthly'!DC27</f>
        <v>-245.462343896996</v>
      </c>
      <c r="DD30" s="478" t="n">
        <f aca="false">'Operating Inputs'!$P$13*'Cash Flow - Monthly'!DD27</f>
        <v>-246.084498982303</v>
      </c>
      <c r="DE30" s="478" t="n">
        <f aca="false">'Operating Inputs'!$P$13*'Cash Flow - Monthly'!DE27</f>
        <v>-246.708188469891</v>
      </c>
      <c r="DF30" s="478" t="n">
        <f aca="false">'Operating Inputs'!$P$13*'Cash Flow - Monthly'!DF27</f>
        <v>-247.33341614401</v>
      </c>
      <c r="DG30" s="478" t="n">
        <f aca="false">'Operating Inputs'!$P$13*'Cash Flow - Monthly'!DG27</f>
        <v>-247.960185798242</v>
      </c>
      <c r="DH30" s="478" t="n">
        <f aca="false">'Operating Inputs'!$P$13*'Cash Flow - Monthly'!DH27</f>
        <v>-248.588501235526</v>
      </c>
      <c r="DI30" s="478" t="n">
        <f aca="false">'Operating Inputs'!$P$13*'Cash Flow - Monthly'!DI27</f>
        <v>-249.218366268181</v>
      </c>
      <c r="DJ30" s="478" t="n">
        <f aca="false">'Operating Inputs'!$P$13*'Cash Flow - Monthly'!DJ27</f>
        <v>-249.849784717927</v>
      </c>
      <c r="DK30" s="478" t="n">
        <f aca="false">'Operating Inputs'!$P$13*'Cash Flow - Monthly'!DK27</f>
        <v>-250.482760415909</v>
      </c>
      <c r="DL30" s="478" t="n">
        <f aca="false">'Operating Inputs'!$P$13*'Cash Flow - Monthly'!DL27</f>
        <v>-250.913198772324</v>
      </c>
      <c r="DM30" s="478" t="n">
        <f aca="false">'Operating Inputs'!$P$13*'Cash Flow - Monthly'!DM27</f>
        <v>-251.549300498033</v>
      </c>
      <c r="DN30" s="478" t="n">
        <f aca="false">'Operating Inputs'!$P$13*'Cash Flow - Monthly'!DN27</f>
        <v>-252.1869710222</v>
      </c>
      <c r="DO30" s="478" t="n">
        <f aca="false">'Operating Inputs'!$P$13*'Cash Flow - Monthly'!DO27</f>
        <v>-252.826214213906</v>
      </c>
      <c r="DP30" s="478" t="n">
        <f aca="false">'Operating Inputs'!$P$13*'Cash Flow - Monthly'!DP27</f>
        <v>-253.467033951773</v>
      </c>
      <c r="DQ30" s="478" t="n">
        <f aca="false">'Operating Inputs'!$P$13*'Cash Flow - Monthly'!DQ27</f>
        <v>-254.109434123988</v>
      </c>
      <c r="DR30" s="478" t="n">
        <f aca="false">'Operating Inputs'!$P$13*'Cash Flow - Monthly'!DR27</f>
        <v>-254.75341862833</v>
      </c>
      <c r="DS30" s="478" t="n">
        <f aca="false">'Operating Inputs'!$P$13*'Cash Flow - Monthly'!DS27</f>
        <v>-255.398991372189</v>
      </c>
      <c r="DT30" s="478" t="n">
        <f aca="false">'Operating Inputs'!$P$13*'Cash Flow - Monthly'!DT27</f>
        <v>-256.046156272592</v>
      </c>
      <c r="DU30" s="478" t="n">
        <f aca="false">'Operating Inputs'!$P$13*'Cash Flow - Monthly'!DU27</f>
        <v>-256.694917256227</v>
      </c>
      <c r="DV30" s="478" t="n">
        <f aca="false">'Operating Inputs'!$P$13*'Cash Flow - Monthly'!DV27</f>
        <v>-257.345278259465</v>
      </c>
      <c r="DW30" s="478" t="n">
        <f aca="false">'Operating Inputs'!$P$13*'Cash Flow - Monthly'!DW27</f>
        <v>-257.997243228386</v>
      </c>
      <c r="DX30" s="478" t="n">
        <f aca="false">'Operating Inputs'!$P$13*'Cash Flow - Monthly'!DX27</f>
        <v>-258.440594735494</v>
      </c>
      <c r="DY30" s="478" t="n">
        <f aca="false">'Operating Inputs'!$P$13*'Cash Flow - Monthly'!DY27</f>
        <v>-259.095779512974</v>
      </c>
      <c r="DZ30" s="478" t="n">
        <f aca="false">'Operating Inputs'!$P$13*'Cash Flow - Monthly'!DZ27</f>
        <v>-259.752580152866</v>
      </c>
      <c r="EA30" s="478" t="n">
        <f aca="false">'Operating Inputs'!$P$13*'Cash Flow - Monthly'!EA27</f>
        <v>-260.411000640323</v>
      </c>
      <c r="EB30" s="478" t="n">
        <f aca="false">'Operating Inputs'!$P$13*'Cash Flow - Monthly'!EB27</f>
        <v>-261.071044970326</v>
      </c>
      <c r="EC30" s="478" t="n">
        <f aca="false">'Operating Inputs'!$P$13*'Cash Flow - Monthly'!EC27</f>
        <v>-261.732717147708</v>
      </c>
      <c r="ED30" s="478" t="n">
        <f aca="false">'Operating Inputs'!$P$13*'Cash Flow - Monthly'!ED27</f>
        <v>-262.396021187181</v>
      </c>
      <c r="EE30" s="478" t="n">
        <f aca="false">'Operating Inputs'!$P$13*'Cash Flow - Monthly'!EE27</f>
        <v>-263.060961113355</v>
      </c>
      <c r="EF30" s="478" t="n">
        <f aca="false">'Operating Inputs'!$P$13*'Cash Flow - Monthly'!EF27</f>
        <v>-263.72754096077</v>
      </c>
      <c r="EG30" s="478" t="n">
        <f aca="false">'Operating Inputs'!$P$13*'Cash Flow - Monthly'!EG27</f>
        <v>-264.395764773914</v>
      </c>
      <c r="EH30" s="478" t="n">
        <f aca="false">'Operating Inputs'!$P$13*'Cash Flow - Monthly'!EH27</f>
        <v>-265.065636607249</v>
      </c>
      <c r="EI30" s="479" t="n">
        <f aca="false">'Operating Inputs'!$P$13*'Cash Flow - Monthly'!EI27</f>
        <v>-265.737160525238</v>
      </c>
      <c r="EK30" s="549" t="n">
        <f aca="true">SUM(OFFSET($G30,0,EK$24*12-11,1,12))</f>
        <v>-2239.73657670325</v>
      </c>
      <c r="EL30" s="478" t="n">
        <f aca="true">SUM(OFFSET($G30,0,EL$24*12-11,1,12))</f>
        <v>-2385.74041394605</v>
      </c>
      <c r="EM30" s="478" t="n">
        <f aca="true">SUM(OFFSET($G30,0,EM$24*12-11,1,12))</f>
        <v>-2481.79740396165</v>
      </c>
      <c r="EN30" s="478" t="n">
        <f aca="true">SUM(OFFSET($G30,0,EN$24*12-11,1,12))</f>
        <v>-2557.08076310814</v>
      </c>
      <c r="EO30" s="478" t="n">
        <f aca="true">SUM(OFFSET($G30,0,EO$24*12-11,1,12))</f>
        <v>-2633.79318600138</v>
      </c>
      <c r="EP30" s="478" t="n">
        <f aca="true">SUM(OFFSET($G30,0,EP$24*12-11,1,12))</f>
        <v>-2712.80698158142</v>
      </c>
      <c r="EQ30" s="478" t="n">
        <f aca="true">SUM(OFFSET($G30,0,EQ$24*12-11,1,12))</f>
        <v>-2794.19119102887</v>
      </c>
      <c r="ER30" s="478" t="n">
        <f aca="true">SUM(OFFSET($G30,0,ER$24*12-11,1,12))</f>
        <v>-2878.01692675974</v>
      </c>
      <c r="ES30" s="478" t="n">
        <f aca="true">SUM(OFFSET($G30,0,ES$24*12-11,1,12))</f>
        <v>-2964.35743456253</v>
      </c>
      <c r="ET30" s="479" t="n">
        <f aca="true">SUM(OFFSET($G30,0,ET$24*12-11,1,12))</f>
        <v>-3053.28815759941</v>
      </c>
    </row>
    <row r="31" s="550" customFormat="true" ht="13.5" hidden="false" customHeight="true" outlineLevel="0" collapsed="false">
      <c r="B31" s="543" t="s">
        <v>376</v>
      </c>
      <c r="C31" s="552"/>
      <c r="D31" s="473"/>
      <c r="E31" s="553" t="n">
        <f aca="true">SUM(OFFSET(G31,0,0,1,'Executive Summary'!$I$13+1))</f>
        <v>3845092.01295416</v>
      </c>
      <c r="F31" s="473"/>
      <c r="G31" s="543" t="n">
        <f aca="false">SUM(G27:G30)</f>
        <v>0</v>
      </c>
      <c r="H31" s="473" t="n">
        <f aca="false">SUM(H27:H30)</f>
        <v>56064.558680899</v>
      </c>
      <c r="I31" s="473" t="n">
        <f aca="false">SUM(I27:I30)</f>
        <v>56425.4713041651</v>
      </c>
      <c r="J31" s="473" t="n">
        <f aca="false">SUM(J27:J30)</f>
        <v>56887.9150468611</v>
      </c>
      <c r="K31" s="473" t="n">
        <f aca="false">SUM(K27:K30)</f>
        <v>57253.6556925848</v>
      </c>
      <c r="L31" s="473" t="n">
        <f aca="false">SUM(L27:L30)</f>
        <v>57721.8598788665</v>
      </c>
      <c r="M31" s="473" t="n">
        <f aca="false">SUM(M27:M30)</f>
        <v>58093.2548861216</v>
      </c>
      <c r="N31" s="473" t="n">
        <f aca="false">SUM(N27:N30)</f>
        <v>58567.2258351214</v>
      </c>
      <c r="O31" s="473" t="n">
        <f aca="false">SUM(O27:O30)</f>
        <v>58944.2814066699</v>
      </c>
      <c r="P31" s="473" t="n">
        <f aca="false">SUM(P27:P30)</f>
        <v>59424.0254444524</v>
      </c>
      <c r="Q31" s="473" t="n">
        <f aca="false">SUM(Q27:Q30)</f>
        <v>59806.7477898604</v>
      </c>
      <c r="R31" s="473" t="n">
        <f aca="false">SUM(R27:R30)</f>
        <v>60292.2712494298</v>
      </c>
      <c r="S31" s="473" t="n">
        <f aca="false">SUM(S27:S30)</f>
        <v>60680.6665850755</v>
      </c>
      <c r="T31" s="473" t="n">
        <f aca="false">SUM(T27:T30)</f>
        <v>60930.2615872322</v>
      </c>
      <c r="U31" s="473" t="n">
        <f aca="false">SUM(U27:U30)</f>
        <v>61160.6165046046</v>
      </c>
      <c r="V31" s="473" t="n">
        <f aca="false">SUM(V27:V30)</f>
        <v>61303.0196199804</v>
      </c>
      <c r="W31" s="473" t="n">
        <f aca="false">SUM(W27:W30)</f>
        <v>61556.5638388006</v>
      </c>
      <c r="X31" s="473" t="n">
        <f aca="false">SUM(X27:X30)</f>
        <v>61722.1211726486</v>
      </c>
      <c r="Y31" s="473" t="n">
        <f aca="false">SUM(Y27:Y30)</f>
        <v>61999.0030936822</v>
      </c>
      <c r="Z31" s="473" t="n">
        <f aca="false">SUM(Z27:Z30)</f>
        <v>62187.8633374404</v>
      </c>
      <c r="AA31" s="473" t="n">
        <f aca="false">SUM(AA27:AA30)</f>
        <v>62488.232183444</v>
      </c>
      <c r="AB31" s="473" t="n">
        <f aca="false">SUM(AB27:AB30)</f>
        <v>62700.5448526253</v>
      </c>
      <c r="AC31" s="473" t="n">
        <f aca="false">SUM(AC27:AC30)</f>
        <v>63024.5506727826</v>
      </c>
      <c r="AD31" s="473" t="n">
        <f aca="false">SUM(AD27:AD30)</f>
        <v>63260.4661114217</v>
      </c>
      <c r="AE31" s="473" t="n">
        <f aca="false">SUM(AE27:AE30)</f>
        <v>63608.2597858024</v>
      </c>
      <c r="AF31" s="473" t="n">
        <f aca="false">SUM(AF27:AF30)</f>
        <v>63726.1086109153</v>
      </c>
      <c r="AG31" s="473" t="n">
        <f aca="false">SUM(AG27:AG30)</f>
        <v>63899.1355908462</v>
      </c>
      <c r="AH31" s="473" t="n">
        <f aca="false">SUM(AH27:AH30)</f>
        <v>64071.4562844795</v>
      </c>
      <c r="AI31" s="473" t="n">
        <f aca="false">SUM(AI27:AI30)</f>
        <v>64243.065916947</v>
      </c>
      <c r="AJ31" s="473" t="n">
        <f aca="false">SUM(AJ27:AJ30)</f>
        <v>64413.9596934854</v>
      </c>
      <c r="AK31" s="473" t="n">
        <f aca="false">SUM(AK27:AK30)</f>
        <v>64584.1327993655</v>
      </c>
      <c r="AL31" s="473" t="n">
        <f aca="false">SUM(AL27:AL30)</f>
        <v>64753.5803998213</v>
      </c>
      <c r="AM31" s="473" t="n">
        <f aca="false">SUM(AM27:AM30)</f>
        <v>64922.2976399783</v>
      </c>
      <c r="AN31" s="473" t="n">
        <f aca="false">SUM(AN27:AN30)</f>
        <v>65090.2796447827</v>
      </c>
      <c r="AO31" s="473" t="n">
        <f aca="false">SUM(AO27:AO30)</f>
        <v>65257.521518929</v>
      </c>
      <c r="AP31" s="473" t="n">
        <f aca="false">SUM(AP27:AP30)</f>
        <v>65424.0183467883</v>
      </c>
      <c r="AQ31" s="473" t="n">
        <f aca="false">SUM(AQ27:AQ30)</f>
        <v>65589.7651923363</v>
      </c>
      <c r="AR31" s="473" t="n">
        <f aca="false">SUM(AR27:AR30)</f>
        <v>65702.4769441557</v>
      </c>
      <c r="AS31" s="473" t="n">
        <f aca="false">SUM(AS27:AS30)</f>
        <v>65869.0423507267</v>
      </c>
      <c r="AT31" s="473" t="n">
        <f aca="false">SUM(AT27:AT30)</f>
        <v>66036.018552525</v>
      </c>
      <c r="AU31" s="473" t="n">
        <f aca="false">SUM(AU27:AU30)</f>
        <v>66203.4065626826</v>
      </c>
      <c r="AV31" s="473" t="n">
        <f aca="false">SUM(AV27:AV30)</f>
        <v>66371.2073968298</v>
      </c>
      <c r="AW31" s="473" t="n">
        <f aca="false">SUM(AW27:AW30)</f>
        <v>66539.422073102</v>
      </c>
      <c r="AX31" s="473" t="n">
        <f aca="false">SUM(AX27:AX30)</f>
        <v>66708.0516121456</v>
      </c>
      <c r="AY31" s="473" t="n">
        <f aca="false">SUM(AY27:AY30)</f>
        <v>66877.0970371241</v>
      </c>
      <c r="AZ31" s="473" t="n">
        <f aca="false">SUM(AZ27:AZ30)</f>
        <v>67046.5593737243</v>
      </c>
      <c r="BA31" s="473" t="n">
        <f aca="false">SUM(BA27:BA30)</f>
        <v>67216.4396501628</v>
      </c>
      <c r="BB31" s="473" t="n">
        <f aca="false">SUM(BB27:BB30)</f>
        <v>67386.738897192</v>
      </c>
      <c r="BC31" s="473" t="n">
        <f aca="false">SUM(BC27:BC30)</f>
        <v>67557.4581481064</v>
      </c>
      <c r="BD31" s="473" t="n">
        <f aca="false">SUM(BD27:BD30)</f>
        <v>67673.5512524804</v>
      </c>
      <c r="BE31" s="473" t="n">
        <f aca="false">SUM(BE27:BE30)</f>
        <v>67845.1136212485</v>
      </c>
      <c r="BF31" s="473" t="n">
        <f aca="false">SUM(BF27:BF30)</f>
        <v>68017.0991091008</v>
      </c>
      <c r="BG31" s="473" t="n">
        <f aca="false">SUM(BG27:BG30)</f>
        <v>68189.5087595631</v>
      </c>
      <c r="BH31" s="473" t="n">
        <f aca="false">SUM(BH27:BH30)</f>
        <v>68362.3436187347</v>
      </c>
      <c r="BI31" s="473" t="n">
        <f aca="false">SUM(BI27:BI30)</f>
        <v>68535.6047352951</v>
      </c>
      <c r="BJ31" s="473" t="n">
        <f aca="false">SUM(BJ27:BJ30)</f>
        <v>68709.29316051</v>
      </c>
      <c r="BK31" s="473" t="n">
        <f aca="false">SUM(BK27:BK30)</f>
        <v>68883.4099482378</v>
      </c>
      <c r="BL31" s="473" t="n">
        <f aca="false">SUM(BL27:BL30)</f>
        <v>69057.956154936</v>
      </c>
      <c r="BM31" s="473" t="n">
        <f aca="false">SUM(BM27:BM30)</f>
        <v>69232.9328396677</v>
      </c>
      <c r="BN31" s="473" t="n">
        <f aca="false">SUM(BN27:BN30)</f>
        <v>69408.3410641078</v>
      </c>
      <c r="BO31" s="473" t="n">
        <f aca="false">SUM(BO27:BO30)</f>
        <v>69584.1818925497</v>
      </c>
      <c r="BP31" s="473" t="n">
        <f aca="false">SUM(BP27:BP30)</f>
        <v>69703.7577900549</v>
      </c>
      <c r="BQ31" s="473" t="n">
        <f aca="false">SUM(BQ27:BQ30)</f>
        <v>69880.467029886</v>
      </c>
      <c r="BR31" s="473" t="n">
        <f aca="false">SUM(BR27:BR30)</f>
        <v>70057.6120823739</v>
      </c>
      <c r="BS31" s="473" t="n">
        <f aca="false">SUM(BS27:BS30)</f>
        <v>70235.19402235</v>
      </c>
      <c r="BT31" s="473" t="n">
        <f aca="false">SUM(BT27:BT30)</f>
        <v>70413.2139272968</v>
      </c>
      <c r="BU31" s="473" t="n">
        <f aca="false">SUM(BU27:BU30)</f>
        <v>70591.672877354</v>
      </c>
      <c r="BV31" s="473" t="n">
        <f aca="false">SUM(BV27:BV30)</f>
        <v>70770.5719553254</v>
      </c>
      <c r="BW31" s="473" t="n">
        <f aca="false">SUM(BW27:BW30)</f>
        <v>70949.912246685</v>
      </c>
      <c r="BX31" s="473" t="n">
        <f aca="false">SUM(BX27:BX30)</f>
        <v>71129.6948395842</v>
      </c>
      <c r="BY31" s="473" t="n">
        <f aca="false">SUM(BY27:BY30)</f>
        <v>71309.9208248578</v>
      </c>
      <c r="BZ31" s="473" t="n">
        <f aca="false">SUM(BZ27:BZ30)</f>
        <v>71490.5912960311</v>
      </c>
      <c r="CA31" s="473" t="n">
        <f aca="false">SUM(CA27:CA30)</f>
        <v>71671.7073493262</v>
      </c>
      <c r="CB31" s="473" t="n">
        <f aca="false">SUM(CB27:CB30)</f>
        <v>71794.8705237566</v>
      </c>
      <c r="CC31" s="473" t="n">
        <f aca="false">SUM(CC27:CC30)</f>
        <v>71976.8810407827</v>
      </c>
      <c r="CD31" s="473" t="n">
        <f aca="false">SUM(CD27:CD30)</f>
        <v>72159.3404448452</v>
      </c>
      <c r="CE31" s="473" t="n">
        <f aca="false">SUM(CE27:CE30)</f>
        <v>72342.2498430206</v>
      </c>
      <c r="CF31" s="473" t="n">
        <f aca="false">SUM(CF27:CF30)</f>
        <v>72525.6103451158</v>
      </c>
      <c r="CG31" s="473" t="n">
        <f aca="false">SUM(CG27:CG30)</f>
        <v>72709.4230636747</v>
      </c>
      <c r="CH31" s="473" t="n">
        <f aca="false">SUM(CH27:CH30)</f>
        <v>72893.6891139852</v>
      </c>
      <c r="CI31" s="473" t="n">
        <f aca="false">SUM(CI27:CI30)</f>
        <v>73078.4096140856</v>
      </c>
      <c r="CJ31" s="473" t="n">
        <f aca="false">SUM(CJ27:CJ30)</f>
        <v>73263.5856847718</v>
      </c>
      <c r="CK31" s="473" t="n">
        <f aca="false">SUM(CK27:CK30)</f>
        <v>73449.2184496036</v>
      </c>
      <c r="CL31" s="473" t="n">
        <f aca="false">SUM(CL27:CL30)</f>
        <v>73635.3090349121</v>
      </c>
      <c r="CM31" s="473" t="n">
        <f aca="false">SUM(CM27:CM30)</f>
        <v>73821.8585698061</v>
      </c>
      <c r="CN31" s="473" t="n">
        <f aca="false">SUM(CN27:CN30)</f>
        <v>73948.7166394693</v>
      </c>
      <c r="CO31" s="473" t="n">
        <f aca="false">SUM(CO27:CO30)</f>
        <v>74136.1874720062</v>
      </c>
      <c r="CP31" s="473" t="n">
        <f aca="false">SUM(CP27:CP30)</f>
        <v>74324.1206581906</v>
      </c>
      <c r="CQ31" s="473" t="n">
        <f aca="false">SUM(CQ27:CQ30)</f>
        <v>74512.5173383112</v>
      </c>
      <c r="CR31" s="473" t="n">
        <f aca="false">SUM(CR27:CR30)</f>
        <v>74701.3786554693</v>
      </c>
      <c r="CS31" s="473" t="n">
        <f aca="false">SUM(CS27:CS30)</f>
        <v>74890.705755585</v>
      </c>
      <c r="CT31" s="473" t="n">
        <f aca="false">SUM(CT27:CT30)</f>
        <v>75080.4997874048</v>
      </c>
      <c r="CU31" s="473" t="n">
        <f aca="false">SUM(CU27:CU30)</f>
        <v>75270.7619025083</v>
      </c>
      <c r="CV31" s="473" t="n">
        <f aca="false">SUM(CV27:CV30)</f>
        <v>75461.493255315</v>
      </c>
      <c r="CW31" s="473" t="n">
        <f aca="false">SUM(CW27:CW30)</f>
        <v>75652.6950030918</v>
      </c>
      <c r="CX31" s="473" t="n">
        <f aca="false">SUM(CX27:CX30)</f>
        <v>75844.3683059596</v>
      </c>
      <c r="CY31" s="473" t="n">
        <f aca="false">SUM(CY27:CY30)</f>
        <v>76036.5143269004</v>
      </c>
      <c r="CZ31" s="473" t="n">
        <f aca="false">SUM(CZ27:CZ30)</f>
        <v>76167.1781386535</v>
      </c>
      <c r="DA31" s="473" t="n">
        <f aca="false">SUM(DA27:DA30)</f>
        <v>76360.2730961665</v>
      </c>
      <c r="DB31" s="473" t="n">
        <f aca="false">SUM(DB27:DB30)</f>
        <v>76553.8442779364</v>
      </c>
      <c r="DC31" s="473" t="n">
        <f aca="false">SUM(DC27:DC30)</f>
        <v>76747.8928584607</v>
      </c>
      <c r="DD31" s="473" t="n">
        <f aca="false">SUM(DD27:DD30)</f>
        <v>76942.4200151335</v>
      </c>
      <c r="DE31" s="473" t="n">
        <f aca="false">SUM(DE27:DE30)</f>
        <v>77137.4269282527</v>
      </c>
      <c r="DF31" s="473" t="n">
        <f aca="false">SUM(DF27:DF30)</f>
        <v>77332.9147810271</v>
      </c>
      <c r="DG31" s="473" t="n">
        <f aca="false">SUM(DG27:DG30)</f>
        <v>77528.8847595836</v>
      </c>
      <c r="DH31" s="473" t="n">
        <f aca="false">SUM(DH27:DH30)</f>
        <v>77725.3380529746</v>
      </c>
      <c r="DI31" s="473" t="n">
        <f aca="false">SUM(DI27:DI30)</f>
        <v>77922.2758531847</v>
      </c>
      <c r="DJ31" s="473" t="n">
        <f aca="false">SUM(DJ27:DJ30)</f>
        <v>78119.6993551385</v>
      </c>
      <c r="DK31" s="473" t="n">
        <f aca="false">SUM(DK27:DK30)</f>
        <v>78317.6097567075</v>
      </c>
      <c r="DL31" s="473" t="n">
        <f aca="false">SUM(DL27:DL30)</f>
        <v>78452.1934828132</v>
      </c>
      <c r="DM31" s="473" t="n">
        <f aca="false">SUM(DM27:DM30)</f>
        <v>78651.0812890516</v>
      </c>
      <c r="DN31" s="473" t="n">
        <f aca="false">SUM(DN27:DN30)</f>
        <v>78850.4596062746</v>
      </c>
      <c r="DO31" s="473" t="n">
        <f aca="false">SUM(DO27:DO30)</f>
        <v>79050.3296442146</v>
      </c>
      <c r="DP31" s="473" t="n">
        <f aca="false">SUM(DP27:DP30)</f>
        <v>79250.6926155876</v>
      </c>
      <c r="DQ31" s="473" t="n">
        <f aca="false">SUM(DQ27:DQ30)</f>
        <v>79451.5497361003</v>
      </c>
      <c r="DR31" s="473" t="n">
        <f aca="false">SUM(DR27:DR30)</f>
        <v>79652.902224458</v>
      </c>
      <c r="DS31" s="473" t="n">
        <f aca="false">SUM(DS27:DS30)</f>
        <v>79854.7513023712</v>
      </c>
      <c r="DT31" s="473" t="n">
        <f aca="false">SUM(DT27:DT30)</f>
        <v>80057.0981945639</v>
      </c>
      <c r="DU31" s="473" t="n">
        <f aca="false">SUM(DU27:DU30)</f>
        <v>80259.9441287803</v>
      </c>
      <c r="DV31" s="473" t="n">
        <f aca="false">SUM(DV27:DV30)</f>
        <v>80463.2903357927</v>
      </c>
      <c r="DW31" s="473" t="n">
        <f aca="false">SUM(DW27:DW30)</f>
        <v>80667.1380494088</v>
      </c>
      <c r="DX31" s="473" t="n">
        <f aca="false">SUM(DX27:DX30)</f>
        <v>80805.7592872977</v>
      </c>
      <c r="DY31" s="473" t="n">
        <f aca="false">SUM(DY27:DY30)</f>
        <v>81010.6137277232</v>
      </c>
      <c r="DZ31" s="473" t="n">
        <f aca="false">SUM(DZ27:DZ30)</f>
        <v>81215.9733944629</v>
      </c>
      <c r="EA31" s="473" t="n">
        <f aca="false">SUM(EA27:EA30)</f>
        <v>81421.8395335411</v>
      </c>
      <c r="EB31" s="473" t="n">
        <f aca="false">SUM(EB27:EB30)</f>
        <v>81628.2133940553</v>
      </c>
      <c r="EC31" s="473" t="n">
        <f aca="false">SUM(EC27:EC30)</f>
        <v>81835.0962281834</v>
      </c>
      <c r="ED31" s="473" t="n">
        <f aca="false">SUM(ED27:ED30)</f>
        <v>82042.4892911918</v>
      </c>
      <c r="EE31" s="473" t="n">
        <f aca="false">SUM(EE27:EE30)</f>
        <v>82250.3938414425</v>
      </c>
      <c r="EF31" s="473" t="n">
        <f aca="false">SUM(EF27:EF30)</f>
        <v>82458.8111404009</v>
      </c>
      <c r="EG31" s="473" t="n">
        <f aca="false">SUM(EG27:EG30)</f>
        <v>82667.7424526438</v>
      </c>
      <c r="EH31" s="473" t="n">
        <f aca="false">SUM(EH27:EH30)</f>
        <v>82877.1890458665</v>
      </c>
      <c r="EI31" s="553" t="n">
        <f aca="false">SUM(EI27:EI30)</f>
        <v>83087.1521908911</v>
      </c>
      <c r="EK31" s="543" t="n">
        <f aca="true">SUM(OFFSET($G31,0,EK$24*12-11,1,12))</f>
        <v>700161.933800108</v>
      </c>
      <c r="EL31" s="473" t="n">
        <f aca="true">SUM(OFFSET($G31,0,EL$24*12-11,1,12))</f>
        <v>745941.502760465</v>
      </c>
      <c r="EM31" s="473" t="n">
        <f aca="true">SUM(OFFSET($G31,0,EM$24*12-11,1,12))</f>
        <v>775975.321638675</v>
      </c>
      <c r="EN31" s="473" t="n">
        <f aca="true">SUM(OFFSET($G31,0,EN$24*12-11,1,12))</f>
        <v>799513.918598477</v>
      </c>
      <c r="EO31" s="473" t="n">
        <f aca="true">SUM(OFFSET($G31,0,EO$24*12-11,1,12))</f>
        <v>823499.336156432</v>
      </c>
      <c r="EP31" s="473" t="n">
        <f aca="true">SUM(OFFSET($G31,0,EP$24*12-11,1,12))</f>
        <v>848204.316241125</v>
      </c>
      <c r="EQ31" s="473" t="n">
        <f aca="true">SUM(OFFSET($G31,0,EQ$24*12-11,1,12))</f>
        <v>873650.44572836</v>
      </c>
      <c r="ER31" s="473" t="n">
        <f aca="true">SUM(OFFSET($G31,0,ER$24*12-11,1,12))</f>
        <v>899859.959100212</v>
      </c>
      <c r="ES31" s="473" t="n">
        <f aca="true">SUM(OFFSET($G31,0,ES$24*12-11,1,12))</f>
        <v>926855.757873219</v>
      </c>
      <c r="ET31" s="553" t="n">
        <f aca="true">SUM(OFFSET($G31,0,ET$24*12-11,1,12))</f>
        <v>954661.430609417</v>
      </c>
    </row>
    <row r="32" s="522" customFormat="true" ht="13.5" hidden="false" customHeight="true" outlineLevel="0" collapsed="false">
      <c r="B32" s="543" t="s">
        <v>377</v>
      </c>
      <c r="C32" s="61"/>
      <c r="D32" s="421"/>
      <c r="E32" s="472"/>
      <c r="F32" s="421"/>
      <c r="G32" s="513"/>
      <c r="H32" s="421"/>
      <c r="I32" s="421"/>
      <c r="J32" s="421"/>
      <c r="K32" s="421"/>
      <c r="L32" s="421"/>
      <c r="M32" s="421"/>
      <c r="N32" s="421"/>
      <c r="O32" s="421"/>
      <c r="P32" s="421"/>
      <c r="Q32" s="421"/>
      <c r="R32" s="421"/>
      <c r="S32" s="421"/>
      <c r="T32" s="421"/>
      <c r="U32" s="421"/>
      <c r="V32" s="421"/>
      <c r="W32" s="421"/>
      <c r="X32" s="421"/>
      <c r="Y32" s="421"/>
      <c r="Z32" s="421"/>
      <c r="AA32" s="421"/>
      <c r="AB32" s="421"/>
      <c r="AC32" s="421"/>
      <c r="AD32" s="421"/>
      <c r="AE32" s="421"/>
      <c r="AF32" s="421"/>
      <c r="AG32" s="421"/>
      <c r="AH32" s="421"/>
      <c r="AI32" s="421"/>
      <c r="AJ32" s="421"/>
      <c r="AK32" s="421"/>
      <c r="AL32" s="421"/>
      <c r="AM32" s="421"/>
      <c r="AN32" s="421"/>
      <c r="AO32" s="421"/>
      <c r="AP32" s="421"/>
      <c r="AQ32" s="421"/>
      <c r="AR32" s="421"/>
      <c r="AS32" s="421"/>
      <c r="AT32" s="421"/>
      <c r="AU32" s="421"/>
      <c r="AV32" s="421"/>
      <c r="AW32" s="421"/>
      <c r="AX32" s="421"/>
      <c r="AY32" s="421"/>
      <c r="AZ32" s="421"/>
      <c r="BA32" s="421"/>
      <c r="BB32" s="421"/>
      <c r="BC32" s="421"/>
      <c r="BD32" s="421"/>
      <c r="BE32" s="421"/>
      <c r="BF32" s="421"/>
      <c r="BG32" s="421"/>
      <c r="BH32" s="421"/>
      <c r="BI32" s="421"/>
      <c r="BJ32" s="421"/>
      <c r="BK32" s="421"/>
      <c r="BL32" s="421"/>
      <c r="BM32" s="421"/>
      <c r="BN32" s="421"/>
      <c r="BO32" s="421"/>
      <c r="BP32" s="421"/>
      <c r="BQ32" s="421"/>
      <c r="BR32" s="421"/>
      <c r="BS32" s="421"/>
      <c r="BT32" s="421"/>
      <c r="BU32" s="421"/>
      <c r="BV32" s="421"/>
      <c r="BW32" s="421"/>
      <c r="BX32" s="421"/>
      <c r="BY32" s="421"/>
      <c r="BZ32" s="421"/>
      <c r="CA32" s="421"/>
      <c r="CB32" s="421"/>
      <c r="CC32" s="421"/>
      <c r="CD32" s="421"/>
      <c r="CE32" s="421"/>
      <c r="CF32" s="421"/>
      <c r="CG32" s="421"/>
      <c r="CH32" s="421"/>
      <c r="CI32" s="421"/>
      <c r="CJ32" s="421"/>
      <c r="CK32" s="421"/>
      <c r="CL32" s="421"/>
      <c r="CM32" s="421"/>
      <c r="CN32" s="421"/>
      <c r="CO32" s="421"/>
      <c r="CP32" s="421"/>
      <c r="CQ32" s="421"/>
      <c r="CR32" s="421"/>
      <c r="CS32" s="421"/>
      <c r="CT32" s="421"/>
      <c r="CU32" s="421"/>
      <c r="CV32" s="421"/>
      <c r="CW32" s="421"/>
      <c r="CX32" s="421"/>
      <c r="CY32" s="421"/>
      <c r="CZ32" s="421"/>
      <c r="DA32" s="421"/>
      <c r="DB32" s="421"/>
      <c r="DC32" s="421"/>
      <c r="DD32" s="421"/>
      <c r="DE32" s="421"/>
      <c r="DF32" s="421"/>
      <c r="DG32" s="421"/>
      <c r="DH32" s="421"/>
      <c r="DI32" s="421"/>
      <c r="DJ32" s="421"/>
      <c r="DK32" s="421"/>
      <c r="DL32" s="421"/>
      <c r="DM32" s="421"/>
      <c r="DN32" s="421"/>
      <c r="DO32" s="421"/>
      <c r="DP32" s="421"/>
      <c r="DQ32" s="421"/>
      <c r="DR32" s="421"/>
      <c r="DS32" s="421"/>
      <c r="DT32" s="421"/>
      <c r="DU32" s="421"/>
      <c r="DV32" s="421"/>
      <c r="DW32" s="421"/>
      <c r="DX32" s="421"/>
      <c r="DY32" s="421"/>
      <c r="DZ32" s="421"/>
      <c r="EA32" s="421"/>
      <c r="EB32" s="421"/>
      <c r="EC32" s="421"/>
      <c r="ED32" s="421"/>
      <c r="EE32" s="421"/>
      <c r="EF32" s="421"/>
      <c r="EG32" s="421"/>
      <c r="EH32" s="421"/>
      <c r="EI32" s="472"/>
      <c r="EK32" s="513"/>
      <c r="EL32" s="421"/>
      <c r="EM32" s="421"/>
      <c r="EN32" s="421"/>
      <c r="EO32" s="421"/>
      <c r="EP32" s="421"/>
      <c r="EQ32" s="421"/>
      <c r="ER32" s="421"/>
      <c r="ES32" s="421"/>
      <c r="ET32" s="472"/>
    </row>
    <row r="33" s="522" customFormat="true" ht="13.5" hidden="false" customHeight="true" outlineLevel="0" collapsed="false">
      <c r="B33" s="554" t="s">
        <v>379</v>
      </c>
      <c r="C33" s="61"/>
      <c r="D33" s="421"/>
      <c r="E33" s="472" t="n">
        <f aca="true">SUM(OFFSET(G33,0,0,1,'Executive Summary'!$I$13+1))</f>
        <v>213873.517396906</v>
      </c>
      <c r="F33" s="421"/>
      <c r="G33" s="513" t="n">
        <v>0</v>
      </c>
      <c r="H33" s="421" t="n">
        <f aca="false">'Operating Inputs'!$P$16*H45*H12*(1+'Renovation Plan'!D12)</f>
        <v>3393.80069569476</v>
      </c>
      <c r="I33" s="421" t="n">
        <f aca="false">'Operating Inputs'!$P$16*I45*I12*(1+'Renovation Plan'!E12)</f>
        <v>3399.40583346621</v>
      </c>
      <c r="J33" s="421" t="n">
        <f aca="false">'Operating Inputs'!$P$16*J45*J12*(1+'Renovation Plan'!F12)</f>
        <v>3405.0202285784</v>
      </c>
      <c r="K33" s="421" t="n">
        <f aca="false">'Operating Inputs'!$P$16*K45*K12*(1+'Renovation Plan'!G12)</f>
        <v>3410.64389632058</v>
      </c>
      <c r="L33" s="421" t="n">
        <f aca="false">'Operating Inputs'!$P$16*L45*L12*(1+'Renovation Plan'!H12)</f>
        <v>3416.27685200725</v>
      </c>
      <c r="M33" s="421" t="n">
        <f aca="false">'Operating Inputs'!$P$16*M45*M12*(1+'Renovation Plan'!I12)</f>
        <v>3421.91911097821</v>
      </c>
      <c r="N33" s="421" t="n">
        <f aca="false">'Operating Inputs'!$P$16*N45*N12*(1+'Renovation Plan'!J12)</f>
        <v>3427.57068859859</v>
      </c>
      <c r="O33" s="421" t="n">
        <f aca="false">'Operating Inputs'!$P$16*O45*O12*(1+'Renovation Plan'!K12)</f>
        <v>3433.23160025888</v>
      </c>
      <c r="P33" s="421" t="n">
        <f aca="false">'Operating Inputs'!$P$16*P45*P12*(1+'Renovation Plan'!L12)</f>
        <v>3438.90186137503</v>
      </c>
      <c r="Q33" s="421" t="n">
        <f aca="false">'Operating Inputs'!$P$16*Q45*Q12*(1+'Renovation Plan'!M12)</f>
        <v>3444.58148738842</v>
      </c>
      <c r="R33" s="421" t="n">
        <f aca="false">'Operating Inputs'!$P$16*R45*R12*(1+'Renovation Plan'!N12)</f>
        <v>3450.27049376593</v>
      </c>
      <c r="S33" s="421" t="n">
        <f aca="false">'Operating Inputs'!$P$16*S45*S12*(1+'Renovation Plan'!O12)</f>
        <v>3455.968896</v>
      </c>
      <c r="T33" s="421" t="n">
        <f aca="false">'Operating Inputs'!$P$16*T45*T12*(1+'Operating Inputs'!$P$13)</f>
        <v>3461.67670960865</v>
      </c>
      <c r="U33" s="421" t="n">
        <f aca="false">'Operating Inputs'!$P$16*U45*U12*(1+'Operating Inputs'!$P$13)</f>
        <v>3467.39395013554</v>
      </c>
      <c r="V33" s="421" t="n">
        <f aca="false">'Operating Inputs'!$P$16*V45*V12*(1+'Operating Inputs'!$P$13)</f>
        <v>3473.12063314997</v>
      </c>
      <c r="W33" s="421" t="n">
        <f aca="false">'Operating Inputs'!$P$16*W45*W12*(1+'Operating Inputs'!$P$13)</f>
        <v>3478.85677424699</v>
      </c>
      <c r="X33" s="421" t="n">
        <f aca="false">'Operating Inputs'!$P$16*X45*X12*(1+'Operating Inputs'!$P$13)</f>
        <v>3484.6023890474</v>
      </c>
      <c r="Y33" s="421" t="n">
        <f aca="false">'Operating Inputs'!$P$16*Y45*Y12*(1+'Operating Inputs'!$P$13)</f>
        <v>3490.35749319778</v>
      </c>
      <c r="Z33" s="421" t="n">
        <f aca="false">'Operating Inputs'!$P$16*Z45*Z12*(1+'Operating Inputs'!$P$13)</f>
        <v>3496.12210237056</v>
      </c>
      <c r="AA33" s="421" t="n">
        <f aca="false">'Operating Inputs'!$P$16*AA45*AA12*(1+'Operating Inputs'!$P$13)</f>
        <v>3501.89623226406</v>
      </c>
      <c r="AB33" s="421" t="n">
        <f aca="false">'Operating Inputs'!$P$16*AB45*AB12*(1+'Operating Inputs'!$P$13)</f>
        <v>3507.67989860254</v>
      </c>
      <c r="AC33" s="421" t="n">
        <f aca="false">'Operating Inputs'!$P$16*AC45*AC12*(1+'Operating Inputs'!$P$13)</f>
        <v>3513.47311713619</v>
      </c>
      <c r="AD33" s="421" t="n">
        <f aca="false">'Operating Inputs'!$P$16*AD45*AD12*(1+'Operating Inputs'!$P$13)</f>
        <v>3519.27590364125</v>
      </c>
      <c r="AE33" s="421" t="n">
        <f aca="false">'Operating Inputs'!$P$16*AE45*AE12*(1+'Operating Inputs'!$P$13)</f>
        <v>3525.08827392</v>
      </c>
      <c r="AF33" s="421" t="n">
        <f aca="false">'Operating Inputs'!$P$16*AF45*AF12*(1+'Operating Inputs'!$P$13)</f>
        <v>3530.91024380083</v>
      </c>
      <c r="AG33" s="421" t="n">
        <f aca="false">'Operating Inputs'!$P$16*AG45*AG12*(1+'Operating Inputs'!$P$13)</f>
        <v>3536.74182913825</v>
      </c>
      <c r="AH33" s="421" t="n">
        <f aca="false">'Operating Inputs'!$P$16*AH45*AH12*(1+'Operating Inputs'!$P$13)</f>
        <v>3542.58304581297</v>
      </c>
      <c r="AI33" s="421" t="n">
        <f aca="false">'Operating Inputs'!$P$16*AI45*AI12*(1+'Operating Inputs'!$P$13)</f>
        <v>3548.43390973194</v>
      </c>
      <c r="AJ33" s="421" t="n">
        <f aca="false">'Operating Inputs'!$P$16*AJ45*AJ12*(1+'Operating Inputs'!$P$13)</f>
        <v>3554.29443682835</v>
      </c>
      <c r="AK33" s="421" t="n">
        <f aca="false">'Operating Inputs'!$P$16*AK45*AK12*(1+'Operating Inputs'!$P$13)</f>
        <v>3560.16464306173</v>
      </c>
      <c r="AL33" s="421" t="n">
        <f aca="false">'Operating Inputs'!$P$16*AL45*AL12*(1+'Operating Inputs'!$P$13)</f>
        <v>3566.04454441797</v>
      </c>
      <c r="AM33" s="421" t="n">
        <f aca="false">'Operating Inputs'!$P$16*AM45*AM12*(1+'Operating Inputs'!$P$13)</f>
        <v>3571.93415690935</v>
      </c>
      <c r="AN33" s="421" t="n">
        <f aca="false">'Operating Inputs'!$P$16*AN45*AN12*(1+'Operating Inputs'!$P$13)</f>
        <v>3577.83349657459</v>
      </c>
      <c r="AO33" s="421" t="n">
        <f aca="false">'Operating Inputs'!$P$16*AO45*AO12*(1+'Operating Inputs'!$P$13)</f>
        <v>3583.74257947891</v>
      </c>
      <c r="AP33" s="421" t="n">
        <f aca="false">'Operating Inputs'!$P$16*AP45*AP12*(1+'Operating Inputs'!$P$13)</f>
        <v>3589.66142171408</v>
      </c>
      <c r="AQ33" s="421" t="n">
        <f aca="false">'Operating Inputs'!$P$16*AQ45*AQ12*(1+'Operating Inputs'!$P$13)</f>
        <v>3595.5900393984</v>
      </c>
      <c r="AR33" s="421" t="n">
        <f aca="false">'Operating Inputs'!$P$16*AR45*AR12*(1+'Operating Inputs'!$P$13)</f>
        <v>3601.52844867685</v>
      </c>
      <c r="AS33" s="421" t="n">
        <f aca="false">'Operating Inputs'!$P$16*AS45*AS12*(1+'Operating Inputs'!$P$13)</f>
        <v>3607.47666572101</v>
      </c>
      <c r="AT33" s="421" t="n">
        <f aca="false">'Operating Inputs'!$P$16*AT45*AT12*(1+'Operating Inputs'!$P$13)</f>
        <v>3613.43470672923</v>
      </c>
      <c r="AU33" s="421" t="n">
        <f aca="false">'Operating Inputs'!$P$16*AU45*AU12*(1+'Operating Inputs'!$P$13)</f>
        <v>3619.40258792658</v>
      </c>
      <c r="AV33" s="421" t="n">
        <f aca="false">'Operating Inputs'!$P$16*AV45*AV12*(1+'Operating Inputs'!$P$13)</f>
        <v>3625.38032556492</v>
      </c>
      <c r="AW33" s="421" t="n">
        <f aca="false">'Operating Inputs'!$P$16*AW45*AW12*(1+'Operating Inputs'!$P$13)</f>
        <v>3631.36793592297</v>
      </c>
      <c r="AX33" s="421" t="n">
        <f aca="false">'Operating Inputs'!$P$16*AX45*AX12*(1+'Operating Inputs'!$P$13)</f>
        <v>3637.36543530633</v>
      </c>
      <c r="AY33" s="421" t="n">
        <f aca="false">'Operating Inputs'!$P$16*AY45*AY12*(1+'Operating Inputs'!$P$13)</f>
        <v>3643.37284004754</v>
      </c>
      <c r="AZ33" s="421" t="n">
        <f aca="false">'Operating Inputs'!$P$16*AZ45*AZ12*(1+'Operating Inputs'!$P$13)</f>
        <v>3649.39016650608</v>
      </c>
      <c r="BA33" s="421" t="n">
        <f aca="false">'Operating Inputs'!$P$16*BA45*BA12*(1+'Operating Inputs'!$P$13)</f>
        <v>3655.4174310685</v>
      </c>
      <c r="BB33" s="421" t="n">
        <f aca="false">'Operating Inputs'!$P$16*BB45*BB12*(1+'Operating Inputs'!$P$13)</f>
        <v>3661.45465014836</v>
      </c>
      <c r="BC33" s="421" t="n">
        <f aca="false">'Operating Inputs'!$P$16*BC45*BC12*(1+'Operating Inputs'!$P$13)</f>
        <v>3667.50184018638</v>
      </c>
      <c r="BD33" s="421" t="n">
        <f aca="false">'Operating Inputs'!$P$16*BD45*BD12*(1+'Operating Inputs'!$P$13)</f>
        <v>3673.55901765039</v>
      </c>
      <c r="BE33" s="421" t="n">
        <f aca="false">'Operating Inputs'!$P$16*BE45*BE12*(1+'Operating Inputs'!$P$13)</f>
        <v>3679.62619903544</v>
      </c>
      <c r="BF33" s="421" t="n">
        <f aca="false">'Operating Inputs'!$P$16*BF45*BF12*(1+'Operating Inputs'!$P$13)</f>
        <v>3685.70340086382</v>
      </c>
      <c r="BG33" s="421" t="n">
        <f aca="false">'Operating Inputs'!$P$16*BG45*BG12*(1+'Operating Inputs'!$P$13)</f>
        <v>3691.79063968511</v>
      </c>
      <c r="BH33" s="421" t="n">
        <f aca="false">'Operating Inputs'!$P$16*BH45*BH12*(1+'Operating Inputs'!$P$13)</f>
        <v>3697.88793207622</v>
      </c>
      <c r="BI33" s="421" t="n">
        <f aca="false">'Operating Inputs'!$P$16*BI45*BI12*(1+'Operating Inputs'!$P$13)</f>
        <v>3703.99529464143</v>
      </c>
      <c r="BJ33" s="421" t="n">
        <f aca="false">'Operating Inputs'!$P$16*BJ45*BJ12*(1+'Operating Inputs'!$P$13)</f>
        <v>3710.11274401246</v>
      </c>
      <c r="BK33" s="421" t="n">
        <f aca="false">'Operating Inputs'!$P$16*BK45*BK12*(1+'Operating Inputs'!$P$13)</f>
        <v>3716.24029684849</v>
      </c>
      <c r="BL33" s="421" t="n">
        <f aca="false">'Operating Inputs'!$P$16*BL45*BL12*(1+'Operating Inputs'!$P$13)</f>
        <v>3722.37796983621</v>
      </c>
      <c r="BM33" s="421" t="n">
        <f aca="false">'Operating Inputs'!$P$16*BM45*BM12*(1+'Operating Inputs'!$P$13)</f>
        <v>3728.52577968987</v>
      </c>
      <c r="BN33" s="421" t="n">
        <f aca="false">'Operating Inputs'!$P$16*BN45*BN12*(1+'Operating Inputs'!$P$13)</f>
        <v>3734.68374315133</v>
      </c>
      <c r="BO33" s="421" t="n">
        <f aca="false">'Operating Inputs'!$P$16*BO45*BO12*(1+'Operating Inputs'!$P$13)</f>
        <v>3740.85187699011</v>
      </c>
      <c r="BP33" s="421" t="n">
        <f aca="false">'Operating Inputs'!$P$16*BP45*BP12*(1+'Operating Inputs'!$P$13)</f>
        <v>3747.0301980034</v>
      </c>
      <c r="BQ33" s="421" t="n">
        <f aca="false">'Operating Inputs'!$P$16*BQ45*BQ12*(1+'Operating Inputs'!$P$13)</f>
        <v>3753.21872301615</v>
      </c>
      <c r="BR33" s="421" t="n">
        <f aca="false">'Operating Inputs'!$P$16*BR45*BR12*(1+'Operating Inputs'!$P$13)</f>
        <v>3759.4174688811</v>
      </c>
      <c r="BS33" s="421" t="n">
        <f aca="false">'Operating Inputs'!$P$16*BS45*BS12*(1+'Operating Inputs'!$P$13)</f>
        <v>3765.62645247881</v>
      </c>
      <c r="BT33" s="421" t="n">
        <f aca="false">'Operating Inputs'!$P$16*BT45*BT12*(1+'Operating Inputs'!$P$13)</f>
        <v>3771.84569071774</v>
      </c>
      <c r="BU33" s="421" t="n">
        <f aca="false">'Operating Inputs'!$P$16*BU45*BU12*(1+'Operating Inputs'!$P$13)</f>
        <v>3778.07520053426</v>
      </c>
      <c r="BV33" s="421" t="n">
        <f aca="false">'Operating Inputs'!$P$16*BV45*BV12*(1+'Operating Inputs'!$P$13)</f>
        <v>3784.31499889271</v>
      </c>
      <c r="BW33" s="421" t="n">
        <f aca="false">'Operating Inputs'!$P$16*BW45*BW12*(1+'Operating Inputs'!$P$13)</f>
        <v>3790.56510278546</v>
      </c>
      <c r="BX33" s="421" t="n">
        <f aca="false">'Operating Inputs'!$P$16*BX45*BX12*(1+'Operating Inputs'!$P$13)</f>
        <v>3796.82552923293</v>
      </c>
      <c r="BY33" s="421" t="n">
        <f aca="false">'Operating Inputs'!$P$16*BY45*BY12*(1+'Operating Inputs'!$P$13)</f>
        <v>3803.09629528367</v>
      </c>
      <c r="BZ33" s="421" t="n">
        <f aca="false">'Operating Inputs'!$P$16*BZ45*BZ12*(1+'Operating Inputs'!$P$13)</f>
        <v>3809.37741801436</v>
      </c>
      <c r="CA33" s="421" t="n">
        <f aca="false">'Operating Inputs'!$P$16*CA45*CA12*(1+'Operating Inputs'!$P$13)</f>
        <v>3815.66891452991</v>
      </c>
      <c r="CB33" s="421" t="n">
        <f aca="false">'Operating Inputs'!$P$16*CB45*CB12*(1+'Operating Inputs'!$P$13)</f>
        <v>3821.97080196346</v>
      </c>
      <c r="CC33" s="421" t="n">
        <f aca="false">'Operating Inputs'!$P$16*CC45*CC12*(1+'Operating Inputs'!$P$13)</f>
        <v>3828.28309747647</v>
      </c>
      <c r="CD33" s="421" t="n">
        <f aca="false">'Operating Inputs'!$P$16*CD45*CD12*(1+'Operating Inputs'!$P$13)</f>
        <v>3834.60581825872</v>
      </c>
      <c r="CE33" s="421" t="n">
        <f aca="false">'Operating Inputs'!$P$16*CE45*CE12*(1+'Operating Inputs'!$P$13)</f>
        <v>3840.93898152839</v>
      </c>
      <c r="CF33" s="421" t="n">
        <f aca="false">'Operating Inputs'!$P$16*CF45*CF12*(1+'Operating Inputs'!$P$13)</f>
        <v>3847.2826045321</v>
      </c>
      <c r="CG33" s="421" t="n">
        <f aca="false">'Operating Inputs'!$P$16*CG45*CG12*(1+'Operating Inputs'!$P$13)</f>
        <v>3853.63670454495</v>
      </c>
      <c r="CH33" s="421" t="n">
        <f aca="false">'Operating Inputs'!$P$16*CH45*CH12*(1+'Operating Inputs'!$P$13)</f>
        <v>3860.00129887057</v>
      </c>
      <c r="CI33" s="421" t="n">
        <f aca="false">'Operating Inputs'!$P$16*CI45*CI12*(1+'Operating Inputs'!$P$13)</f>
        <v>3866.37640484117</v>
      </c>
      <c r="CJ33" s="421" t="n">
        <f aca="false">'Operating Inputs'!$P$16*CJ45*CJ12*(1+'Operating Inputs'!$P$13)</f>
        <v>3872.76203981759</v>
      </c>
      <c r="CK33" s="421" t="n">
        <f aca="false">'Operating Inputs'!$P$16*CK45*CK12*(1+'Operating Inputs'!$P$13)</f>
        <v>3879.15822118934</v>
      </c>
      <c r="CL33" s="421" t="n">
        <f aca="false">'Operating Inputs'!$P$16*CL45*CL12*(1+'Operating Inputs'!$P$13)</f>
        <v>3885.56496637465</v>
      </c>
      <c r="CM33" s="421" t="n">
        <f aca="false">'Operating Inputs'!$P$16*CM45*CM12*(1+'Operating Inputs'!$P$13)</f>
        <v>3891.98229282051</v>
      </c>
      <c r="CN33" s="421" t="n">
        <f aca="false">'Operating Inputs'!$P$16*CN45*CN12*(1+'Operating Inputs'!$P$13)</f>
        <v>3898.41021800274</v>
      </c>
      <c r="CO33" s="421" t="n">
        <f aca="false">'Operating Inputs'!$P$16*CO45*CO12*(1+'Operating Inputs'!$P$13)</f>
        <v>3904.848759426</v>
      </c>
      <c r="CP33" s="421" t="n">
        <f aca="false">'Operating Inputs'!$P$16*CP45*CP12*(1+'Operating Inputs'!$P$13)</f>
        <v>3911.2979346239</v>
      </c>
      <c r="CQ33" s="421" t="n">
        <f aca="false">'Operating Inputs'!$P$16*CQ45*CQ12*(1+'Operating Inputs'!$P$13)</f>
        <v>3917.75776115896</v>
      </c>
      <c r="CR33" s="421" t="n">
        <f aca="false">'Operating Inputs'!$P$16*CR45*CR12*(1+'Operating Inputs'!$P$13)</f>
        <v>3924.22825662275</v>
      </c>
      <c r="CS33" s="421" t="n">
        <f aca="false">'Operating Inputs'!$P$16*CS45*CS12*(1+'Operating Inputs'!$P$13)</f>
        <v>3930.70943863585</v>
      </c>
      <c r="CT33" s="421" t="n">
        <f aca="false">'Operating Inputs'!$P$16*CT45*CT12*(1+'Operating Inputs'!$P$13)</f>
        <v>3937.20132484798</v>
      </c>
      <c r="CU33" s="421" t="n">
        <f aca="false">'Operating Inputs'!$P$16*CU45*CU12*(1+'Operating Inputs'!$P$13)</f>
        <v>3943.703932938</v>
      </c>
      <c r="CV33" s="421" t="n">
        <f aca="false">'Operating Inputs'!$P$16*CV45*CV12*(1+'Operating Inputs'!$P$13)</f>
        <v>3950.21728061395</v>
      </c>
      <c r="CW33" s="421" t="n">
        <f aca="false">'Operating Inputs'!$P$16*CW45*CW12*(1+'Operating Inputs'!$P$13)</f>
        <v>3956.74138561313</v>
      </c>
      <c r="CX33" s="421" t="n">
        <f aca="false">'Operating Inputs'!$P$16*CX45*CX12*(1+'Operating Inputs'!$P$13)</f>
        <v>3963.27626570214</v>
      </c>
      <c r="CY33" s="421" t="n">
        <f aca="false">'Operating Inputs'!$P$16*CY45*CY12*(1+'Operating Inputs'!$P$13)</f>
        <v>3969.82193867692</v>
      </c>
      <c r="CZ33" s="421" t="n">
        <f aca="false">'Operating Inputs'!$P$16*CZ45*CZ12*(1+'Operating Inputs'!$P$13)</f>
        <v>3976.37842236279</v>
      </c>
      <c r="DA33" s="421" t="n">
        <f aca="false">'Operating Inputs'!$P$16*DA45*DA12*(1+'Operating Inputs'!$P$13)</f>
        <v>3982.94573461453</v>
      </c>
      <c r="DB33" s="421" t="n">
        <f aca="false">'Operating Inputs'!$P$16*DB45*DB12*(1+'Operating Inputs'!$P$13)</f>
        <v>3989.52389331638</v>
      </c>
      <c r="DC33" s="421" t="n">
        <f aca="false">'Operating Inputs'!$P$16*DC45*DC12*(1+'Operating Inputs'!$P$13)</f>
        <v>3996.11291638215</v>
      </c>
      <c r="DD33" s="421" t="n">
        <f aca="false">'Operating Inputs'!$P$16*DD45*DD12*(1+'Operating Inputs'!$P$13)</f>
        <v>4002.7128217552</v>
      </c>
      <c r="DE33" s="421" t="n">
        <f aca="false">'Operating Inputs'!$P$16*DE45*DE12*(1+'Operating Inputs'!$P$13)</f>
        <v>4009.32362740857</v>
      </c>
      <c r="DF33" s="421" t="n">
        <f aca="false">'Operating Inputs'!$P$16*DF45*DF12*(1+'Operating Inputs'!$P$13)</f>
        <v>4015.94535134495</v>
      </c>
      <c r="DG33" s="421" t="n">
        <f aca="false">'Operating Inputs'!$P$16*DG45*DG12*(1+'Operating Inputs'!$P$13)</f>
        <v>4022.57801159676</v>
      </c>
      <c r="DH33" s="421" t="n">
        <f aca="false">'Operating Inputs'!$P$16*DH45*DH12*(1+'Operating Inputs'!$P$13)</f>
        <v>4029.22162622623</v>
      </c>
      <c r="DI33" s="421" t="n">
        <f aca="false">'Operating Inputs'!$P$16*DI45*DI12*(1+'Operating Inputs'!$P$13)</f>
        <v>4035.8762133254</v>
      </c>
      <c r="DJ33" s="421" t="n">
        <f aca="false">'Operating Inputs'!$P$16*DJ45*DJ12*(1+'Operating Inputs'!$P$13)</f>
        <v>4042.54179101619</v>
      </c>
      <c r="DK33" s="421" t="n">
        <f aca="false">'Operating Inputs'!$P$16*DK45*DK12*(1+'Operating Inputs'!$P$13)</f>
        <v>4049.21837745046</v>
      </c>
      <c r="DL33" s="421" t="n">
        <f aca="false">'Operating Inputs'!$P$16*DL45*DL12*(1+'Operating Inputs'!$P$13)</f>
        <v>4055.90599081005</v>
      </c>
      <c r="DM33" s="421" t="n">
        <f aca="false">'Operating Inputs'!$P$16*DM45*DM12*(1+'Operating Inputs'!$P$13)</f>
        <v>4062.60464930682</v>
      </c>
      <c r="DN33" s="421" t="n">
        <f aca="false">'Operating Inputs'!$P$16*DN45*DN12*(1+'Operating Inputs'!$P$13)</f>
        <v>4069.31437118271</v>
      </c>
      <c r="DO33" s="421" t="n">
        <f aca="false">'Operating Inputs'!$P$16*DO45*DO12*(1+'Operating Inputs'!$P$13)</f>
        <v>4076.03517470979</v>
      </c>
      <c r="DP33" s="421" t="n">
        <f aca="false">'Operating Inputs'!$P$16*DP45*DP12*(1+'Operating Inputs'!$P$13)</f>
        <v>4082.76707819031</v>
      </c>
      <c r="DQ33" s="421" t="n">
        <f aca="false">'Operating Inputs'!$P$16*DQ45*DQ12*(1+'Operating Inputs'!$P$13)</f>
        <v>4089.51009995675</v>
      </c>
      <c r="DR33" s="421" t="n">
        <f aca="false">'Operating Inputs'!$P$16*DR45*DR12*(1+'Operating Inputs'!$P$13)</f>
        <v>4096.26425837185</v>
      </c>
      <c r="DS33" s="421" t="n">
        <f aca="false">'Operating Inputs'!$P$16*DS45*DS12*(1+'Operating Inputs'!$P$13)</f>
        <v>4103.0295718287</v>
      </c>
      <c r="DT33" s="421" t="n">
        <f aca="false">'Operating Inputs'!$P$16*DT45*DT12*(1+'Operating Inputs'!$P$13)</f>
        <v>4109.80605875076</v>
      </c>
      <c r="DU33" s="421" t="n">
        <f aca="false">'Operating Inputs'!$P$16*DU45*DU12*(1+'Operating Inputs'!$P$13)</f>
        <v>4116.59373759191</v>
      </c>
      <c r="DV33" s="421" t="n">
        <f aca="false">'Operating Inputs'!$P$16*DV45*DV12*(1+'Operating Inputs'!$P$13)</f>
        <v>4123.39262683652</v>
      </c>
      <c r="DW33" s="421" t="n">
        <f aca="false">'Operating Inputs'!$P$16*DW45*DW12*(1+'Operating Inputs'!$P$13)</f>
        <v>4130.20274499948</v>
      </c>
      <c r="DX33" s="421" t="n">
        <f aca="false">'Operating Inputs'!$P$16*DX45*DX12*(1+'Operating Inputs'!$P$13)</f>
        <v>4137.02411062626</v>
      </c>
      <c r="DY33" s="421" t="n">
        <f aca="false">'Operating Inputs'!$P$16*DY45*DY12*(1+'Operating Inputs'!$P$13)</f>
        <v>4143.85674229296</v>
      </c>
      <c r="DZ33" s="421" t="n">
        <f aca="false">'Operating Inputs'!$P$16*DZ45*DZ12*(1+'Operating Inputs'!$P$13)</f>
        <v>4150.70065860637</v>
      </c>
      <c r="EA33" s="421" t="n">
        <f aca="false">'Operating Inputs'!$P$16*EA45*EA12*(1+'Operating Inputs'!$P$13)</f>
        <v>4157.55587820399</v>
      </c>
      <c r="EB33" s="421" t="n">
        <f aca="false">'Operating Inputs'!$P$16*EB45*EB12*(1+'Operating Inputs'!$P$13)</f>
        <v>4164.42241975412</v>
      </c>
      <c r="EC33" s="421" t="n">
        <f aca="false">'Operating Inputs'!$P$16*EC45*EC12*(1+'Operating Inputs'!$P$13)</f>
        <v>4171.30030195588</v>
      </c>
      <c r="ED33" s="421" t="n">
        <f aca="false">'Operating Inputs'!$P$16*ED45*ED12*(1+'Operating Inputs'!$P$13)</f>
        <v>4178.18954353929</v>
      </c>
      <c r="EE33" s="421" t="n">
        <f aca="false">'Operating Inputs'!$P$16*EE45*EE12*(1+'Operating Inputs'!$P$13)</f>
        <v>4185.09016326527</v>
      </c>
      <c r="EF33" s="421" t="n">
        <f aca="false">'Operating Inputs'!$P$16*EF45*EF12*(1+'Operating Inputs'!$P$13)</f>
        <v>4192.00217992577</v>
      </c>
      <c r="EG33" s="421" t="n">
        <f aca="false">'Operating Inputs'!$P$16*EG45*EG12*(1+'Operating Inputs'!$P$13)</f>
        <v>4198.92561234375</v>
      </c>
      <c r="EH33" s="421" t="n">
        <f aca="false">'Operating Inputs'!$P$16*EH45*EH12*(1+'Operating Inputs'!$P$13)</f>
        <v>4205.86047937325</v>
      </c>
      <c r="EI33" s="472" t="n">
        <f aca="false">'Operating Inputs'!$P$16*EI45*EI12*(1+'Operating Inputs'!$P$13)</f>
        <v>4212.80679989947</v>
      </c>
      <c r="EK33" s="513" t="n">
        <f aca="true">SUM(OFFSET($G33,0,EK$24*12-11,1,12))</f>
        <v>41097.5916444323</v>
      </c>
      <c r="EL33" s="421" t="n">
        <f aca="true">SUM(OFFSET($G33,0,EL$24*12-11,1,12))</f>
        <v>41919.5434773209</v>
      </c>
      <c r="EM33" s="421" t="n">
        <f aca="true">SUM(OFFSET($G33,0,EM$24*12-11,1,12))</f>
        <v>42757.9343468674</v>
      </c>
      <c r="EN33" s="421" t="n">
        <f aca="true">SUM(OFFSET($G33,0,EN$24*12-11,1,12))</f>
        <v>43613.0930338047</v>
      </c>
      <c r="EO33" s="421" t="n">
        <f aca="true">SUM(OFFSET($G33,0,EO$24*12-11,1,12))</f>
        <v>44485.3548944809</v>
      </c>
      <c r="EP33" s="421" t="n">
        <f aca="true">SUM(OFFSET($G33,0,EP$24*12-11,1,12))</f>
        <v>45375.0619923705</v>
      </c>
      <c r="EQ33" s="421" t="n">
        <f aca="true">SUM(OFFSET($G33,0,EQ$24*12-11,1,12))</f>
        <v>46282.5632322179</v>
      </c>
      <c r="ER33" s="421" t="n">
        <f aca="true">SUM(OFFSET($G33,0,ER$24*12-11,1,12))</f>
        <v>47208.2144968623</v>
      </c>
      <c r="ES33" s="421" t="n">
        <f aca="true">SUM(OFFSET($G33,0,ES$24*12-11,1,12))</f>
        <v>48152.3787867996</v>
      </c>
      <c r="ET33" s="472" t="n">
        <f aca="true">SUM(OFFSET($G33,0,ET$24*12-11,1,12))</f>
        <v>49115.4263625356</v>
      </c>
    </row>
    <row r="34" s="522" customFormat="true" ht="13.5" hidden="false" customHeight="true" outlineLevel="0" collapsed="false">
      <c r="B34" s="554" t="s">
        <v>573</v>
      </c>
      <c r="C34" s="61"/>
      <c r="D34" s="421"/>
      <c r="E34" s="472" t="n">
        <f aca="true">SUM(OFFSET(G34,0,0,1,'Executive Summary'!$I$13+1))</f>
        <v>27724.3448477471</v>
      </c>
      <c r="F34" s="421"/>
      <c r="G34" s="513" t="n">
        <v>0</v>
      </c>
      <c r="H34" s="421" t="n">
        <f aca="false">'Operating Inputs'!$P$17/12*H8*'Executive Summary'!$C$12*H12*(1+'Renovation Plan'!D12)</f>
        <v>439.937127219691</v>
      </c>
      <c r="I34" s="421" t="n">
        <f aca="false">'Operating Inputs'!$P$17/12*I8*'Executive Summary'!$C$12*I12*(1+'Renovation Plan'!E12)</f>
        <v>440.663719153027</v>
      </c>
      <c r="J34" s="421" t="n">
        <f aca="false">'Operating Inputs'!$P$17/12*J8*'Executive Summary'!$C$12*J12*(1+'Renovation Plan'!F12)</f>
        <v>441.391511112015</v>
      </c>
      <c r="K34" s="421" t="n">
        <f aca="false">'Operating Inputs'!$P$17/12*K8*'Executive Summary'!$C$12*K12*(1+'Renovation Plan'!G12)</f>
        <v>442.120505078594</v>
      </c>
      <c r="L34" s="421" t="n">
        <f aca="false">'Operating Inputs'!$P$17/12*L8*'Executive Summary'!$C$12*L12*(1+'Renovation Plan'!H12)</f>
        <v>442.850703037977</v>
      </c>
      <c r="M34" s="421" t="n">
        <f aca="false">'Operating Inputs'!$P$17/12*M8*'Executive Summary'!$C$12*M12*(1+'Renovation Plan'!I12)</f>
        <v>443.582106978657</v>
      </c>
      <c r="N34" s="421" t="n">
        <f aca="false">'Operating Inputs'!$P$17/12*N8*'Executive Summary'!$C$12*N12*(1+'Renovation Plan'!J12)</f>
        <v>444.314718892409</v>
      </c>
      <c r="O34" s="421" t="n">
        <f aca="false">'Operating Inputs'!$P$17/12*O8*'Executive Summary'!$C$12*O12*(1+'Renovation Plan'!K12)</f>
        <v>445.0485407743</v>
      </c>
      <c r="P34" s="421" t="n">
        <f aca="false">'Operating Inputs'!$P$17/12*P8*'Executive Summary'!$C$12*P12*(1+'Renovation Plan'!L12)</f>
        <v>445.783574622689</v>
      </c>
      <c r="Q34" s="421" t="n">
        <f aca="false">'Operating Inputs'!$P$17/12*Q8*'Executive Summary'!$C$12*Q12*(1+'Renovation Plan'!M12)</f>
        <v>446.51982243924</v>
      </c>
      <c r="R34" s="421" t="n">
        <f aca="false">'Operating Inputs'!$P$17/12*R8*'Executive Summary'!$C$12*R12*(1+'Renovation Plan'!N12)</f>
        <v>447.257286228917</v>
      </c>
      <c r="S34" s="421" t="n">
        <f aca="false">'Operating Inputs'!$P$17/12*S8*'Executive Summary'!$C$12*S12*(1+'Renovation Plan'!O12)</f>
        <v>447.995968</v>
      </c>
      <c r="T34" s="421" t="n">
        <f aca="false">'Operating Inputs'!$P$17/12*T8*'Executive Summary'!$C$12*T12*(1+'Operating Inputs'!$P$13)</f>
        <v>448.735869764085</v>
      </c>
      <c r="U34" s="421" t="n">
        <f aca="false">'Operating Inputs'!$P$17/12*U8*'Executive Summary'!$C$12*U12*(1+'Operating Inputs'!$P$13)</f>
        <v>449.476993536088</v>
      </c>
      <c r="V34" s="421" t="n">
        <f aca="false">'Operating Inputs'!$P$17/12*V8*'Executive Summary'!$C$12*V12*(1+'Operating Inputs'!$P$13)</f>
        <v>450.219341334255</v>
      </c>
      <c r="W34" s="421" t="n">
        <f aca="false">'Operating Inputs'!$P$17/12*W8*'Executive Summary'!$C$12*W12*(1+'Operating Inputs'!$P$13)</f>
        <v>450.962915180166</v>
      </c>
      <c r="X34" s="421" t="n">
        <f aca="false">'Operating Inputs'!$P$17/12*X8*'Executive Summary'!$C$12*X12*(1+'Operating Inputs'!$P$13)</f>
        <v>451.707717098737</v>
      </c>
      <c r="Y34" s="421" t="n">
        <f aca="false">'Operating Inputs'!$P$17/12*Y8*'Executive Summary'!$C$12*Y12*(1+'Operating Inputs'!$P$13)</f>
        <v>452.45374911823</v>
      </c>
      <c r="Z34" s="421" t="n">
        <f aca="false">'Operating Inputs'!$P$17/12*Z8*'Executive Summary'!$C$12*Z12*(1+'Operating Inputs'!$P$13)</f>
        <v>453.201013270258</v>
      </c>
      <c r="AA34" s="421" t="n">
        <f aca="false">'Operating Inputs'!$P$17/12*AA8*'Executive Summary'!$C$12*AA12*(1+'Operating Inputs'!$P$13)</f>
        <v>453.949511589786</v>
      </c>
      <c r="AB34" s="421" t="n">
        <f aca="false">'Operating Inputs'!$P$17/12*AB8*'Executive Summary'!$C$12*AB12*(1+'Operating Inputs'!$P$13)</f>
        <v>454.699246115143</v>
      </c>
      <c r="AC34" s="421" t="n">
        <f aca="false">'Operating Inputs'!$P$17/12*AC8*'Executive Summary'!$C$12*AC12*(1+'Operating Inputs'!$P$13)</f>
        <v>455.450218888024</v>
      </c>
      <c r="AD34" s="421" t="n">
        <f aca="false">'Operating Inputs'!$P$17/12*AD8*'Executive Summary'!$C$12*AD12*(1+'Operating Inputs'!$P$13)</f>
        <v>456.202431953496</v>
      </c>
      <c r="AE34" s="421" t="n">
        <f aca="false">'Operating Inputs'!$P$17/12*AE8*'Executive Summary'!$C$12*AE12*(1+'Operating Inputs'!$P$13)</f>
        <v>456.95588736</v>
      </c>
      <c r="AF34" s="421" t="n">
        <f aca="false">'Operating Inputs'!$P$17/12*AF8*'Executive Summary'!$C$12*AF12*(1+'Operating Inputs'!$P$13)</f>
        <v>457.710587159366</v>
      </c>
      <c r="AG34" s="421" t="n">
        <f aca="false">'Operating Inputs'!$P$17/12*AG8*'Executive Summary'!$C$12*AG12*(1+'Operating Inputs'!$P$13)</f>
        <v>458.46653340681</v>
      </c>
      <c r="AH34" s="421" t="n">
        <f aca="false">'Operating Inputs'!$P$17/12*AH8*'Executive Summary'!$C$12*AH12*(1+'Operating Inputs'!$P$13)</f>
        <v>459.223728160941</v>
      </c>
      <c r="AI34" s="421" t="n">
        <f aca="false">'Operating Inputs'!$P$17/12*AI8*'Executive Summary'!$C$12*AI12*(1+'Operating Inputs'!$P$13)</f>
        <v>459.982173483769</v>
      </c>
      <c r="AJ34" s="421" t="n">
        <f aca="false">'Operating Inputs'!$P$17/12*AJ8*'Executive Summary'!$C$12*AJ12*(1+'Operating Inputs'!$P$13)</f>
        <v>460.741871440712</v>
      </c>
      <c r="AK34" s="421" t="n">
        <f aca="false">'Operating Inputs'!$P$17/12*AK8*'Executive Summary'!$C$12*AK12*(1+'Operating Inputs'!$P$13)</f>
        <v>461.502824100595</v>
      </c>
      <c r="AL34" s="421" t="n">
        <f aca="false">'Operating Inputs'!$P$17/12*AL8*'Executive Summary'!$C$12*AL12*(1+'Operating Inputs'!$P$13)</f>
        <v>462.265033535663</v>
      </c>
      <c r="AM34" s="421" t="n">
        <f aca="false">'Operating Inputs'!$P$17/12*AM8*'Executive Summary'!$C$12*AM12*(1+'Operating Inputs'!$P$13)</f>
        <v>463.028501821582</v>
      </c>
      <c r="AN34" s="421" t="n">
        <f aca="false">'Operating Inputs'!$P$17/12*AN8*'Executive Summary'!$C$12*AN12*(1+'Operating Inputs'!$P$13)</f>
        <v>463.793231037447</v>
      </c>
      <c r="AO34" s="421" t="n">
        <f aca="false">'Operating Inputs'!$P$17/12*AO8*'Executive Summary'!$C$12*AO12*(1+'Operating Inputs'!$P$13)</f>
        <v>464.559223265785</v>
      </c>
      <c r="AP34" s="421" t="n">
        <f aca="false">'Operating Inputs'!$P$17/12*AP8*'Executive Summary'!$C$12*AP12*(1+'Operating Inputs'!$P$13)</f>
        <v>465.326480592566</v>
      </c>
      <c r="AQ34" s="421" t="n">
        <f aca="false">'Operating Inputs'!$P$17/12*AQ8*'Executive Summary'!$C$12*AQ12*(1+'Operating Inputs'!$P$13)</f>
        <v>466.095005107201</v>
      </c>
      <c r="AR34" s="421" t="n">
        <f aca="false">'Operating Inputs'!$P$17/12*AR8*'Executive Summary'!$C$12*AR12*(1+'Operating Inputs'!$P$13)</f>
        <v>466.864798902554</v>
      </c>
      <c r="AS34" s="421" t="n">
        <f aca="false">'Operating Inputs'!$P$17/12*AS8*'Executive Summary'!$C$12*AS12*(1+'Operating Inputs'!$P$13)</f>
        <v>467.635864074946</v>
      </c>
      <c r="AT34" s="421" t="n">
        <f aca="false">'Operating Inputs'!$P$17/12*AT8*'Executive Summary'!$C$12*AT12*(1+'Operating Inputs'!$P$13)</f>
        <v>468.40820272416</v>
      </c>
      <c r="AU34" s="421" t="n">
        <f aca="false">'Operating Inputs'!$P$17/12*AU8*'Executive Summary'!$C$12*AU12*(1+'Operating Inputs'!$P$13)</f>
        <v>469.181816953445</v>
      </c>
      <c r="AV34" s="421" t="n">
        <f aca="false">'Operating Inputs'!$P$17/12*AV8*'Executive Summary'!$C$12*AV12*(1+'Operating Inputs'!$P$13)</f>
        <v>469.956708869526</v>
      </c>
      <c r="AW34" s="421" t="n">
        <f aca="false">'Operating Inputs'!$P$17/12*AW8*'Executive Summary'!$C$12*AW12*(1+'Operating Inputs'!$P$13)</f>
        <v>470.732880582607</v>
      </c>
      <c r="AX34" s="421" t="n">
        <f aca="false">'Operating Inputs'!$P$17/12*AX8*'Executive Summary'!$C$12*AX12*(1+'Operating Inputs'!$P$13)</f>
        <v>471.510334206376</v>
      </c>
      <c r="AY34" s="421" t="n">
        <f aca="false">'Operating Inputs'!$P$17/12*AY8*'Executive Summary'!$C$12*AY12*(1+'Operating Inputs'!$P$13)</f>
        <v>472.289071858014</v>
      </c>
      <c r="AZ34" s="421" t="n">
        <f aca="false">'Operating Inputs'!$P$17/12*AZ8*'Executive Summary'!$C$12*AZ12*(1+'Operating Inputs'!$P$13)</f>
        <v>473.069095658196</v>
      </c>
      <c r="BA34" s="421" t="n">
        <f aca="false">'Operating Inputs'!$P$17/12*BA8*'Executive Summary'!$C$12*BA12*(1+'Operating Inputs'!$P$13)</f>
        <v>473.850407731101</v>
      </c>
      <c r="BB34" s="421" t="n">
        <f aca="false">'Operating Inputs'!$P$17/12*BB8*'Executive Summary'!$C$12*BB12*(1+'Operating Inputs'!$P$13)</f>
        <v>474.633010204417</v>
      </c>
      <c r="BC34" s="421" t="n">
        <f aca="false">'Operating Inputs'!$P$17/12*BC8*'Executive Summary'!$C$12*BC12*(1+'Operating Inputs'!$P$13)</f>
        <v>475.416905209345</v>
      </c>
      <c r="BD34" s="421" t="n">
        <f aca="false">'Operating Inputs'!$P$17/12*BD8*'Executive Summary'!$C$12*BD12*(1+'Operating Inputs'!$P$13)</f>
        <v>476.202094880605</v>
      </c>
      <c r="BE34" s="421" t="n">
        <f aca="false">'Operating Inputs'!$P$17/12*BE8*'Executive Summary'!$C$12*BE12*(1+'Operating Inputs'!$P$13)</f>
        <v>476.988581356446</v>
      </c>
      <c r="BF34" s="421" t="n">
        <f aca="false">'Operating Inputs'!$P$17/12*BF8*'Executive Summary'!$C$12*BF12*(1+'Operating Inputs'!$P$13)</f>
        <v>477.776366778643</v>
      </c>
      <c r="BG34" s="421" t="n">
        <f aca="false">'Operating Inputs'!$P$17/12*BG8*'Executive Summary'!$C$12*BG12*(1+'Operating Inputs'!$P$13)</f>
        <v>478.565453292514</v>
      </c>
      <c r="BH34" s="421" t="n">
        <f aca="false">'Operating Inputs'!$P$17/12*BH8*'Executive Summary'!$C$12*BH12*(1+'Operating Inputs'!$P$13)</f>
        <v>479.355843046917</v>
      </c>
      <c r="BI34" s="421" t="n">
        <f aca="false">'Operating Inputs'!$P$17/12*BI8*'Executive Summary'!$C$12*BI12*(1+'Operating Inputs'!$P$13)</f>
        <v>480.14753819426</v>
      </c>
      <c r="BJ34" s="421" t="n">
        <f aca="false">'Operating Inputs'!$P$17/12*BJ8*'Executive Summary'!$C$12*BJ12*(1+'Operating Inputs'!$P$13)</f>
        <v>480.940540890504</v>
      </c>
      <c r="BK34" s="421" t="n">
        <f aca="false">'Operating Inputs'!$P$17/12*BK8*'Executive Summary'!$C$12*BK12*(1+'Operating Inputs'!$P$13)</f>
        <v>481.734853295174</v>
      </c>
      <c r="BL34" s="421" t="n">
        <f aca="false">'Operating Inputs'!$P$17/12*BL8*'Executive Summary'!$C$12*BL12*(1+'Operating Inputs'!$P$13)</f>
        <v>482.53047757136</v>
      </c>
      <c r="BM34" s="421" t="n">
        <f aca="false">'Operating Inputs'!$P$17/12*BM8*'Executive Summary'!$C$12*BM12*(1+'Operating Inputs'!$P$13)</f>
        <v>483.327415885724</v>
      </c>
      <c r="BN34" s="421" t="n">
        <f aca="false">'Operating Inputs'!$P$17/12*BN8*'Executive Summary'!$C$12*BN12*(1+'Operating Inputs'!$P$13)</f>
        <v>484.125670408506</v>
      </c>
      <c r="BO34" s="421" t="n">
        <f aca="false">'Operating Inputs'!$P$17/12*BO8*'Executive Summary'!$C$12*BO12*(1+'Operating Inputs'!$P$13)</f>
        <v>484.925243313532</v>
      </c>
      <c r="BP34" s="421" t="n">
        <f aca="false">'Operating Inputs'!$P$17/12*BP8*'Executive Summary'!$C$12*BP12*(1+'Operating Inputs'!$P$13)</f>
        <v>485.726136778218</v>
      </c>
      <c r="BQ34" s="421" t="n">
        <f aca="false">'Operating Inputs'!$P$17/12*BQ8*'Executive Summary'!$C$12*BQ12*(1+'Operating Inputs'!$P$13)</f>
        <v>486.528352983575</v>
      </c>
      <c r="BR34" s="421" t="n">
        <f aca="false">'Operating Inputs'!$P$17/12*BR8*'Executive Summary'!$C$12*BR12*(1+'Operating Inputs'!$P$13)</f>
        <v>487.331894114217</v>
      </c>
      <c r="BS34" s="421" t="n">
        <f aca="false">'Operating Inputs'!$P$17/12*BS8*'Executive Summary'!$C$12*BS12*(1+'Operating Inputs'!$P$13)</f>
        <v>488.136762358365</v>
      </c>
      <c r="BT34" s="421" t="n">
        <f aca="false">'Operating Inputs'!$P$17/12*BT8*'Executive Summary'!$C$12*BT12*(1+'Operating Inputs'!$P$13)</f>
        <v>488.942959907856</v>
      </c>
      <c r="BU34" s="421" t="n">
        <f aca="false">'Operating Inputs'!$P$17/12*BU8*'Executive Summary'!$C$12*BU12*(1+'Operating Inputs'!$P$13)</f>
        <v>489.750488958145</v>
      </c>
      <c r="BV34" s="421" t="n">
        <f aca="false">'Operating Inputs'!$P$17/12*BV8*'Executive Summary'!$C$12*BV12*(1+'Operating Inputs'!$P$13)</f>
        <v>490.559351708315</v>
      </c>
      <c r="BW34" s="421" t="n">
        <f aca="false">'Operating Inputs'!$P$17/12*BW8*'Executive Summary'!$C$12*BW12*(1+'Operating Inputs'!$P$13)</f>
        <v>491.369550361078</v>
      </c>
      <c r="BX34" s="421" t="n">
        <f aca="false">'Operating Inputs'!$P$17/12*BX8*'Executive Summary'!$C$12*BX12*(1+'Operating Inputs'!$P$13)</f>
        <v>492.181087122787</v>
      </c>
      <c r="BY34" s="421" t="n">
        <f aca="false">'Operating Inputs'!$P$17/12*BY8*'Executive Summary'!$C$12*BY12*(1+'Operating Inputs'!$P$13)</f>
        <v>492.993964203438</v>
      </c>
      <c r="BZ34" s="421" t="n">
        <f aca="false">'Operating Inputs'!$P$17/12*BZ8*'Executive Summary'!$C$12*BZ12*(1+'Operating Inputs'!$P$13)</f>
        <v>493.808183816676</v>
      </c>
      <c r="CA34" s="421" t="n">
        <f aca="false">'Operating Inputs'!$P$17/12*CA8*'Executive Summary'!$C$12*CA12*(1+'Operating Inputs'!$P$13)</f>
        <v>494.623748179803</v>
      </c>
      <c r="CB34" s="421" t="n">
        <f aca="false">'Operating Inputs'!$P$17/12*CB8*'Executive Summary'!$C$12*CB12*(1+'Operating Inputs'!$P$13)</f>
        <v>495.440659513782</v>
      </c>
      <c r="CC34" s="421" t="n">
        <f aca="false">'Operating Inputs'!$P$17/12*CC8*'Executive Summary'!$C$12*CC12*(1+'Operating Inputs'!$P$13)</f>
        <v>496.258920043246</v>
      </c>
      <c r="CD34" s="421" t="n">
        <f aca="false">'Operating Inputs'!$P$17/12*CD8*'Executive Summary'!$C$12*CD12*(1+'Operating Inputs'!$P$13)</f>
        <v>497.078531996501</v>
      </c>
      <c r="CE34" s="421" t="n">
        <f aca="false">'Operating Inputs'!$P$17/12*CE8*'Executive Summary'!$C$12*CE12*(1+'Operating Inputs'!$P$13)</f>
        <v>497.899497605532</v>
      </c>
      <c r="CF34" s="421" t="n">
        <f aca="false">'Operating Inputs'!$P$17/12*CF8*'Executive Summary'!$C$12*CF12*(1+'Operating Inputs'!$P$13)</f>
        <v>498.721819106013</v>
      </c>
      <c r="CG34" s="421" t="n">
        <f aca="false">'Operating Inputs'!$P$17/12*CG8*'Executive Summary'!$C$12*CG12*(1+'Operating Inputs'!$P$13)</f>
        <v>499.545498737308</v>
      </c>
      <c r="CH34" s="421" t="n">
        <f aca="false">'Operating Inputs'!$P$17/12*CH8*'Executive Summary'!$C$12*CH12*(1+'Operating Inputs'!$P$13)</f>
        <v>500.370538742481</v>
      </c>
      <c r="CI34" s="421" t="n">
        <f aca="false">'Operating Inputs'!$P$17/12*CI8*'Executive Summary'!$C$12*CI12*(1+'Operating Inputs'!$P$13)</f>
        <v>501.1969413683</v>
      </c>
      <c r="CJ34" s="421" t="n">
        <f aca="false">'Operating Inputs'!$P$17/12*CJ8*'Executive Summary'!$C$12*CJ12*(1+'Operating Inputs'!$P$13)</f>
        <v>502.024708865244</v>
      </c>
      <c r="CK34" s="421" t="n">
        <f aca="false">'Operating Inputs'!$P$17/12*CK8*'Executive Summary'!$C$12*CK12*(1+'Operating Inputs'!$P$13)</f>
        <v>502.853843487507</v>
      </c>
      <c r="CL34" s="421" t="n">
        <f aca="false">'Operating Inputs'!$P$17/12*CL8*'Executive Summary'!$C$12*CL12*(1+'Operating Inputs'!$P$13)</f>
        <v>503.68434749301</v>
      </c>
      <c r="CM34" s="421" t="n">
        <f aca="false">'Operating Inputs'!$P$17/12*CM8*'Executive Summary'!$C$12*CM12*(1+'Operating Inputs'!$P$13)</f>
        <v>504.516223143399</v>
      </c>
      <c r="CN34" s="421" t="n">
        <f aca="false">'Operating Inputs'!$P$17/12*CN8*'Executive Summary'!$C$12*CN12*(1+'Operating Inputs'!$P$13)</f>
        <v>505.349472704058</v>
      </c>
      <c r="CO34" s="421" t="n">
        <f aca="false">'Operating Inputs'!$P$17/12*CO8*'Executive Summary'!$C$12*CO12*(1+'Operating Inputs'!$P$13)</f>
        <v>506.184098444112</v>
      </c>
      <c r="CP34" s="421" t="n">
        <f aca="false">'Operating Inputs'!$P$17/12*CP8*'Executive Summary'!$C$12*CP12*(1+'Operating Inputs'!$P$13)</f>
        <v>507.020102636431</v>
      </c>
      <c r="CQ34" s="421" t="n">
        <f aca="false">'Operating Inputs'!$P$17/12*CQ8*'Executive Summary'!$C$12*CQ12*(1+'Operating Inputs'!$P$13)</f>
        <v>507.857487557643</v>
      </c>
      <c r="CR34" s="421" t="n">
        <f aca="false">'Operating Inputs'!$P$17/12*CR8*'Executive Summary'!$C$12*CR12*(1+'Operating Inputs'!$P$13)</f>
        <v>508.696255488134</v>
      </c>
      <c r="CS34" s="421" t="n">
        <f aca="false">'Operating Inputs'!$P$17/12*CS8*'Executive Summary'!$C$12*CS12*(1+'Operating Inputs'!$P$13)</f>
        <v>509.536408712055</v>
      </c>
      <c r="CT34" s="421" t="n">
        <f aca="false">'Operating Inputs'!$P$17/12*CT8*'Executive Summary'!$C$12*CT12*(1+'Operating Inputs'!$P$13)</f>
        <v>510.377949517331</v>
      </c>
      <c r="CU34" s="421" t="n">
        <f aca="false">'Operating Inputs'!$P$17/12*CU8*'Executive Summary'!$C$12*CU12*(1+'Operating Inputs'!$P$13)</f>
        <v>511.220880195666</v>
      </c>
      <c r="CV34" s="421" t="n">
        <f aca="false">'Operating Inputs'!$P$17/12*CV8*'Executive Summary'!$C$12*CV12*(1+'Operating Inputs'!$P$13)</f>
        <v>512.065203042549</v>
      </c>
      <c r="CW34" s="421" t="n">
        <f aca="false">'Operating Inputs'!$P$17/12*CW8*'Executive Summary'!$C$12*CW12*(1+'Operating Inputs'!$P$13)</f>
        <v>512.910920357258</v>
      </c>
      <c r="CX34" s="421" t="n">
        <f aca="false">'Operating Inputs'!$P$17/12*CX8*'Executive Summary'!$C$12*CX12*(1+'Operating Inputs'!$P$13)</f>
        <v>513.75803444287</v>
      </c>
      <c r="CY34" s="421" t="n">
        <f aca="false">'Operating Inputs'!$P$17/12*CY8*'Executive Summary'!$C$12*CY12*(1+'Operating Inputs'!$P$13)</f>
        <v>514.606547606268</v>
      </c>
      <c r="CZ34" s="421" t="n">
        <f aca="false">'Operating Inputs'!$P$17/12*CZ8*'Executive Summary'!$C$12*CZ12*(1+'Operating Inputs'!$P$13)</f>
        <v>515.45646215814</v>
      </c>
      <c r="DA34" s="421" t="n">
        <f aca="false">'Operating Inputs'!$P$17/12*DA8*'Executive Summary'!$C$12*DA12*(1+'Operating Inputs'!$P$13)</f>
        <v>516.307780412994</v>
      </c>
      <c r="DB34" s="421" t="n">
        <f aca="false">'Operating Inputs'!$P$17/12*DB8*'Executive Summary'!$C$12*DB12*(1+'Operating Inputs'!$P$13)</f>
        <v>517.16050468916</v>
      </c>
      <c r="DC34" s="421" t="n">
        <f aca="false">'Operating Inputs'!$P$17/12*DC8*'Executive Summary'!$C$12*DC12*(1+'Operating Inputs'!$P$13)</f>
        <v>518.014637308797</v>
      </c>
      <c r="DD34" s="421" t="n">
        <f aca="false">'Operating Inputs'!$P$17/12*DD8*'Executive Summary'!$C$12*DD12*(1+'Operating Inputs'!$P$13)</f>
        <v>518.870180597897</v>
      </c>
      <c r="DE34" s="421" t="n">
        <f aca="false">'Operating Inputs'!$P$17/12*DE8*'Executive Summary'!$C$12*DE12*(1+'Operating Inputs'!$P$13)</f>
        <v>519.727136886296</v>
      </c>
      <c r="DF34" s="421" t="n">
        <f aca="false">'Operating Inputs'!$P$17/12*DF8*'Executive Summary'!$C$12*DF12*(1+'Operating Inputs'!$P$13)</f>
        <v>520.585508507678</v>
      </c>
      <c r="DG34" s="421" t="n">
        <f aca="false">'Operating Inputs'!$P$17/12*DG8*'Executive Summary'!$C$12*DG12*(1+'Operating Inputs'!$P$13)</f>
        <v>521.44529779958</v>
      </c>
      <c r="DH34" s="421" t="n">
        <f aca="false">'Operating Inputs'!$P$17/12*DH8*'Executive Summary'!$C$12*DH12*(1+'Operating Inputs'!$P$13)</f>
        <v>522.3065071034</v>
      </c>
      <c r="DI34" s="421" t="n">
        <f aca="false">'Operating Inputs'!$P$17/12*DI8*'Executive Summary'!$C$12*DI12*(1+'Operating Inputs'!$P$13)</f>
        <v>523.169138764403</v>
      </c>
      <c r="DJ34" s="421" t="n">
        <f aca="false">'Operating Inputs'!$P$17/12*DJ8*'Executive Summary'!$C$12*DJ12*(1+'Operating Inputs'!$P$13)</f>
        <v>524.033195131728</v>
      </c>
      <c r="DK34" s="421" t="n">
        <f aca="false">'Operating Inputs'!$P$17/12*DK8*'Executive Summary'!$C$12*DK12*(1+'Operating Inputs'!$P$13)</f>
        <v>524.898678558393</v>
      </c>
      <c r="DL34" s="421" t="n">
        <f aca="false">'Operating Inputs'!$P$17/12*DL8*'Executive Summary'!$C$12*DL12*(1+'Operating Inputs'!$P$13)</f>
        <v>525.765591401303</v>
      </c>
      <c r="DM34" s="421" t="n">
        <f aca="false">'Operating Inputs'!$P$17/12*DM8*'Executive Summary'!$C$12*DM12*(1+'Operating Inputs'!$P$13)</f>
        <v>526.633936021254</v>
      </c>
      <c r="DN34" s="421" t="n">
        <f aca="false">'Operating Inputs'!$P$17/12*DN8*'Executive Summary'!$C$12*DN12*(1+'Operating Inputs'!$P$13)</f>
        <v>527.503714782944</v>
      </c>
      <c r="DO34" s="421" t="n">
        <f aca="false">'Operating Inputs'!$P$17/12*DO8*'Executive Summary'!$C$12*DO12*(1+'Operating Inputs'!$P$13)</f>
        <v>528.374930054973</v>
      </c>
      <c r="DP34" s="421" t="n">
        <f aca="false">'Operating Inputs'!$P$17/12*DP8*'Executive Summary'!$C$12*DP12*(1+'Operating Inputs'!$P$13)</f>
        <v>529.247584209855</v>
      </c>
      <c r="DQ34" s="421" t="n">
        <f aca="false">'Operating Inputs'!$P$17/12*DQ8*'Executive Summary'!$C$12*DQ12*(1+'Operating Inputs'!$P$13)</f>
        <v>530.121679624022</v>
      </c>
      <c r="DR34" s="421" t="n">
        <f aca="false">'Operating Inputs'!$P$17/12*DR8*'Executive Summary'!$C$12*DR12*(1+'Operating Inputs'!$P$13)</f>
        <v>530.997218677832</v>
      </c>
      <c r="DS34" s="421" t="n">
        <f aca="false">'Operating Inputs'!$P$17/12*DS8*'Executive Summary'!$C$12*DS12*(1+'Operating Inputs'!$P$13)</f>
        <v>531.874203755572</v>
      </c>
      <c r="DT34" s="421" t="n">
        <f aca="false">'Operating Inputs'!$P$17/12*DT8*'Executive Summary'!$C$12*DT12*(1+'Operating Inputs'!$P$13)</f>
        <v>532.752637245468</v>
      </c>
      <c r="DU34" s="421" t="n">
        <f aca="false">'Operating Inputs'!$P$17/12*DU8*'Executive Summary'!$C$12*DU12*(1+'Operating Inputs'!$P$13)</f>
        <v>533.632521539692</v>
      </c>
      <c r="DV34" s="421" t="n">
        <f aca="false">'Operating Inputs'!$P$17/12*DV8*'Executive Summary'!$C$12*DV12*(1+'Operating Inputs'!$P$13)</f>
        <v>534.513859034363</v>
      </c>
      <c r="DW34" s="421" t="n">
        <f aca="false">'Operating Inputs'!$P$17/12*DW8*'Executive Summary'!$C$12*DW12*(1+'Operating Inputs'!$P$13)</f>
        <v>535.396652129561</v>
      </c>
      <c r="DX34" s="421" t="n">
        <f aca="false">'Operating Inputs'!$P$17/12*DX8*'Executive Summary'!$C$12*DX12*(1+'Operating Inputs'!$P$13)</f>
        <v>536.280903229329</v>
      </c>
      <c r="DY34" s="421" t="n">
        <f aca="false">'Operating Inputs'!$P$17/12*DY8*'Executive Summary'!$C$12*DY12*(1+'Operating Inputs'!$P$13)</f>
        <v>537.16661474168</v>
      </c>
      <c r="DZ34" s="421" t="n">
        <f aca="false">'Operating Inputs'!$P$17/12*DZ8*'Executive Summary'!$C$12*DZ12*(1+'Operating Inputs'!$P$13)</f>
        <v>538.053789078603</v>
      </c>
      <c r="EA34" s="421" t="n">
        <f aca="false">'Operating Inputs'!$P$17/12*EA8*'Executive Summary'!$C$12*EA12*(1+'Operating Inputs'!$P$13)</f>
        <v>538.942428656072</v>
      </c>
      <c r="EB34" s="421" t="n">
        <f aca="false">'Operating Inputs'!$P$17/12*EB8*'Executive Summary'!$C$12*EB12*(1+'Operating Inputs'!$P$13)</f>
        <v>539.832535894052</v>
      </c>
      <c r="EC34" s="421" t="n">
        <f aca="false">'Operating Inputs'!$P$17/12*EC8*'Executive Summary'!$C$12*EC12*(1+'Operating Inputs'!$P$13)</f>
        <v>540.724113216503</v>
      </c>
      <c r="ED34" s="421" t="n">
        <f aca="false">'Operating Inputs'!$P$17/12*ED8*'Executive Summary'!$C$12*ED12*(1+'Operating Inputs'!$P$13)</f>
        <v>541.617163051389</v>
      </c>
      <c r="EE34" s="421" t="n">
        <f aca="false">'Operating Inputs'!$P$17/12*EE8*'Executive Summary'!$C$12*EE12*(1+'Operating Inputs'!$P$13)</f>
        <v>542.511687830684</v>
      </c>
      <c r="EF34" s="421" t="n">
        <f aca="false">'Operating Inputs'!$P$17/12*EF8*'Executive Summary'!$C$12*EF12*(1+'Operating Inputs'!$P$13)</f>
        <v>543.407689990378</v>
      </c>
      <c r="EG34" s="421" t="n">
        <f aca="false">'Operating Inputs'!$P$17/12*EG8*'Executive Summary'!$C$12*EG12*(1+'Operating Inputs'!$P$13)</f>
        <v>544.305171970486</v>
      </c>
      <c r="EH34" s="421" t="n">
        <f aca="false">'Operating Inputs'!$P$17/12*EH8*'Executive Summary'!$C$12*EH12*(1+'Operating Inputs'!$P$13)</f>
        <v>545.204136215051</v>
      </c>
      <c r="EI34" s="472" t="n">
        <f aca="false">'Operating Inputs'!$P$17/12*EI8*'Executive Summary'!$C$12*EI12*(1+'Operating Inputs'!$P$13)</f>
        <v>546.104585172153</v>
      </c>
      <c r="EK34" s="513" t="n">
        <f aca="true">SUM(OFFSET($G34,0,EK$24*12-11,1,12))</f>
        <v>5327.46558353752</v>
      </c>
      <c r="EL34" s="421" t="n">
        <f aca="true">SUM(OFFSET($G34,0,EL$24*12-11,1,12))</f>
        <v>5434.01489520827</v>
      </c>
      <c r="EM34" s="421" t="n">
        <f aca="true">SUM(OFFSET($G34,0,EM$24*12-11,1,12))</f>
        <v>5542.69519311244</v>
      </c>
      <c r="EN34" s="421" t="n">
        <f aca="true">SUM(OFFSET($G34,0,EN$24*12-11,1,12))</f>
        <v>5653.54909697469</v>
      </c>
      <c r="EO34" s="421" t="n">
        <f aca="true">SUM(OFFSET($G34,0,EO$24*12-11,1,12))</f>
        <v>5766.62007891418</v>
      </c>
      <c r="EP34" s="421" t="n">
        <f aca="true">SUM(OFFSET($G34,0,EP$24*12-11,1,12))</f>
        <v>5881.95248049247</v>
      </c>
      <c r="EQ34" s="421" t="n">
        <f aca="true">SUM(OFFSET($G34,0,EQ$24*12-11,1,12))</f>
        <v>5999.59153010233</v>
      </c>
      <c r="ER34" s="421" t="n">
        <f aca="true">SUM(OFFSET($G34,0,ER$24*12-11,1,12))</f>
        <v>6119.58336070438</v>
      </c>
      <c r="ES34" s="421" t="n">
        <f aca="true">SUM(OFFSET($G34,0,ES$24*12-11,1,12))</f>
        <v>6241.97502791847</v>
      </c>
      <c r="ET34" s="472" t="n">
        <f aca="true">SUM(OFFSET($G34,0,ET$24*12-11,1,12))</f>
        <v>6366.81452847684</v>
      </c>
    </row>
    <row r="35" s="522" customFormat="true" ht="13.5" hidden="false" customHeight="true" outlineLevel="0" collapsed="false">
      <c r="B35" s="556" t="s">
        <v>574</v>
      </c>
      <c r="C35" s="557"/>
      <c r="E35" s="558" t="n">
        <f aca="true">SUM(OFFSET(G35,0,0,1,'Executive Summary'!$I$13+1))</f>
        <v>247545.643795302</v>
      </c>
      <c r="G35" s="559" t="n">
        <v>0</v>
      </c>
      <c r="H35" s="522" t="n">
        <f aca="false">'Operating Inputs'!$P$18/12*H8*'Executive Summary'!$C$12*H12*(1+'Renovation Plan'!D12)</f>
        <v>3928.01006446152</v>
      </c>
      <c r="I35" s="522" t="n">
        <f aca="false">'Operating Inputs'!$P$18/12*I8*'Executive Summary'!$C$12*I12*(1+'Renovation Plan'!E12)</f>
        <v>3934.49749243774</v>
      </c>
      <c r="J35" s="522" t="n">
        <f aca="false">'Operating Inputs'!$P$18/12*J8*'Executive Summary'!$C$12*J12*(1+'Renovation Plan'!F12)</f>
        <v>3940.9956349287</v>
      </c>
      <c r="K35" s="522" t="n">
        <f aca="false">'Operating Inputs'!$P$18/12*K8*'Executive Summary'!$C$12*K12*(1+'Renovation Plan'!G12)</f>
        <v>3947.5045096303</v>
      </c>
      <c r="L35" s="522" t="n">
        <f aca="false">'Operating Inputs'!$P$18/12*L8*'Executive Summary'!$C$12*L12*(1+'Renovation Plan'!H12)</f>
        <v>3954.02413426765</v>
      </c>
      <c r="M35" s="522" t="n">
        <f aca="false">'Operating Inputs'!$P$18/12*M8*'Executive Summary'!$C$12*M12*(1+'Renovation Plan'!I12)</f>
        <v>3960.55452659515</v>
      </c>
      <c r="N35" s="522" t="n">
        <f aca="false">'Operating Inputs'!$P$18/12*N8*'Executive Summary'!$C$12*N12*(1+'Renovation Plan'!J12)</f>
        <v>3967.09570439651</v>
      </c>
      <c r="O35" s="522" t="n">
        <f aca="false">'Operating Inputs'!$P$18/12*O8*'Executive Summary'!$C$12*O12*(1+'Renovation Plan'!K12)</f>
        <v>3973.64768548482</v>
      </c>
      <c r="P35" s="522" t="n">
        <f aca="false">'Operating Inputs'!$P$18/12*P8*'Executive Summary'!$C$12*P12*(1+'Renovation Plan'!L12)</f>
        <v>3980.21048770259</v>
      </c>
      <c r="Q35" s="522" t="n">
        <f aca="false">'Operating Inputs'!$P$18/12*Q8*'Executive Summary'!$C$12*Q12*(1+'Renovation Plan'!M12)</f>
        <v>3986.78412892178</v>
      </c>
      <c r="R35" s="522" t="n">
        <f aca="false">'Operating Inputs'!$P$18/12*R8*'Executive Summary'!$C$12*R12*(1+'Renovation Plan'!N12)</f>
        <v>3993.3686270439</v>
      </c>
      <c r="S35" s="522" t="n">
        <f aca="false">'Operating Inputs'!$P$18/12*S8*'Executive Summary'!$C$12*S12*(1+'Renovation Plan'!O12)</f>
        <v>3999.964</v>
      </c>
      <c r="T35" s="522" t="n">
        <f aca="false">'Operating Inputs'!$P$18/12*T8*'Executive Summary'!$C$12*T12*(1+'Operating Inputs'!$P$13)</f>
        <v>4006.57026575076</v>
      </c>
      <c r="U35" s="522" t="n">
        <f aca="false">'Operating Inputs'!$P$18/12*U8*'Executive Summary'!$C$12*U12*(1+'Operating Inputs'!$P$13)</f>
        <v>4013.1874422865</v>
      </c>
      <c r="V35" s="522" t="n">
        <f aca="false">'Operating Inputs'!$P$18/12*V8*'Executive Summary'!$C$12*V12*(1+'Operating Inputs'!$P$13)</f>
        <v>4019.81554762728</v>
      </c>
      <c r="W35" s="522" t="n">
        <f aca="false">'Operating Inputs'!$P$18/12*W8*'Executive Summary'!$C$12*W12*(1+'Operating Inputs'!$P$13)</f>
        <v>4026.45459982291</v>
      </c>
      <c r="X35" s="522" t="n">
        <f aca="false">'Operating Inputs'!$P$18/12*X8*'Executive Summary'!$C$12*X12*(1+'Operating Inputs'!$P$13)</f>
        <v>4033.10461695301</v>
      </c>
      <c r="Y35" s="522" t="n">
        <f aca="false">'Operating Inputs'!$P$18/12*Y8*'Executive Summary'!$C$12*Y12*(1+'Operating Inputs'!$P$13)</f>
        <v>4039.76561712706</v>
      </c>
      <c r="Z35" s="522" t="n">
        <f aca="false">'Operating Inputs'!$P$18/12*Z8*'Executive Summary'!$C$12*Z12*(1+'Operating Inputs'!$P$13)</f>
        <v>4046.43761848444</v>
      </c>
      <c r="AA35" s="522" t="n">
        <f aca="false">'Operating Inputs'!$P$18/12*AA8*'Executive Summary'!$C$12*AA12*(1+'Operating Inputs'!$P$13)</f>
        <v>4053.12063919452</v>
      </c>
      <c r="AB35" s="522" t="n">
        <f aca="false">'Operating Inputs'!$P$18/12*AB8*'Executive Summary'!$C$12*AB12*(1+'Operating Inputs'!$P$13)</f>
        <v>4059.81469745664</v>
      </c>
      <c r="AC35" s="522" t="n">
        <f aca="false">'Operating Inputs'!$P$18/12*AC8*'Executive Summary'!$C$12*AC12*(1+'Operating Inputs'!$P$13)</f>
        <v>4066.51981150022</v>
      </c>
      <c r="AD35" s="522" t="n">
        <f aca="false">'Operating Inputs'!$P$18/12*AD8*'Executive Summary'!$C$12*AD12*(1+'Operating Inputs'!$P$13)</f>
        <v>4073.23599958478</v>
      </c>
      <c r="AE35" s="522" t="n">
        <f aca="false">'Operating Inputs'!$P$18/12*AE8*'Executive Summary'!$C$12*AE12*(1+'Operating Inputs'!$P$13)</f>
        <v>4079.96328</v>
      </c>
      <c r="AF35" s="522" t="n">
        <f aca="false">'Operating Inputs'!$P$18/12*AF8*'Executive Summary'!$C$12*AF12*(1+'Operating Inputs'!$P$13)</f>
        <v>4086.70167106577</v>
      </c>
      <c r="AG35" s="522" t="n">
        <f aca="false">'Operating Inputs'!$P$18/12*AG8*'Executive Summary'!$C$12*AG12*(1+'Operating Inputs'!$P$13)</f>
        <v>4093.45119113223</v>
      </c>
      <c r="AH35" s="522" t="n">
        <f aca="false">'Operating Inputs'!$P$18/12*AH8*'Executive Summary'!$C$12*AH12*(1+'Operating Inputs'!$P$13)</f>
        <v>4100.21185857983</v>
      </c>
      <c r="AI35" s="522" t="n">
        <f aca="false">'Operating Inputs'!$P$18/12*AI8*'Executive Summary'!$C$12*AI12*(1+'Operating Inputs'!$P$13)</f>
        <v>4106.98369181937</v>
      </c>
      <c r="AJ35" s="522" t="n">
        <f aca="false">'Operating Inputs'!$P$18/12*AJ8*'Executive Summary'!$C$12*AJ12*(1+'Operating Inputs'!$P$13)</f>
        <v>4113.76670929207</v>
      </c>
      <c r="AK35" s="522" t="n">
        <f aca="false">'Operating Inputs'!$P$18/12*AK8*'Executive Summary'!$C$12*AK12*(1+'Operating Inputs'!$P$13)</f>
        <v>4120.5609294696</v>
      </c>
      <c r="AL35" s="522" t="n">
        <f aca="false">'Operating Inputs'!$P$18/12*AL8*'Executive Summary'!$C$12*AL12*(1+'Operating Inputs'!$P$13)</f>
        <v>4127.36637085413</v>
      </c>
      <c r="AM35" s="522" t="n">
        <f aca="false">'Operating Inputs'!$P$18/12*AM8*'Executive Summary'!$C$12*AM12*(1+'Operating Inputs'!$P$13)</f>
        <v>4134.18305197841</v>
      </c>
      <c r="AN35" s="522" t="n">
        <f aca="false">'Operating Inputs'!$P$18/12*AN8*'Executive Summary'!$C$12*AN12*(1+'Operating Inputs'!$P$13)</f>
        <v>4141.01099140577</v>
      </c>
      <c r="AO35" s="522" t="n">
        <f aca="false">'Operating Inputs'!$P$18/12*AP8*'Executive Summary'!$C$12*AP12*(1+'Operating Inputs'!$P$13)</f>
        <v>4154.70071957648</v>
      </c>
      <c r="AP35" s="522" t="n">
        <f aca="false">'Operating Inputs'!$P$18/12*AP8*'Executive Summary'!$C$12*AP12*(1+'Operating Inputs'!$P$13)</f>
        <v>4154.70071957648</v>
      </c>
      <c r="AQ35" s="522" t="n">
        <f aca="false">'Operating Inputs'!$P$18/12*AQ8*'Executive Summary'!$C$12*AQ12*(1+'Operating Inputs'!$P$13)</f>
        <v>4161.56254560001</v>
      </c>
      <c r="AR35" s="522" t="n">
        <f aca="false">'Operating Inputs'!$P$18/12*AR8*'Executive Summary'!$C$12*AR12*(1+'Operating Inputs'!$P$13)</f>
        <v>4168.43570448709</v>
      </c>
      <c r="AS35" s="522" t="n">
        <f aca="false">'Operating Inputs'!$P$18/12*AS8*'Executive Summary'!$C$12*AS12*(1+'Operating Inputs'!$P$13)</f>
        <v>4175.32021495488</v>
      </c>
      <c r="AT35" s="522" t="n">
        <f aca="false">'Operating Inputs'!$P$18/12*AT8*'Executive Summary'!$C$12*AT12*(1+'Operating Inputs'!$P$13)</f>
        <v>4182.21609575143</v>
      </c>
      <c r="AU35" s="522" t="n">
        <f aca="false">'Operating Inputs'!$P$18/12*AU8*'Executive Summary'!$C$12*AU12*(1+'Operating Inputs'!$P$13)</f>
        <v>4189.12336565576</v>
      </c>
      <c r="AV35" s="522" t="n">
        <f aca="false">'Operating Inputs'!$P$18/12*AV8*'Executive Summary'!$C$12*AV12*(1+'Operating Inputs'!$P$13)</f>
        <v>4196.04204347791</v>
      </c>
      <c r="AW35" s="522" t="n">
        <f aca="false">'Operating Inputs'!$P$18/12*AW8*'Executive Summary'!$C$12*AW12*(1+'Operating Inputs'!$P$13)</f>
        <v>4202.97214805899</v>
      </c>
      <c r="AX35" s="522" t="n">
        <f aca="false">'Operating Inputs'!$P$18/12*AX8*'Executive Summary'!$C$12*AX12*(1+'Operating Inputs'!$P$13)</f>
        <v>4209.91369827122</v>
      </c>
      <c r="AY35" s="522" t="n">
        <f aca="false">'Operating Inputs'!$P$18/12*AY8*'Executive Summary'!$C$12*AY12*(1+'Operating Inputs'!$P$13)</f>
        <v>4216.86671301798</v>
      </c>
      <c r="AZ35" s="522" t="n">
        <f aca="false">'Operating Inputs'!$P$18/12*AZ8*'Executive Summary'!$C$12*AZ12*(1+'Operating Inputs'!$P$13)</f>
        <v>4223.83121123389</v>
      </c>
      <c r="BA35" s="522" t="n">
        <f aca="false">'Operating Inputs'!$P$18/12*BA8*'Executive Summary'!$C$12*BA12*(1+'Operating Inputs'!$P$13)</f>
        <v>4230.80721188483</v>
      </c>
      <c r="BB35" s="522" t="n">
        <f aca="false">'Operating Inputs'!$P$18/12*BB8*'Executive Summary'!$C$12*BB12*(1+'Operating Inputs'!$P$13)</f>
        <v>4237.79473396801</v>
      </c>
      <c r="BC35" s="522" t="n">
        <f aca="false">'Operating Inputs'!$P$18/12*BC8*'Executive Summary'!$C$12*BC12*(1+'Operating Inputs'!$P$13)</f>
        <v>4244.79379651201</v>
      </c>
      <c r="BD35" s="522" t="n">
        <f aca="false">'Operating Inputs'!$P$18/12*BD8*'Executive Summary'!$C$12*BD12*(1+'Operating Inputs'!$P$13)</f>
        <v>4251.80441857684</v>
      </c>
      <c r="BE35" s="522" t="n">
        <f aca="false">'Operating Inputs'!$P$18/12*BE8*'Executive Summary'!$C$12*BE12*(1+'Operating Inputs'!$P$13)</f>
        <v>4258.82661925398</v>
      </c>
      <c r="BF35" s="522" t="n">
        <f aca="false">'Operating Inputs'!$P$18/12*BF8*'Executive Summary'!$C$12*BF12*(1+'Operating Inputs'!$P$13)</f>
        <v>4265.86041766646</v>
      </c>
      <c r="BG35" s="522" t="n">
        <f aca="false">'Operating Inputs'!$P$18/12*BG8*'Executive Summary'!$C$12*BG12*(1+'Operating Inputs'!$P$13)</f>
        <v>4272.90583296888</v>
      </c>
      <c r="BH35" s="522" t="n">
        <f aca="false">'Operating Inputs'!$P$18/12*BH8*'Executive Summary'!$C$12*BH12*(1+'Operating Inputs'!$P$13)</f>
        <v>4279.96288434747</v>
      </c>
      <c r="BI35" s="522" t="n">
        <f aca="false">'Operating Inputs'!$P$18/12*BI8*'Executive Summary'!$C$12*BI12*(1+'Operating Inputs'!$P$13)</f>
        <v>4287.03159102018</v>
      </c>
      <c r="BJ35" s="522" t="n">
        <f aca="false">'Operating Inputs'!$P$18/12*BJ8*'Executive Summary'!$C$12*BJ12*(1+'Operating Inputs'!$P$13)</f>
        <v>4294.11197223665</v>
      </c>
      <c r="BK35" s="522" t="n">
        <f aca="false">'Operating Inputs'!$P$18/12*BK8*'Executive Summary'!$C$12*BK12*(1+'Operating Inputs'!$P$13)</f>
        <v>4301.20404727834</v>
      </c>
      <c r="BL35" s="522" t="n">
        <f aca="false">'Operating Inputs'!$P$18/12*BL8*'Executive Summary'!$C$12*BL12*(1+'Operating Inputs'!$P$13)</f>
        <v>4308.30783545857</v>
      </c>
      <c r="BM35" s="522" t="n">
        <f aca="false">'Operating Inputs'!$P$18/12*BM8*'Executive Summary'!$C$12*BM12*(1+'Operating Inputs'!$P$13)</f>
        <v>4315.42335612253</v>
      </c>
      <c r="BN35" s="522" t="n">
        <f aca="false">'Operating Inputs'!$P$18/12*BN8*'Executive Summary'!$C$12*BN12*(1+'Operating Inputs'!$P$13)</f>
        <v>4322.55062864737</v>
      </c>
      <c r="BO35" s="522" t="n">
        <f aca="false">'Operating Inputs'!$P$18/12*BO8*'Executive Summary'!$C$12*BO12*(1+'Operating Inputs'!$P$13)</f>
        <v>4329.68967244225</v>
      </c>
      <c r="BP35" s="522" t="n">
        <f aca="false">'Operating Inputs'!$P$18/12*BP8*'Executive Summary'!$C$12*BP12*(1+'Operating Inputs'!$P$13)</f>
        <v>4336.84050694837</v>
      </c>
      <c r="BQ35" s="522" t="n">
        <f aca="false">'Operating Inputs'!$P$18/12*BQ8*'Executive Summary'!$C$12*BQ12*(1+'Operating Inputs'!$P$13)</f>
        <v>4344.00315163906</v>
      </c>
      <c r="BR35" s="522" t="n">
        <f aca="false">'Operating Inputs'!$P$18/12*BR8*'Executive Summary'!$C$12*BR12*(1+'Operating Inputs'!$P$13)</f>
        <v>4351.17762601979</v>
      </c>
      <c r="BS35" s="522" t="n">
        <f aca="false">'Operating Inputs'!$P$18/12*BS8*'Executive Summary'!$C$12*BS12*(1+'Operating Inputs'!$P$13)</f>
        <v>4358.36394962826</v>
      </c>
      <c r="BT35" s="522" t="n">
        <f aca="false">'Operating Inputs'!$P$18/12*BT8*'Executive Summary'!$C$12*BT12*(1+'Operating Inputs'!$P$13)+5694</f>
        <v>10059.5621420344</v>
      </c>
      <c r="BU35" s="522" t="n">
        <f aca="false">'Operating Inputs'!$P$18/12*BU8*'Executive Summary'!$C$12*BU12*(1+'Operating Inputs'!$P$13)+5694</f>
        <v>10066.7722228406</v>
      </c>
      <c r="BV35" s="522" t="n">
        <f aca="false">'Operating Inputs'!$P$18/12*BV8*'Executive Summary'!$C$12*BV12*(1+'Operating Inputs'!$P$13)+5694</f>
        <v>10073.9942116814</v>
      </c>
      <c r="BW35" s="522" t="n">
        <f aca="false">'Operating Inputs'!$P$18/12*BW8*'Executive Summary'!$C$12*BW12*(1+'Operating Inputs'!$P$13)+5694</f>
        <v>10081.2281282239</v>
      </c>
      <c r="BX35" s="522" t="n">
        <f aca="false">'Operating Inputs'!$P$18/12*BX8*'Executive Summary'!$C$12*BX12*(1+'Operating Inputs'!$P$13)+5694</f>
        <v>10088.4739921677</v>
      </c>
      <c r="BY35" s="522" t="n">
        <f aca="false">'Operating Inputs'!$P$18/12*BY8*'Executive Summary'!$C$12*BY12*(1+'Operating Inputs'!$P$13)+5694</f>
        <v>10095.731823245</v>
      </c>
      <c r="BZ35" s="522" t="n">
        <f aca="false">'Operating Inputs'!$P$18/12*BZ8*'Executive Summary'!$C$12*BZ12*(1+'Operating Inputs'!$P$13)+5694</f>
        <v>10103.0016412203</v>
      </c>
      <c r="CA35" s="522" t="n">
        <f aca="false">'Operating Inputs'!$P$18/12*CA8*'Executive Summary'!$C$12*CA12*(1+'Operating Inputs'!$P$13)+5694</f>
        <v>10110.2834658911</v>
      </c>
      <c r="CB35" s="522" t="n">
        <f aca="false">'Operating Inputs'!$P$18/12*CB8*'Executive Summary'!$C$12*CB12*(1+'Operating Inputs'!$P$13)</f>
        <v>4423.57731708734</v>
      </c>
      <c r="CC35" s="522" t="n">
        <f aca="false">'Operating Inputs'!$P$18/12*CC8*'Executive Summary'!$C$12*CC12*(1+'Operating Inputs'!$P$13)</f>
        <v>4430.88321467184</v>
      </c>
      <c r="CD35" s="522" t="n">
        <f aca="false">'Operating Inputs'!$P$18/12*CD8*'Executive Summary'!$C$12*CD12*(1+'Operating Inputs'!$P$13)</f>
        <v>4438.20117854019</v>
      </c>
      <c r="CE35" s="522" t="n">
        <f aca="false">'Operating Inputs'!$P$18/12*CE8*'Executive Summary'!$C$12*CE12*(1+'Operating Inputs'!$P$13)</f>
        <v>4445.53122862083</v>
      </c>
      <c r="CF35" s="522" t="n">
        <f aca="false">'Operating Inputs'!$P$18/12*CF8*'Executive Summary'!$C$12*CF12*(1+'Operating Inputs'!$P$13)</f>
        <v>4452.87338487512</v>
      </c>
      <c r="CG35" s="522" t="n">
        <f aca="false">'Operating Inputs'!$P$18/12*CG8*'Executive Summary'!$C$12*CG12*(1+'Operating Inputs'!$P$13)</f>
        <v>4460.2276672974</v>
      </c>
      <c r="CH35" s="522" t="n">
        <f aca="false">'Operating Inputs'!$P$18/12*CH8*'Executive Summary'!$C$12*CH12*(1+'Operating Inputs'!$P$13)</f>
        <v>4467.59409591501</v>
      </c>
      <c r="CI35" s="522" t="n">
        <f aca="false">'Operating Inputs'!$P$18/12*CI8*'Executive Summary'!$C$12*CI12*(1+'Operating Inputs'!$P$13)</f>
        <v>4474.97269078839</v>
      </c>
      <c r="CJ35" s="522" t="n">
        <f aca="false">'Operating Inputs'!$P$18/12*CJ8*'Executive Summary'!$C$12*CJ12*(1+'Operating Inputs'!$P$13)</f>
        <v>4482.3634720111</v>
      </c>
      <c r="CK35" s="522" t="n">
        <f aca="false">'Operating Inputs'!$P$18/12*CK8*'Executive Summary'!$C$12*CK12*(1+'Operating Inputs'!$P$13)</f>
        <v>4489.76645970989</v>
      </c>
      <c r="CL35" s="522" t="n">
        <f aca="false">'Operating Inputs'!$P$18/12*CL8*'Executive Summary'!$C$12*CL12*(1+'Operating Inputs'!$P$13)</f>
        <v>4497.18167404473</v>
      </c>
      <c r="CM35" s="522" t="n">
        <f aca="false">'Operating Inputs'!$P$18/12*CM8*'Executive Summary'!$C$12*CM12*(1+'Operating Inputs'!$P$13)</f>
        <v>4504.60913520892</v>
      </c>
      <c r="CN35" s="522" t="n">
        <f aca="false">'Operating Inputs'!$P$18/12*CN8*'Executive Summary'!$C$12*CN12*(1+'Operating Inputs'!$P$13)</f>
        <v>4512.04886342909</v>
      </c>
      <c r="CO35" s="522" t="n">
        <f aca="false">'Operating Inputs'!$P$18/12*CO8*'Executive Summary'!$C$12*CO12*(1+'Operating Inputs'!$P$13)</f>
        <v>4519.50087896528</v>
      </c>
      <c r="CP35" s="522" t="n">
        <f aca="false">'Operating Inputs'!$P$18/12*CP8*'Executive Summary'!$C$12*CP12*(1+'Operating Inputs'!$P$13)</f>
        <v>4526.96520211099</v>
      </c>
      <c r="CQ35" s="522" t="n">
        <f aca="false">'Operating Inputs'!$P$18/12*CQ8*'Executive Summary'!$C$12*CQ12*(1+'Operating Inputs'!$P$13)</f>
        <v>4534.44185319324</v>
      </c>
      <c r="CR35" s="522" t="n">
        <f aca="false">'Operating Inputs'!$P$18/12*CR8*'Executive Summary'!$C$12*CR12*(1+'Operating Inputs'!$P$13)</f>
        <v>4541.93085257262</v>
      </c>
      <c r="CS35" s="522" t="n">
        <f aca="false">'Operating Inputs'!$P$18/12*CS8*'Executive Summary'!$C$12*CS12*(1+'Operating Inputs'!$P$13)</f>
        <v>4549.43222064335</v>
      </c>
      <c r="CT35" s="522" t="n">
        <f aca="false">'Operating Inputs'!$P$18/12*CT8*'Executive Summary'!$C$12*CT12*(1+'Operating Inputs'!$P$13)</f>
        <v>4556.94597783331</v>
      </c>
      <c r="CU35" s="522" t="n">
        <f aca="false">'Operating Inputs'!$P$18/12*CU8*'Executive Summary'!$C$12*CU12*(1+'Operating Inputs'!$P$13)</f>
        <v>4564.47214460417</v>
      </c>
      <c r="CV35" s="522" t="n">
        <f aca="false">'Operating Inputs'!$P$18/12*CV8*'Executive Summary'!$C$12*CV12*(1+'Operating Inputs'!$P$13)</f>
        <v>4572.01074145133</v>
      </c>
      <c r="CW35" s="522" t="n">
        <f aca="false">'Operating Inputs'!$P$18/12*CW8*'Executive Summary'!$C$12*CW12*(1+'Operating Inputs'!$P$13)</f>
        <v>4579.56178890409</v>
      </c>
      <c r="CX35" s="522" t="n">
        <f aca="false">'Operating Inputs'!$P$18/12*CX8*'Executive Summary'!$C$12*CX12*(1+'Operating Inputs'!$P$13)</f>
        <v>4587.12530752563</v>
      </c>
      <c r="CY35" s="522" t="n">
        <f aca="false">'Operating Inputs'!$P$18/12*CY8*'Executive Summary'!$C$12*CY12*(1+'Operating Inputs'!$P$13)</f>
        <v>4594.7013179131</v>
      </c>
      <c r="CZ35" s="522" t="n">
        <f aca="false">'Operating Inputs'!$P$18/12*CZ8*'Executive Summary'!$C$12*CZ12*(1+'Operating Inputs'!$P$13)</f>
        <v>4602.28984069768</v>
      </c>
      <c r="DA35" s="522" t="n">
        <f aca="false">'Operating Inputs'!$P$18/12*DA8*'Executive Summary'!$C$12*DA12*(1+'Operating Inputs'!$P$13)</f>
        <v>4609.89089654459</v>
      </c>
      <c r="DB35" s="522" t="n">
        <f aca="false">'Operating Inputs'!$P$18/12*DB8*'Executive Summary'!$C$12*DB12*(1+'Operating Inputs'!$P$13)</f>
        <v>4617.50450615322</v>
      </c>
      <c r="DC35" s="522" t="n">
        <f aca="false">'Operating Inputs'!$P$18/12*DC8*'Executive Summary'!$C$12*DC12*(1+'Operating Inputs'!$P$13)</f>
        <v>4625.13069025711</v>
      </c>
      <c r="DD35" s="522" t="n">
        <f aca="false">'Operating Inputs'!$P$18/12*DD8*'Executive Summary'!$C$12*DD12*(1+'Operating Inputs'!$P$13)</f>
        <v>4632.76946962408</v>
      </c>
      <c r="DE35" s="522" t="n">
        <f aca="false">'Operating Inputs'!$P$18/12*DE8*'Executive Summary'!$C$12*DE12*(1+'Operating Inputs'!$P$13)</f>
        <v>4640.42086505622</v>
      </c>
      <c r="DF35" s="522" t="n">
        <f aca="false">'Operating Inputs'!$P$18/12*DF8*'Executive Summary'!$C$12*DF12*(1+'Operating Inputs'!$P$13)</f>
        <v>4648.08489738999</v>
      </c>
      <c r="DG35" s="522" t="n">
        <f aca="false">'Operating Inputs'!$P$18/12*DG8*'Executive Summary'!$C$12*DG12*(1+'Operating Inputs'!$P$13)</f>
        <v>4655.76158749625</v>
      </c>
      <c r="DH35" s="522" t="n">
        <f aca="false">'Operating Inputs'!$P$18/12*DH8*'Executive Summary'!$C$12*DH12*(1+'Operating Inputs'!$P$13)</f>
        <v>4663.45095628036</v>
      </c>
      <c r="DI35" s="522" t="n">
        <f aca="false">'Operating Inputs'!$P$18/12*DI8*'Executive Summary'!$C$12*DI12*(1+'Operating Inputs'!$P$13)</f>
        <v>4671.15302468217</v>
      </c>
      <c r="DJ35" s="522" t="n">
        <f aca="false">'Operating Inputs'!$P$18/12*DJ8*'Executive Summary'!$C$12*DJ12*(1+'Operating Inputs'!$P$13)</f>
        <v>4678.86781367615</v>
      </c>
      <c r="DK35" s="522" t="n">
        <f aca="false">'Operating Inputs'!$P$18/12*DK8*'Executive Summary'!$C$12*DK12*(1+'Operating Inputs'!$P$13)</f>
        <v>4686.59534427137</v>
      </c>
      <c r="DL35" s="522" t="n">
        <f aca="false">'Operating Inputs'!$P$18/12*DL8*'Executive Summary'!$C$12*DL12*(1+'Operating Inputs'!$P$13)</f>
        <v>4694.33563751164</v>
      </c>
      <c r="DM35" s="522" t="n">
        <f aca="false">'Operating Inputs'!$P$18/12*DM8*'Executive Summary'!$C$12*DM12*(1+'Operating Inputs'!$P$13)</f>
        <v>4702.08871447549</v>
      </c>
      <c r="DN35" s="522" t="n">
        <f aca="false">'Operating Inputs'!$P$18/12*DN8*'Executive Summary'!$C$12*DN12*(1+'Operating Inputs'!$P$13)</f>
        <v>4709.85459627628</v>
      </c>
      <c r="DO35" s="522" t="n">
        <f aca="false">'Operating Inputs'!$P$18/12*DO8*'Executive Summary'!$C$12*DO12*(1+'Operating Inputs'!$P$13)</f>
        <v>4717.63330406226</v>
      </c>
      <c r="DP35" s="522" t="n">
        <f aca="false">'Operating Inputs'!$P$18/12*DP8*'Executive Summary'!$C$12*DP12*(1+'Operating Inputs'!$P$13)</f>
        <v>4725.42485901656</v>
      </c>
      <c r="DQ35" s="522" t="n">
        <f aca="false">'Operating Inputs'!$P$18/12*DQ8*'Executive Summary'!$C$12*DQ12*(1+'Operating Inputs'!$P$13)</f>
        <v>4733.22928235734</v>
      </c>
      <c r="DR35" s="522" t="n">
        <f aca="false">'Operating Inputs'!$P$18/12*DR8*'Executive Summary'!$C$12*DR12*(1+'Operating Inputs'!$P$13)</f>
        <v>4741.04659533779</v>
      </c>
      <c r="DS35" s="522" t="n">
        <f aca="false">'Operating Inputs'!$P$18/12*DS8*'Executive Summary'!$C$12*DS12*(1+'Operating Inputs'!$P$13)</f>
        <v>4748.87681924618</v>
      </c>
      <c r="DT35" s="522" t="n">
        <f aca="false">'Operating Inputs'!$P$18/12*DT8*'Executive Summary'!$C$12*DT12*(1+'Operating Inputs'!$P$13)</f>
        <v>4756.71997540597</v>
      </c>
      <c r="DU35" s="522" t="n">
        <f aca="false">'Operating Inputs'!$P$18/12*DU8*'Executive Summary'!$C$12*DU12*(1+'Operating Inputs'!$P$13)</f>
        <v>4764.57608517582</v>
      </c>
      <c r="DV35" s="522" t="n">
        <f aca="false">'Operating Inputs'!$P$18/12*DV8*'Executive Summary'!$C$12*DV12*(1+'Operating Inputs'!$P$13)</f>
        <v>4772.44516994967</v>
      </c>
      <c r="DW35" s="522" t="n">
        <f aca="false">'Operating Inputs'!$P$18/12*DW8*'Executive Summary'!$C$12*DW12*(1+'Operating Inputs'!$P$13)</f>
        <v>4780.3272511568</v>
      </c>
      <c r="DX35" s="522" t="n">
        <f aca="false">'Operating Inputs'!$P$18/12*DX8*'Executive Summary'!$C$12*DX12*(1+'Operating Inputs'!$P$13)</f>
        <v>4788.22235026187</v>
      </c>
      <c r="DY35" s="522" t="n">
        <f aca="false">'Operating Inputs'!$P$18/12*DY8*'Executive Summary'!$C$12*DY12*(1+'Operating Inputs'!$P$13)</f>
        <v>4796.130488765</v>
      </c>
      <c r="DZ35" s="522" t="n">
        <f aca="false">'Operating Inputs'!$P$18/12*DZ8*'Executive Summary'!$C$12*DZ12*(1+'Operating Inputs'!$P$13)</f>
        <v>4804.05168820181</v>
      </c>
      <c r="EA35" s="522" t="n">
        <f aca="false">'Operating Inputs'!$P$18/12*EA8*'Executive Summary'!$C$12*EA12*(1+'Operating Inputs'!$P$13)</f>
        <v>4811.9859701435</v>
      </c>
      <c r="EB35" s="522" t="n">
        <f aca="false">'Operating Inputs'!$P$18/12*EB8*'Executive Summary'!$C$12*EB12*(1+'Operating Inputs'!$P$13)</f>
        <v>4819.9333561969</v>
      </c>
      <c r="EC35" s="522" t="n">
        <f aca="false">'Operating Inputs'!$P$18/12*EC8*'Executive Summary'!$C$12*EC12*(1+'Operating Inputs'!$P$13)</f>
        <v>4827.89386800449</v>
      </c>
      <c r="ED35" s="522" t="n">
        <f aca="false">'Operating Inputs'!$P$18/12*ED8*'Executive Summary'!$C$12*ED12*(1+'Operating Inputs'!$P$13)</f>
        <v>4835.86752724454</v>
      </c>
      <c r="EE35" s="522" t="n">
        <f aca="false">'Operating Inputs'!$P$18/12*EE8*'Executive Summary'!$C$12*EE12*(1+'Operating Inputs'!$P$13)</f>
        <v>4843.8543556311</v>
      </c>
      <c r="EF35" s="522" t="n">
        <f aca="false">'Operating Inputs'!$P$18/12*EF8*'Executive Summary'!$C$12*EF12*(1+'Operating Inputs'!$P$13)</f>
        <v>4851.85437491409</v>
      </c>
      <c r="EG35" s="522" t="n">
        <f aca="false">'Operating Inputs'!$P$18/12*EG8*'Executive Summary'!$C$12*EG12*(1+'Operating Inputs'!$P$13)</f>
        <v>4859.86760687934</v>
      </c>
      <c r="EH35" s="522" t="n">
        <f aca="false">'Operating Inputs'!$P$18/12*EH8*'Executive Summary'!$C$12*EH12*(1+'Operating Inputs'!$P$13)</f>
        <v>4867.89407334867</v>
      </c>
      <c r="EI35" s="558" t="n">
        <f aca="false">'Operating Inputs'!$P$18/12*EI8*'Executive Summary'!$C$12*EI12*(1+'Operating Inputs'!$P$13)</f>
        <v>4875.93379617994</v>
      </c>
      <c r="EK35" s="559" t="n">
        <f aca="true">SUM(OFFSET($G35,0,EK$24*12-11,1,12))</f>
        <v>47566.6569958707</v>
      </c>
      <c r="EL35" s="522" t="n">
        <f aca="true">SUM(OFFSET($G35,0,EL$24*12-11,1,12))</f>
        <v>48517.9901357881</v>
      </c>
      <c r="EM35" s="522" t="n">
        <f aca="true">SUM(OFFSET($G35,0,EM$24*12-11,1,12))</f>
        <v>49495.2004503501</v>
      </c>
      <c r="EN35" s="522" t="n">
        <f aca="true">SUM(OFFSET($G35,0,EN$24*12-11,1,12))</f>
        <v>50478.116937274</v>
      </c>
      <c r="EO35" s="522" t="n">
        <f aca="true">SUM(OFFSET($G35,0,EO$24*12-11,1,12))</f>
        <v>51487.6792760195</v>
      </c>
      <c r="EP35" s="522" t="n">
        <f aca="true">SUM(OFFSET($G35,0,EP$24*12-11,1,12))</f>
        <v>98069.4328615399</v>
      </c>
      <c r="EQ35" s="522" t="n">
        <f aca="true">SUM(OFFSET($G35,0,EQ$24*12-11,1,12))</f>
        <v>53567.7815187708</v>
      </c>
      <c r="ER35" s="522" t="n">
        <f aca="true">SUM(OFFSET($G35,0,ER$24*12-11,1,12))</f>
        <v>54639.1371491462</v>
      </c>
      <c r="ES35" s="522" t="n">
        <f aca="true">SUM(OFFSET($G35,0,ES$24*12-11,1,12))</f>
        <v>55731.9198921292</v>
      </c>
      <c r="ET35" s="558" t="n">
        <f aca="true">SUM(OFFSET($G35,0,ET$24*12-11,1,12))</f>
        <v>56846.5582899718</v>
      </c>
    </row>
    <row r="36" s="550" customFormat="true" ht="13.5" hidden="false" customHeight="true" outlineLevel="0" collapsed="false">
      <c r="B36" s="560" t="s">
        <v>382</v>
      </c>
      <c r="C36" s="86"/>
      <c r="D36" s="561"/>
      <c r="E36" s="562" t="n">
        <f aca="true">SUM(OFFSET(G36,0,0,1,'Executive Summary'!$I$13+1))</f>
        <v>489143.506039956</v>
      </c>
      <c r="F36" s="473"/>
      <c r="G36" s="560" t="n">
        <f aca="false">SUM(G33:G35)</f>
        <v>0</v>
      </c>
      <c r="H36" s="561" t="n">
        <f aca="false">SUM(H33:H35)</f>
        <v>7761.74788737597</v>
      </c>
      <c r="I36" s="561" t="n">
        <f aca="false">SUM(I33:I35)</f>
        <v>7774.56704505698</v>
      </c>
      <c r="J36" s="561" t="n">
        <f aca="false">SUM(J33:J35)</f>
        <v>7787.40737461912</v>
      </c>
      <c r="K36" s="561" t="n">
        <f aca="false">SUM(K33:K35)</f>
        <v>7800.26891102948</v>
      </c>
      <c r="L36" s="561" t="n">
        <f aca="false">SUM(L33:L35)</f>
        <v>7813.15168931288</v>
      </c>
      <c r="M36" s="561" t="n">
        <f aca="false">SUM(M33:M35)</f>
        <v>7826.05574455202</v>
      </c>
      <c r="N36" s="561" t="n">
        <f aca="false">SUM(N33:N35)</f>
        <v>7838.98111188751</v>
      </c>
      <c r="O36" s="561" t="n">
        <f aca="false">SUM(O33:O35)</f>
        <v>7851.927826518</v>
      </c>
      <c r="P36" s="561" t="n">
        <f aca="false">SUM(P33:P35)</f>
        <v>7864.89592370031</v>
      </c>
      <c r="Q36" s="561" t="n">
        <f aca="false">SUM(Q33:Q35)</f>
        <v>7877.88543874944</v>
      </c>
      <c r="R36" s="561" t="n">
        <f aca="false">SUM(R33:R35)</f>
        <v>7890.89640703875</v>
      </c>
      <c r="S36" s="561" t="n">
        <f aca="false">SUM(S33:S35)</f>
        <v>7903.928864</v>
      </c>
      <c r="T36" s="561" t="n">
        <f aca="false">SUM(T33:T35)</f>
        <v>7916.98284512349</v>
      </c>
      <c r="U36" s="561" t="n">
        <f aca="false">SUM(U33:U35)</f>
        <v>7930.05838595812</v>
      </c>
      <c r="V36" s="561" t="n">
        <f aca="false">SUM(V33:V35)</f>
        <v>7943.15552211151</v>
      </c>
      <c r="W36" s="561" t="n">
        <f aca="false">SUM(W33:W35)</f>
        <v>7956.27428925007</v>
      </c>
      <c r="X36" s="561" t="n">
        <f aca="false">SUM(X33:X35)</f>
        <v>7969.41472309914</v>
      </c>
      <c r="Y36" s="561" t="n">
        <f aca="false">SUM(Y33:Y35)</f>
        <v>7982.57685944306</v>
      </c>
      <c r="Z36" s="561" t="n">
        <f aca="false">SUM(Z33:Z35)</f>
        <v>7995.76073412526</v>
      </c>
      <c r="AA36" s="561" t="n">
        <f aca="false">SUM(AA33:AA35)</f>
        <v>8008.96638304837</v>
      </c>
      <c r="AB36" s="561" t="n">
        <f aca="false">SUM(AB33:AB35)</f>
        <v>8022.19384217432</v>
      </c>
      <c r="AC36" s="561" t="n">
        <f aca="false">SUM(AC33:AC35)</f>
        <v>8035.44314752443</v>
      </c>
      <c r="AD36" s="561" t="n">
        <f aca="false">SUM(AD33:AD35)</f>
        <v>8048.71433517953</v>
      </c>
      <c r="AE36" s="561" t="n">
        <f aca="false">SUM(AE33:AE35)</f>
        <v>8062.00744128001</v>
      </c>
      <c r="AF36" s="561" t="n">
        <f aca="false">SUM(AF33:AF35)</f>
        <v>8075.32250202597</v>
      </c>
      <c r="AG36" s="561" t="n">
        <f aca="false">SUM(AG33:AG35)</f>
        <v>8088.65955367729</v>
      </c>
      <c r="AH36" s="561" t="n">
        <f aca="false">SUM(AH33:AH35)</f>
        <v>8102.01863255374</v>
      </c>
      <c r="AI36" s="561" t="n">
        <f aca="false">SUM(AI33:AI35)</f>
        <v>8115.39977503507</v>
      </c>
      <c r="AJ36" s="561" t="n">
        <f aca="false">SUM(AJ33:AJ35)</f>
        <v>8128.80301756113</v>
      </c>
      <c r="AK36" s="561" t="n">
        <f aca="false">SUM(AK33:AK35)</f>
        <v>8142.22839663193</v>
      </c>
      <c r="AL36" s="561" t="n">
        <f aca="false">SUM(AL33:AL35)</f>
        <v>8155.67594880777</v>
      </c>
      <c r="AM36" s="561" t="n">
        <f aca="false">SUM(AM33:AM35)</f>
        <v>8169.14571070934</v>
      </c>
      <c r="AN36" s="561" t="n">
        <f aca="false">SUM(AN33:AN35)</f>
        <v>8182.63771901781</v>
      </c>
      <c r="AO36" s="561" t="n">
        <f aca="false">SUM(AO33:AO35)</f>
        <v>8203.00252232118</v>
      </c>
      <c r="AP36" s="561" t="n">
        <f aca="false">SUM(AP33:AP35)</f>
        <v>8209.68862188312</v>
      </c>
      <c r="AQ36" s="561" t="n">
        <f aca="false">SUM(AQ33:AQ35)</f>
        <v>8223.24759010561</v>
      </c>
      <c r="AR36" s="561" t="n">
        <f aca="false">SUM(AR33:AR35)</f>
        <v>8236.82895206649</v>
      </c>
      <c r="AS36" s="561" t="n">
        <f aca="false">SUM(AS33:AS35)</f>
        <v>8250.43274475084</v>
      </c>
      <c r="AT36" s="561" t="n">
        <f aca="false">SUM(AT33:AT35)</f>
        <v>8264.05900520482</v>
      </c>
      <c r="AU36" s="561" t="n">
        <f aca="false">SUM(AU33:AU35)</f>
        <v>8277.70777053578</v>
      </c>
      <c r="AV36" s="561" t="n">
        <f aca="false">SUM(AV33:AV35)</f>
        <v>8291.37907791236</v>
      </c>
      <c r="AW36" s="561" t="n">
        <f aca="false">SUM(AW33:AW35)</f>
        <v>8305.07296456457</v>
      </c>
      <c r="AX36" s="561" t="n">
        <f aca="false">SUM(AX33:AX35)</f>
        <v>8318.78946778393</v>
      </c>
      <c r="AY36" s="561" t="n">
        <f aca="false">SUM(AY33:AY35)</f>
        <v>8332.52862492353</v>
      </c>
      <c r="AZ36" s="561" t="n">
        <f aca="false">SUM(AZ33:AZ35)</f>
        <v>8346.29047339817</v>
      </c>
      <c r="BA36" s="561" t="n">
        <f aca="false">SUM(BA33:BA35)</f>
        <v>8360.07505068443</v>
      </c>
      <c r="BB36" s="561" t="n">
        <f aca="false">SUM(BB33:BB35)</f>
        <v>8373.88239432079</v>
      </c>
      <c r="BC36" s="561" t="n">
        <f aca="false">SUM(BC33:BC35)</f>
        <v>8387.71254190773</v>
      </c>
      <c r="BD36" s="561" t="n">
        <f aca="false">SUM(BD33:BD35)</f>
        <v>8401.56553110783</v>
      </c>
      <c r="BE36" s="561" t="n">
        <f aca="false">SUM(BE33:BE35)</f>
        <v>8415.44139964586</v>
      </c>
      <c r="BF36" s="561" t="n">
        <f aca="false">SUM(BF33:BF35)</f>
        <v>8429.34018530892</v>
      </c>
      <c r="BG36" s="561" t="n">
        <f aca="false">SUM(BG33:BG35)</f>
        <v>8443.2619259465</v>
      </c>
      <c r="BH36" s="561" t="n">
        <f aca="false">SUM(BH33:BH35)</f>
        <v>8457.20665947061</v>
      </c>
      <c r="BI36" s="561" t="n">
        <f aca="false">SUM(BI33:BI35)</f>
        <v>8471.17442385587</v>
      </c>
      <c r="BJ36" s="561" t="n">
        <f aca="false">SUM(BJ33:BJ35)</f>
        <v>8485.16525713961</v>
      </c>
      <c r="BK36" s="561" t="n">
        <f aca="false">SUM(BK33:BK35)</f>
        <v>8499.17919742201</v>
      </c>
      <c r="BL36" s="561" t="n">
        <f aca="false">SUM(BL33:BL35)</f>
        <v>8513.21628286614</v>
      </c>
      <c r="BM36" s="561" t="n">
        <f aca="false">SUM(BM33:BM35)</f>
        <v>8527.27655169812</v>
      </c>
      <c r="BN36" s="561" t="n">
        <f aca="false">SUM(BN33:BN35)</f>
        <v>8541.36004220721</v>
      </c>
      <c r="BO36" s="561" t="n">
        <f aca="false">SUM(BO33:BO35)</f>
        <v>8555.46679274589</v>
      </c>
      <c r="BP36" s="561" t="n">
        <f aca="false">SUM(BP33:BP35)</f>
        <v>8569.59684172999</v>
      </c>
      <c r="BQ36" s="561" t="n">
        <f aca="false">SUM(BQ33:BQ35)</f>
        <v>8583.75022763878</v>
      </c>
      <c r="BR36" s="561" t="n">
        <f aca="false">SUM(BR33:BR35)</f>
        <v>8597.9269890151</v>
      </c>
      <c r="BS36" s="561" t="n">
        <f aca="false">SUM(BS33:BS35)</f>
        <v>8612.12716446544</v>
      </c>
      <c r="BT36" s="561" t="n">
        <f aca="false">SUM(BT33:BT35)</f>
        <v>14320.35079266</v>
      </c>
      <c r="BU36" s="561" t="n">
        <f aca="false">SUM(BU33:BU35)</f>
        <v>14334.597912333</v>
      </c>
      <c r="BV36" s="561" t="n">
        <f aca="false">SUM(BV33:BV35)</f>
        <v>14348.8685622824</v>
      </c>
      <c r="BW36" s="561" t="n">
        <f aca="false">SUM(BW33:BW35)</f>
        <v>14363.1627813705</v>
      </c>
      <c r="BX36" s="561" t="n">
        <f aca="false">SUM(BX33:BX35)</f>
        <v>14377.4806085235</v>
      </c>
      <c r="BY36" s="561" t="n">
        <f aca="false">SUM(BY33:BY35)</f>
        <v>14391.8220827321</v>
      </c>
      <c r="BZ36" s="561" t="n">
        <f aca="false">SUM(BZ33:BZ35)</f>
        <v>14406.1872430514</v>
      </c>
      <c r="CA36" s="561" t="n">
        <f aca="false">SUM(CA33:CA35)</f>
        <v>14420.5761286008</v>
      </c>
      <c r="CB36" s="561" t="n">
        <f aca="false">SUM(CB33:CB35)</f>
        <v>8740.98877856459</v>
      </c>
      <c r="CC36" s="561" t="n">
        <f aca="false">SUM(CC33:CC35)</f>
        <v>8755.42523219156</v>
      </c>
      <c r="CD36" s="561" t="n">
        <f aca="false">SUM(CD33:CD35)</f>
        <v>8769.88552879541</v>
      </c>
      <c r="CE36" s="561" t="n">
        <f aca="false">SUM(CE33:CE35)</f>
        <v>8784.36970775475</v>
      </c>
      <c r="CF36" s="561" t="n">
        <f aca="false">SUM(CF33:CF35)</f>
        <v>8798.87780851323</v>
      </c>
      <c r="CG36" s="561" t="n">
        <f aca="false">SUM(CG33:CG35)</f>
        <v>8813.40987057965</v>
      </c>
      <c r="CH36" s="561" t="n">
        <f aca="false">SUM(CH33:CH35)</f>
        <v>8827.96593352806</v>
      </c>
      <c r="CI36" s="561" t="n">
        <f aca="false">SUM(CI33:CI35)</f>
        <v>8842.54603699787</v>
      </c>
      <c r="CJ36" s="561" t="n">
        <f aca="false">SUM(CJ33:CJ35)</f>
        <v>8857.15022069394</v>
      </c>
      <c r="CK36" s="561" t="n">
        <f aca="false">SUM(CK33:CK35)</f>
        <v>8871.77852438674</v>
      </c>
      <c r="CL36" s="561" t="n">
        <f aca="false">SUM(CL33:CL35)</f>
        <v>8886.43098791239</v>
      </c>
      <c r="CM36" s="561" t="n">
        <f aca="false">SUM(CM33:CM35)</f>
        <v>8901.10765117283</v>
      </c>
      <c r="CN36" s="561" t="n">
        <f aca="false">SUM(CN33:CN35)</f>
        <v>8915.80855413589</v>
      </c>
      <c r="CO36" s="561" t="n">
        <f aca="false">SUM(CO33:CO35)</f>
        <v>8930.5337368354</v>
      </c>
      <c r="CP36" s="561" t="n">
        <f aca="false">SUM(CP33:CP35)</f>
        <v>8945.28323937133</v>
      </c>
      <c r="CQ36" s="561" t="n">
        <f aca="false">SUM(CQ33:CQ35)</f>
        <v>8960.05710190985</v>
      </c>
      <c r="CR36" s="561" t="n">
        <f aca="false">SUM(CR33:CR35)</f>
        <v>8974.8553646835</v>
      </c>
      <c r="CS36" s="561" t="n">
        <f aca="false">SUM(CS33:CS35)</f>
        <v>8989.67806799125</v>
      </c>
      <c r="CT36" s="561" t="n">
        <f aca="false">SUM(CT33:CT35)</f>
        <v>9004.52525219863</v>
      </c>
      <c r="CU36" s="561" t="n">
        <f aca="false">SUM(CU33:CU35)</f>
        <v>9019.39695773783</v>
      </c>
      <c r="CV36" s="561" t="n">
        <f aca="false">SUM(CV33:CV35)</f>
        <v>9034.29322510783</v>
      </c>
      <c r="CW36" s="561" t="n">
        <f aca="false">SUM(CW33:CW35)</f>
        <v>9049.21409487448</v>
      </c>
      <c r="CX36" s="561" t="n">
        <f aca="false">SUM(CX33:CX35)</f>
        <v>9064.15960767065</v>
      </c>
      <c r="CY36" s="561" t="n">
        <f aca="false">SUM(CY33:CY35)</f>
        <v>9079.1298041963</v>
      </c>
      <c r="CZ36" s="561" t="n">
        <f aca="false">SUM(CZ33:CZ35)</f>
        <v>9094.12472521861</v>
      </c>
      <c r="DA36" s="561" t="n">
        <f aca="false">SUM(DA33:DA35)</f>
        <v>9109.14441157211</v>
      </c>
      <c r="DB36" s="561" t="n">
        <f aca="false">SUM(DB33:DB35)</f>
        <v>9124.18890415876</v>
      </c>
      <c r="DC36" s="561" t="n">
        <f aca="false">SUM(DC33:DC35)</f>
        <v>9139.25824394806</v>
      </c>
      <c r="DD36" s="561" t="n">
        <f aca="false">SUM(DD33:DD35)</f>
        <v>9154.35247197718</v>
      </c>
      <c r="DE36" s="561" t="n">
        <f aca="false">SUM(DE33:DE35)</f>
        <v>9169.47162935109</v>
      </c>
      <c r="DF36" s="561" t="n">
        <f aca="false">SUM(DF33:DF35)</f>
        <v>9184.61575724261</v>
      </c>
      <c r="DG36" s="561" t="n">
        <f aca="false">SUM(DG33:DG35)</f>
        <v>9199.78489689259</v>
      </c>
      <c r="DH36" s="561" t="n">
        <f aca="false">SUM(DH33:DH35)</f>
        <v>9214.97908960999</v>
      </c>
      <c r="DI36" s="561" t="n">
        <f aca="false">SUM(DI33:DI35)</f>
        <v>9230.19837677197</v>
      </c>
      <c r="DJ36" s="561" t="n">
        <f aca="false">SUM(DJ33:DJ35)</f>
        <v>9245.44279982406</v>
      </c>
      <c r="DK36" s="561" t="n">
        <f aca="false">SUM(DK33:DK35)</f>
        <v>9260.71240028023</v>
      </c>
      <c r="DL36" s="561" t="n">
        <f aca="false">SUM(DL33:DL35)</f>
        <v>9276.00721972299</v>
      </c>
      <c r="DM36" s="561" t="n">
        <f aca="false">SUM(DM33:DM35)</f>
        <v>9291.32729980356</v>
      </c>
      <c r="DN36" s="561" t="n">
        <f aca="false">SUM(DN33:DN35)</f>
        <v>9306.67268224194</v>
      </c>
      <c r="DO36" s="561" t="n">
        <f aca="false">SUM(DO33:DO35)</f>
        <v>9322.04340882702</v>
      </c>
      <c r="DP36" s="561" t="n">
        <f aca="false">SUM(DP33:DP35)</f>
        <v>9337.43952141673</v>
      </c>
      <c r="DQ36" s="561" t="n">
        <f aca="false">SUM(DQ33:DQ35)</f>
        <v>9352.86106193811</v>
      </c>
      <c r="DR36" s="561" t="n">
        <f aca="false">SUM(DR33:DR35)</f>
        <v>9368.30807238747</v>
      </c>
      <c r="DS36" s="561" t="n">
        <f aca="false">SUM(DS33:DS35)</f>
        <v>9383.78059483045</v>
      </c>
      <c r="DT36" s="561" t="n">
        <f aca="false">SUM(DT33:DT35)</f>
        <v>9399.27867140219</v>
      </c>
      <c r="DU36" s="561" t="n">
        <f aca="false">SUM(DU33:DU35)</f>
        <v>9414.80234430742</v>
      </c>
      <c r="DV36" s="561" t="n">
        <f aca="false">SUM(DV33:DV35)</f>
        <v>9430.35165582055</v>
      </c>
      <c r="DW36" s="561" t="n">
        <f aca="false">SUM(DW33:DW35)</f>
        <v>9445.92664828584</v>
      </c>
      <c r="DX36" s="561" t="n">
        <f aca="false">SUM(DX33:DX35)</f>
        <v>9461.52736411745</v>
      </c>
      <c r="DY36" s="561" t="n">
        <f aca="false">SUM(DY33:DY35)</f>
        <v>9477.15384579964</v>
      </c>
      <c r="DZ36" s="561" t="n">
        <f aca="false">SUM(DZ33:DZ35)</f>
        <v>9492.80613588678</v>
      </c>
      <c r="EA36" s="561" t="n">
        <f aca="false">SUM(EA33:EA35)</f>
        <v>9508.48427700357</v>
      </c>
      <c r="EB36" s="561" t="n">
        <f aca="false">SUM(EB33:EB35)</f>
        <v>9524.18831184506</v>
      </c>
      <c r="EC36" s="561" t="n">
        <f aca="false">SUM(EC33:EC35)</f>
        <v>9539.91828317687</v>
      </c>
      <c r="ED36" s="561" t="n">
        <f aca="false">SUM(ED33:ED35)</f>
        <v>9555.67423383522</v>
      </c>
      <c r="EE36" s="561" t="n">
        <f aca="false">SUM(EE33:EE35)</f>
        <v>9571.45620672706</v>
      </c>
      <c r="EF36" s="561" t="n">
        <f aca="false">SUM(EF33:EF35)</f>
        <v>9587.26424483024</v>
      </c>
      <c r="EG36" s="561" t="n">
        <f aca="false">SUM(EG33:EG35)</f>
        <v>9603.09839119357</v>
      </c>
      <c r="EH36" s="561" t="n">
        <f aca="false">SUM(EH33:EH35)</f>
        <v>9618.95868893696</v>
      </c>
      <c r="EI36" s="562" t="n">
        <f aca="false">SUM(EI33:EI35)</f>
        <v>9634.84518125156</v>
      </c>
      <c r="EK36" s="560" t="n">
        <f aca="true">SUM(OFFSET($G36,0,EK$24*12-11,1,12))</f>
        <v>93991.7142238405</v>
      </c>
      <c r="EL36" s="561" t="n">
        <f aca="true">SUM(OFFSET($G36,0,EL$24*12-11,1,12))</f>
        <v>95871.5485083173</v>
      </c>
      <c r="EM36" s="561" t="n">
        <f aca="true">SUM(OFFSET($G36,0,EM$24*12-11,1,12))</f>
        <v>97795.82999033</v>
      </c>
      <c r="EN36" s="561" t="n">
        <f aca="true">SUM(OFFSET($G36,0,EN$24*12-11,1,12))</f>
        <v>99744.7590680534</v>
      </c>
      <c r="EO36" s="561" t="n">
        <f aca="true">SUM(OFFSET($G36,0,EO$24*12-11,1,12))</f>
        <v>101739.654249415</v>
      </c>
      <c r="EP36" s="561" t="n">
        <f aca="true">SUM(OFFSET($G36,0,EP$24*12-11,1,12))</f>
        <v>149326.447334403</v>
      </c>
      <c r="EQ36" s="561" t="n">
        <f aca="true">SUM(OFFSET($G36,0,EQ$24*12-11,1,12))</f>
        <v>105849.936281091</v>
      </c>
      <c r="ER36" s="561" t="n">
        <f aca="true">SUM(OFFSET($G36,0,ER$24*12-11,1,12))</f>
        <v>107966.935006713</v>
      </c>
      <c r="ES36" s="561" t="n">
        <f aca="true">SUM(OFFSET($G36,0,ES$24*12-11,1,12))</f>
        <v>110126.273706847</v>
      </c>
      <c r="ET36" s="562" t="n">
        <f aca="true">SUM(OFFSET($G36,0,ET$24*12-11,1,12))</f>
        <v>112328.799180984</v>
      </c>
    </row>
    <row r="37" s="522" customFormat="true" ht="13.5" hidden="false" customHeight="true" outlineLevel="0" collapsed="false">
      <c r="B37" s="543" t="s">
        <v>383</v>
      </c>
      <c r="C37" s="61"/>
      <c r="D37" s="421"/>
      <c r="E37" s="472" t="n">
        <f aca="true">SUM(OFFSET(G37,0,0,1,'Executive Summary'!$I$13+1))</f>
        <v>4334235.51899411</v>
      </c>
      <c r="F37" s="421"/>
      <c r="G37" s="513" t="n">
        <f aca="false">SUM(G31,G36)</f>
        <v>0</v>
      </c>
      <c r="H37" s="473" t="n">
        <f aca="false">SUM(H31,H36)</f>
        <v>63826.306568275</v>
      </c>
      <c r="I37" s="473" t="n">
        <f aca="false">SUM(I31,I36)</f>
        <v>64200.038349222</v>
      </c>
      <c r="J37" s="473" t="n">
        <f aca="false">SUM(J31,J36)</f>
        <v>64675.3224214802</v>
      </c>
      <c r="K37" s="473" t="n">
        <f aca="false">SUM(K31,K36)</f>
        <v>65053.9246036143</v>
      </c>
      <c r="L37" s="473" t="n">
        <f aca="false">SUM(L31,L36)</f>
        <v>65535.0115681794</v>
      </c>
      <c r="M37" s="473" t="n">
        <f aca="false">SUM(M31,M36)</f>
        <v>65919.3106306736</v>
      </c>
      <c r="N37" s="473" t="n">
        <f aca="false">SUM(N31,N36)</f>
        <v>66406.2069470089</v>
      </c>
      <c r="O37" s="473" t="n">
        <f aca="false">SUM(O31,O36)</f>
        <v>66796.2092331879</v>
      </c>
      <c r="P37" s="473" t="n">
        <f aca="false">SUM(P31,P36)</f>
        <v>67288.9213681527</v>
      </c>
      <c r="Q37" s="473" t="n">
        <f aca="false">SUM(Q31,Q36)</f>
        <v>67684.6332286099</v>
      </c>
      <c r="R37" s="473" t="n">
        <f aca="false">SUM(R31,R36)</f>
        <v>68183.1676564686</v>
      </c>
      <c r="S37" s="473" t="n">
        <f aca="false">SUM(S31,S36)</f>
        <v>68584.5954490755</v>
      </c>
      <c r="T37" s="473" t="n">
        <f aca="false">SUM(T31,T36)</f>
        <v>68847.2444323557</v>
      </c>
      <c r="U37" s="473" t="n">
        <f aca="false">SUM(U31,U36)</f>
        <v>69090.6748905627</v>
      </c>
      <c r="V37" s="473" t="n">
        <f aca="false">SUM(V31,V36)</f>
        <v>69246.1751420919</v>
      </c>
      <c r="W37" s="473" t="n">
        <f aca="false">SUM(W31,W36)</f>
        <v>69512.8381280507</v>
      </c>
      <c r="X37" s="473" t="n">
        <f aca="false">SUM(X31,X36)</f>
        <v>69691.5358957477</v>
      </c>
      <c r="Y37" s="473" t="n">
        <f aca="false">SUM(Y31,Y36)</f>
        <v>69981.5799531252</v>
      </c>
      <c r="Z37" s="473" t="n">
        <f aca="false">SUM(Z31,Z36)</f>
        <v>70183.6240715657</v>
      </c>
      <c r="AA37" s="473" t="n">
        <f aca="false">SUM(AA31,AA36)</f>
        <v>70497.1985664924</v>
      </c>
      <c r="AB37" s="473" t="n">
        <f aca="false">SUM(AB31,AB36)</f>
        <v>70722.7386947996</v>
      </c>
      <c r="AC37" s="473" t="n">
        <f aca="false">SUM(AC31,AC36)</f>
        <v>71059.993820307</v>
      </c>
      <c r="AD37" s="473" t="n">
        <f aca="false">SUM(AD31,AD36)</f>
        <v>71309.1804466013</v>
      </c>
      <c r="AE37" s="473" t="n">
        <f aca="false">SUM(AE31,AE36)</f>
        <v>71670.2672270824</v>
      </c>
      <c r="AF37" s="473" t="n">
        <f aca="false">SUM(AF31,AF36)</f>
        <v>71801.4311129413</v>
      </c>
      <c r="AG37" s="473" t="n">
        <f aca="false">SUM(AG31,AG36)</f>
        <v>71987.7951445235</v>
      </c>
      <c r="AH37" s="473" t="n">
        <f aca="false">SUM(AH31,AH36)</f>
        <v>72173.4749170332</v>
      </c>
      <c r="AI37" s="473" t="n">
        <f aca="false">SUM(AI31,AI36)</f>
        <v>72358.465691982</v>
      </c>
      <c r="AJ37" s="473" t="n">
        <f aca="false">SUM(AJ31,AJ36)</f>
        <v>72542.7627110465</v>
      </c>
      <c r="AK37" s="473" t="n">
        <f aca="false">SUM(AK31,AK36)</f>
        <v>72726.3611959975</v>
      </c>
      <c r="AL37" s="473" t="n">
        <f aca="false">SUM(AL31,AL36)</f>
        <v>72909.2563486291</v>
      </c>
      <c r="AM37" s="473" t="n">
        <f aca="false">SUM(AM31,AM36)</f>
        <v>73091.4433506877</v>
      </c>
      <c r="AN37" s="473" t="n">
        <f aca="false">SUM(AN31,AN36)</f>
        <v>73272.9173638005</v>
      </c>
      <c r="AO37" s="473" t="n">
        <f aca="false">SUM(AO31,AO36)</f>
        <v>73460.5240412501</v>
      </c>
      <c r="AP37" s="473" t="n">
        <f aca="false">SUM(AP31,AP36)</f>
        <v>73633.7069686714</v>
      </c>
      <c r="AQ37" s="473" t="n">
        <f aca="false">SUM(AQ31,AQ36)</f>
        <v>73813.0127824419</v>
      </c>
      <c r="AR37" s="473" t="n">
        <f aca="false">SUM(AR31,AR36)</f>
        <v>73939.3058962222</v>
      </c>
      <c r="AS37" s="473" t="n">
        <f aca="false">SUM(AS31,AS36)</f>
        <v>74119.4750954775</v>
      </c>
      <c r="AT37" s="473" t="n">
        <f aca="false">SUM(AT31,AT36)</f>
        <v>74300.0775577299</v>
      </c>
      <c r="AU37" s="473" t="n">
        <f aca="false">SUM(AU31,AU36)</f>
        <v>74481.1143332183</v>
      </c>
      <c r="AV37" s="473" t="n">
        <f aca="false">SUM(AV31,AV36)</f>
        <v>74662.5864747421</v>
      </c>
      <c r="AW37" s="473" t="n">
        <f aca="false">SUM(AW31,AW36)</f>
        <v>74844.4950376666</v>
      </c>
      <c r="AX37" s="473" t="n">
        <f aca="false">SUM(AX31,AX36)</f>
        <v>75026.8410799296</v>
      </c>
      <c r="AY37" s="473" t="n">
        <f aca="false">SUM(AY31,AY36)</f>
        <v>75209.6256620476</v>
      </c>
      <c r="AZ37" s="473" t="n">
        <f aca="false">SUM(AZ31,AZ36)</f>
        <v>75392.8498471225</v>
      </c>
      <c r="BA37" s="473" t="n">
        <f aca="false">SUM(BA31,BA36)</f>
        <v>75576.5147008472</v>
      </c>
      <c r="BB37" s="473" t="n">
        <f aca="false">SUM(BB31,BB36)</f>
        <v>75760.6212915128</v>
      </c>
      <c r="BC37" s="473" t="n">
        <f aca="false">SUM(BC31,BC36)</f>
        <v>75945.1706900142</v>
      </c>
      <c r="BD37" s="473" t="n">
        <f aca="false">SUM(BD31,BD36)</f>
        <v>76075.1167835883</v>
      </c>
      <c r="BE37" s="473" t="n">
        <f aca="false">SUM(BE31,BE36)</f>
        <v>76260.5550208944</v>
      </c>
      <c r="BF37" s="473" t="n">
        <f aca="false">SUM(BF31,BF36)</f>
        <v>76446.4392944098</v>
      </c>
      <c r="BG37" s="473" t="n">
        <f aca="false">SUM(BG31,BG36)</f>
        <v>76632.7706855096</v>
      </c>
      <c r="BH37" s="473" t="n">
        <f aca="false">SUM(BH31,BH36)</f>
        <v>76819.5502782053</v>
      </c>
      <c r="BI37" s="473" t="n">
        <f aca="false">SUM(BI31,BI36)</f>
        <v>77006.779159151</v>
      </c>
      <c r="BJ37" s="473" t="n">
        <f aca="false">SUM(BJ31,BJ36)</f>
        <v>77194.4584176496</v>
      </c>
      <c r="BK37" s="473" t="n">
        <f aca="false">SUM(BK31,BK36)</f>
        <v>77382.5891456598</v>
      </c>
      <c r="BL37" s="473" t="n">
        <f aca="false">SUM(BL31,BL36)</f>
        <v>77571.1724378022</v>
      </c>
      <c r="BM37" s="473" t="n">
        <f aca="false">SUM(BM31,BM36)</f>
        <v>77760.2093913659</v>
      </c>
      <c r="BN37" s="473" t="n">
        <f aca="false">SUM(BN31,BN36)</f>
        <v>77949.701106315</v>
      </c>
      <c r="BO37" s="473" t="n">
        <f aca="false">SUM(BO31,BO36)</f>
        <v>78139.6486852956</v>
      </c>
      <c r="BP37" s="473" t="n">
        <f aca="false">SUM(BP31,BP36)</f>
        <v>78273.3546317849</v>
      </c>
      <c r="BQ37" s="473" t="n">
        <f aca="false">SUM(BQ31,BQ36)</f>
        <v>78464.2172575248</v>
      </c>
      <c r="BR37" s="473" t="n">
        <f aca="false">SUM(BR31,BR36)</f>
        <v>78655.539071389</v>
      </c>
      <c r="BS37" s="473" t="n">
        <f aca="false">SUM(BS31,BS36)</f>
        <v>78847.3211868155</v>
      </c>
      <c r="BT37" s="473" t="n">
        <f aca="false">SUM(BT31,BT36)</f>
        <v>84733.5647199568</v>
      </c>
      <c r="BU37" s="473" t="n">
        <f aca="false">SUM(BU31,BU36)</f>
        <v>84926.270789687</v>
      </c>
      <c r="BV37" s="473" t="n">
        <f aca="false">SUM(BV31,BV36)</f>
        <v>85119.4405176078</v>
      </c>
      <c r="BW37" s="473" t="n">
        <f aca="false">SUM(BW31,BW36)</f>
        <v>85313.0750280555</v>
      </c>
      <c r="BX37" s="473" t="n">
        <f aca="false">SUM(BX31,BX36)</f>
        <v>85507.1754481077</v>
      </c>
      <c r="BY37" s="473" t="n">
        <f aca="false">SUM(BY31,BY36)</f>
        <v>85701.7429075899</v>
      </c>
      <c r="BZ37" s="473" t="n">
        <f aca="false">SUM(BZ31,BZ36)</f>
        <v>85896.7785390825</v>
      </c>
      <c r="CA37" s="473" t="n">
        <f aca="false">SUM(CA31,CA36)</f>
        <v>86092.283477927</v>
      </c>
      <c r="CB37" s="473" t="n">
        <f aca="false">SUM(CB31,CB36)</f>
        <v>80535.8593023212</v>
      </c>
      <c r="CC37" s="473" t="n">
        <f aca="false">SUM(CC31,CC36)</f>
        <v>80732.3062729742</v>
      </c>
      <c r="CD37" s="473" t="n">
        <f aca="false">SUM(CD31,CD36)</f>
        <v>80929.2259736406</v>
      </c>
      <c r="CE37" s="473" t="n">
        <f aca="false">SUM(CE31,CE36)</f>
        <v>81126.6195507753</v>
      </c>
      <c r="CF37" s="473" t="n">
        <f aca="false">SUM(CF31,CF36)</f>
        <v>81324.488153629</v>
      </c>
      <c r="CG37" s="473" t="n">
        <f aca="false">SUM(CG31,CG36)</f>
        <v>81522.8329342543</v>
      </c>
      <c r="CH37" s="473" t="n">
        <f aca="false">SUM(CH31,CH36)</f>
        <v>81721.6550475132</v>
      </c>
      <c r="CI37" s="473" t="n">
        <f aca="false">SUM(CI31,CI36)</f>
        <v>81920.9556510835</v>
      </c>
      <c r="CJ37" s="473" t="n">
        <f aca="false">SUM(CJ31,CJ36)</f>
        <v>82120.7359054657</v>
      </c>
      <c r="CK37" s="473" t="n">
        <f aca="false">SUM(CK31,CK36)</f>
        <v>82320.9969739904</v>
      </c>
      <c r="CL37" s="473" t="n">
        <f aca="false">SUM(CL31,CL36)</f>
        <v>82521.7400228245</v>
      </c>
      <c r="CM37" s="473" t="n">
        <f aca="false">SUM(CM31,CM36)</f>
        <v>82722.9662209789</v>
      </c>
      <c r="CN37" s="473" t="n">
        <f aca="false">SUM(CN31,CN36)</f>
        <v>82864.5251936052</v>
      </c>
      <c r="CO37" s="473" t="n">
        <f aca="false">SUM(CO31,CO36)</f>
        <v>83066.7212088416</v>
      </c>
      <c r="CP37" s="473" t="n">
        <f aca="false">SUM(CP31,CP36)</f>
        <v>83269.4038975619</v>
      </c>
      <c r="CQ37" s="473" t="n">
        <f aca="false">SUM(CQ31,CQ36)</f>
        <v>83472.5744402211</v>
      </c>
      <c r="CR37" s="473" t="n">
        <f aca="false">SUM(CR31,CR36)</f>
        <v>83676.2340201528</v>
      </c>
      <c r="CS37" s="473" t="n">
        <f aca="false">SUM(CS31,CS36)</f>
        <v>83880.3838235763</v>
      </c>
      <c r="CT37" s="473" t="n">
        <f aca="false">SUM(CT31,CT36)</f>
        <v>84085.0250396035</v>
      </c>
      <c r="CU37" s="473" t="n">
        <f aca="false">SUM(CU31,CU36)</f>
        <v>84290.1588602461</v>
      </c>
      <c r="CV37" s="473" t="n">
        <f aca="false">SUM(CV31,CV36)</f>
        <v>84495.7864804228</v>
      </c>
      <c r="CW37" s="473" t="n">
        <f aca="false">SUM(CW31,CW36)</f>
        <v>84701.9090979663</v>
      </c>
      <c r="CX37" s="473" t="n">
        <f aca="false">SUM(CX31,CX36)</f>
        <v>84908.5279136302</v>
      </c>
      <c r="CY37" s="473" t="n">
        <f aca="false">SUM(CY31,CY36)</f>
        <v>85115.6441310966</v>
      </c>
      <c r="CZ37" s="473" t="n">
        <f aca="false">SUM(CZ31,CZ36)</f>
        <v>85261.3028638721</v>
      </c>
      <c r="DA37" s="473" t="n">
        <f aca="false">SUM(DA31,DA36)</f>
        <v>85469.4175077386</v>
      </c>
      <c r="DB37" s="473" t="n">
        <f aca="false">SUM(DB31,DB36)</f>
        <v>85678.0331820952</v>
      </c>
      <c r="DC37" s="473" t="n">
        <f aca="false">SUM(DC31,DC36)</f>
        <v>85887.1511024088</v>
      </c>
      <c r="DD37" s="473" t="n">
        <f aca="false">SUM(DD31,DD36)</f>
        <v>86096.7724871107</v>
      </c>
      <c r="DE37" s="473" t="n">
        <f aca="false">SUM(DE31,DE36)</f>
        <v>86306.8985576038</v>
      </c>
      <c r="DF37" s="473" t="n">
        <f aca="false">SUM(DF31,DF36)</f>
        <v>86517.5305382697</v>
      </c>
      <c r="DG37" s="473" t="n">
        <f aca="false">SUM(DG31,DG36)</f>
        <v>86728.6696564762</v>
      </c>
      <c r="DH37" s="473" t="n">
        <f aca="false">SUM(DH31,DH36)</f>
        <v>86940.3171425846</v>
      </c>
      <c r="DI37" s="473" t="n">
        <f aca="false">SUM(DI31,DI36)</f>
        <v>87152.4742299567</v>
      </c>
      <c r="DJ37" s="473" t="n">
        <f aca="false">SUM(DJ31,DJ36)</f>
        <v>87365.1421549625</v>
      </c>
      <c r="DK37" s="473" t="n">
        <f aca="false">SUM(DK31,DK36)</f>
        <v>87578.3221569877</v>
      </c>
      <c r="DL37" s="473" t="n">
        <f aca="false">SUM(DL31,DL36)</f>
        <v>87728.2007025362</v>
      </c>
      <c r="DM37" s="473" t="n">
        <f aca="false">SUM(DM31,DM36)</f>
        <v>87942.4085888552</v>
      </c>
      <c r="DN37" s="473" t="n">
        <f aca="false">SUM(DN31,DN36)</f>
        <v>88157.1322885166</v>
      </c>
      <c r="DO37" s="473" t="n">
        <f aca="false">SUM(DO31,DO36)</f>
        <v>88372.3730530416</v>
      </c>
      <c r="DP37" s="473" t="n">
        <f aca="false">SUM(DP31,DP36)</f>
        <v>88588.1321370043</v>
      </c>
      <c r="DQ37" s="473" t="n">
        <f aca="false">SUM(DQ31,DQ36)</f>
        <v>88804.4107980384</v>
      </c>
      <c r="DR37" s="473" t="n">
        <f aca="false">SUM(DR31,DR36)</f>
        <v>89021.2102968454</v>
      </c>
      <c r="DS37" s="473" t="n">
        <f aca="false">SUM(DS31,DS36)</f>
        <v>89238.5318972016</v>
      </c>
      <c r="DT37" s="473" t="n">
        <f aca="false">SUM(DT31,DT36)</f>
        <v>89456.3768659661</v>
      </c>
      <c r="DU37" s="473" t="n">
        <f aca="false">SUM(DU31,DU36)</f>
        <v>89674.7464730877</v>
      </c>
      <c r="DV37" s="473" t="n">
        <f aca="false">SUM(DV31,DV36)</f>
        <v>89893.6419916132</v>
      </c>
      <c r="DW37" s="473" t="n">
        <f aca="false">SUM(DW31,DW36)</f>
        <v>90113.0646976946</v>
      </c>
      <c r="DX37" s="473" t="n">
        <f aca="false">SUM(DX31,DX36)</f>
        <v>90267.2866514151</v>
      </c>
      <c r="DY37" s="473" t="n">
        <f aca="false">SUM(DY31,DY36)</f>
        <v>90487.7675735229</v>
      </c>
      <c r="DZ37" s="473" t="n">
        <f aca="false">SUM(DZ31,DZ36)</f>
        <v>90708.7795303497</v>
      </c>
      <c r="EA37" s="473" t="n">
        <f aca="false">SUM(EA31,EA36)</f>
        <v>90930.3238105447</v>
      </c>
      <c r="EB37" s="473" t="n">
        <f aca="false">SUM(EB31,EB36)</f>
        <v>91152.4017059004</v>
      </c>
      <c r="EC37" s="473" t="n">
        <f aca="false">SUM(EC31,EC36)</f>
        <v>91375.0145113603</v>
      </c>
      <c r="ED37" s="473" t="n">
        <f aca="false">SUM(ED31,ED36)</f>
        <v>91598.163525027</v>
      </c>
      <c r="EE37" s="473" t="n">
        <f aca="false">SUM(EE31,EE36)</f>
        <v>91821.8500481695</v>
      </c>
      <c r="EF37" s="473" t="n">
        <f aca="false">SUM(EF31,EF36)</f>
        <v>92046.0753852311</v>
      </c>
      <c r="EG37" s="473" t="n">
        <f aca="false">SUM(EG31,EG36)</f>
        <v>92270.8408438374</v>
      </c>
      <c r="EH37" s="473" t="n">
        <f aca="false">SUM(EH31,EH36)</f>
        <v>92496.1477348035</v>
      </c>
      <c r="EI37" s="553" t="n">
        <f aca="false">SUM(EI31,EI36)</f>
        <v>92721.9973721427</v>
      </c>
      <c r="EK37" s="513" t="n">
        <f aca="true">SUM(OFFSET($G37,0,EK$24*12-11,1,12))</f>
        <v>794153.648023948</v>
      </c>
      <c r="EL37" s="421" t="n">
        <f aca="true">SUM(OFFSET($G37,0,EL$24*12-11,1,12))</f>
        <v>841813.051268782</v>
      </c>
      <c r="EM37" s="421" t="n">
        <f aca="true">SUM(OFFSET($G37,0,EM$24*12-11,1,12))</f>
        <v>873771.151629005</v>
      </c>
      <c r="EN37" s="421" t="n">
        <f aca="true">SUM(OFFSET($G37,0,EN$24*12-11,1,12))</f>
        <v>899258.67766653</v>
      </c>
      <c r="EO37" s="421" t="n">
        <f aca="true">SUM(OFFSET($G37,0,EO$24*12-11,1,12))</f>
        <v>925238.990405846</v>
      </c>
      <c r="EP37" s="421" t="n">
        <f aca="true">SUM(OFFSET($G37,0,EP$24*12-11,1,12))</f>
        <v>997530.763575528</v>
      </c>
      <c r="EQ37" s="421" t="n">
        <f aca="true">SUM(OFFSET($G37,0,EQ$24*12-11,1,12))</f>
        <v>979500.382009451</v>
      </c>
      <c r="ER37" s="421" t="n">
        <f aca="true">SUM(OFFSET($G37,0,ER$24*12-11,1,12))</f>
        <v>1007826.89410692</v>
      </c>
      <c r="ES37" s="421" t="n">
        <f aca="true">SUM(OFFSET($G37,0,ES$24*12-11,1,12))</f>
        <v>1036982.03158007</v>
      </c>
      <c r="ET37" s="472" t="n">
        <f aca="true">SUM(OFFSET($G37,0,ET$24*12-11,1,12))</f>
        <v>1066990.2297904</v>
      </c>
    </row>
    <row r="38" s="522" customFormat="true" ht="13.5" hidden="false" customHeight="true" outlineLevel="0" collapsed="false">
      <c r="B38" s="513"/>
      <c r="C38" s="61"/>
      <c r="D38" s="421"/>
      <c r="E38" s="472"/>
      <c r="F38" s="421"/>
      <c r="G38" s="513"/>
      <c r="H38" s="421"/>
      <c r="I38" s="421"/>
      <c r="J38" s="421"/>
      <c r="K38" s="421"/>
      <c r="L38" s="421"/>
      <c r="M38" s="421"/>
      <c r="N38" s="421"/>
      <c r="O38" s="421"/>
      <c r="P38" s="421"/>
      <c r="Q38" s="421"/>
      <c r="R38" s="421"/>
      <c r="S38" s="421"/>
      <c r="T38" s="421"/>
      <c r="U38" s="421"/>
      <c r="V38" s="421"/>
      <c r="W38" s="421"/>
      <c r="X38" s="421"/>
      <c r="Y38" s="421"/>
      <c r="Z38" s="421"/>
      <c r="AA38" s="421"/>
      <c r="AB38" s="421"/>
      <c r="AC38" s="421"/>
      <c r="AD38" s="421"/>
      <c r="AE38" s="421"/>
      <c r="AF38" s="421"/>
      <c r="AG38" s="421"/>
      <c r="AH38" s="421"/>
      <c r="AI38" s="421"/>
      <c r="AJ38" s="421"/>
      <c r="AK38" s="421"/>
      <c r="AL38" s="421"/>
      <c r="AM38" s="421"/>
      <c r="AN38" s="421"/>
      <c r="AO38" s="421"/>
      <c r="AP38" s="421"/>
      <c r="AQ38" s="421"/>
      <c r="AR38" s="421"/>
      <c r="AS38" s="421"/>
      <c r="AT38" s="421"/>
      <c r="AU38" s="421"/>
      <c r="AV38" s="421"/>
      <c r="AW38" s="421"/>
      <c r="AX38" s="421"/>
      <c r="AY38" s="421"/>
      <c r="AZ38" s="421"/>
      <c r="BA38" s="421"/>
      <c r="BB38" s="421"/>
      <c r="BC38" s="421"/>
      <c r="BD38" s="421"/>
      <c r="BE38" s="421"/>
      <c r="BF38" s="421"/>
      <c r="BG38" s="421"/>
      <c r="BH38" s="421"/>
      <c r="BI38" s="421"/>
      <c r="BJ38" s="421"/>
      <c r="BK38" s="421"/>
      <c r="BL38" s="421"/>
      <c r="BM38" s="421"/>
      <c r="BN38" s="421"/>
      <c r="BO38" s="421"/>
      <c r="BP38" s="421"/>
      <c r="BQ38" s="421"/>
      <c r="BR38" s="421"/>
      <c r="BS38" s="421"/>
      <c r="BT38" s="421"/>
      <c r="BU38" s="421"/>
      <c r="BV38" s="421"/>
      <c r="BW38" s="421"/>
      <c r="BX38" s="421"/>
      <c r="BY38" s="421"/>
      <c r="BZ38" s="421"/>
      <c r="CA38" s="421"/>
      <c r="CB38" s="421"/>
      <c r="CC38" s="421"/>
      <c r="CD38" s="421"/>
      <c r="CE38" s="421"/>
      <c r="CF38" s="421"/>
      <c r="CG38" s="421"/>
      <c r="CH38" s="421"/>
      <c r="CI38" s="421"/>
      <c r="CJ38" s="421"/>
      <c r="CK38" s="421"/>
      <c r="CL38" s="421"/>
      <c r="CM38" s="421"/>
      <c r="CN38" s="421"/>
      <c r="CO38" s="421"/>
      <c r="CP38" s="421"/>
      <c r="CQ38" s="421"/>
      <c r="CR38" s="421"/>
      <c r="CS38" s="421"/>
      <c r="CT38" s="421"/>
      <c r="CU38" s="421"/>
      <c r="CV38" s="421"/>
      <c r="CW38" s="421"/>
      <c r="CX38" s="421"/>
      <c r="CY38" s="421"/>
      <c r="CZ38" s="421"/>
      <c r="DA38" s="421"/>
      <c r="DB38" s="421"/>
      <c r="DC38" s="421"/>
      <c r="DD38" s="421"/>
      <c r="DE38" s="421"/>
      <c r="DF38" s="421"/>
      <c r="DG38" s="421"/>
      <c r="DH38" s="421"/>
      <c r="DI38" s="421"/>
      <c r="DJ38" s="421"/>
      <c r="DK38" s="421"/>
      <c r="DL38" s="421"/>
      <c r="DM38" s="421"/>
      <c r="DN38" s="421"/>
      <c r="DO38" s="421"/>
      <c r="DP38" s="421"/>
      <c r="DQ38" s="421"/>
      <c r="DR38" s="421"/>
      <c r="DS38" s="421"/>
      <c r="DT38" s="421"/>
      <c r="DU38" s="421"/>
      <c r="DV38" s="421"/>
      <c r="DW38" s="421"/>
      <c r="DX38" s="421"/>
      <c r="DY38" s="421"/>
      <c r="DZ38" s="421"/>
      <c r="EA38" s="421"/>
      <c r="EB38" s="421"/>
      <c r="EC38" s="421"/>
      <c r="ED38" s="421"/>
      <c r="EE38" s="421"/>
      <c r="EF38" s="421"/>
      <c r="EG38" s="421"/>
      <c r="EH38" s="421"/>
      <c r="EI38" s="472"/>
      <c r="EK38" s="513"/>
      <c r="EL38" s="421"/>
      <c r="EM38" s="421"/>
      <c r="EN38" s="421"/>
      <c r="EO38" s="421"/>
      <c r="EP38" s="421"/>
      <c r="EQ38" s="421"/>
      <c r="ER38" s="421"/>
      <c r="ES38" s="421"/>
      <c r="ET38" s="472"/>
    </row>
    <row r="39" s="522" customFormat="true" ht="13.5" hidden="false" customHeight="true" outlineLevel="0" collapsed="false">
      <c r="B39" s="543" t="s">
        <v>384</v>
      </c>
      <c r="C39" s="61"/>
      <c r="D39" s="421"/>
      <c r="E39" s="472"/>
      <c r="F39" s="421"/>
      <c r="G39" s="513"/>
      <c r="H39" s="421"/>
      <c r="I39" s="421"/>
      <c r="J39" s="421"/>
      <c r="K39" s="421"/>
      <c r="L39" s="421"/>
      <c r="M39" s="421"/>
      <c r="N39" s="421"/>
      <c r="O39" s="421"/>
      <c r="P39" s="421"/>
      <c r="Q39" s="421"/>
      <c r="R39" s="421"/>
      <c r="S39" s="421"/>
      <c r="T39" s="421"/>
      <c r="U39" s="421"/>
      <c r="V39" s="421"/>
      <c r="W39" s="421"/>
      <c r="X39" s="421"/>
      <c r="Y39" s="421"/>
      <c r="Z39" s="421"/>
      <c r="AA39" s="421"/>
      <c r="AB39" s="421"/>
      <c r="AC39" s="421"/>
      <c r="AD39" s="421"/>
      <c r="AE39" s="421"/>
      <c r="AF39" s="421"/>
      <c r="AG39" s="421"/>
      <c r="AH39" s="421"/>
      <c r="AI39" s="421"/>
      <c r="AJ39" s="421"/>
      <c r="AK39" s="421"/>
      <c r="AL39" s="421"/>
      <c r="AM39" s="421"/>
      <c r="AN39" s="421"/>
      <c r="AO39" s="421"/>
      <c r="AP39" s="421"/>
      <c r="AQ39" s="421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21"/>
      <c r="BC39" s="421"/>
      <c r="BD39" s="421"/>
      <c r="BE39" s="421"/>
      <c r="BF39" s="421"/>
      <c r="BG39" s="421"/>
      <c r="BH39" s="421"/>
      <c r="BI39" s="421"/>
      <c r="BJ39" s="421"/>
      <c r="BK39" s="421"/>
      <c r="BL39" s="421"/>
      <c r="BM39" s="421"/>
      <c r="BN39" s="421"/>
      <c r="BO39" s="421"/>
      <c r="BP39" s="421"/>
      <c r="BQ39" s="421"/>
      <c r="BR39" s="421"/>
      <c r="BS39" s="421"/>
      <c r="BT39" s="421"/>
      <c r="BU39" s="421"/>
      <c r="BV39" s="421"/>
      <c r="BW39" s="421"/>
      <c r="BX39" s="421"/>
      <c r="BY39" s="421"/>
      <c r="BZ39" s="421"/>
      <c r="CA39" s="421"/>
      <c r="CB39" s="421"/>
      <c r="CC39" s="421"/>
      <c r="CD39" s="421"/>
      <c r="CE39" s="421"/>
      <c r="CF39" s="421"/>
      <c r="CG39" s="421"/>
      <c r="CH39" s="421"/>
      <c r="CI39" s="421"/>
      <c r="CJ39" s="421"/>
      <c r="CK39" s="421"/>
      <c r="CL39" s="421"/>
      <c r="CM39" s="421"/>
      <c r="CN39" s="421"/>
      <c r="CO39" s="421"/>
      <c r="CP39" s="421"/>
      <c r="CQ39" s="421"/>
      <c r="CR39" s="421"/>
      <c r="CS39" s="421"/>
      <c r="CT39" s="421"/>
      <c r="CU39" s="421"/>
      <c r="CV39" s="421"/>
      <c r="CW39" s="421"/>
      <c r="CX39" s="421"/>
      <c r="CY39" s="421"/>
      <c r="CZ39" s="421"/>
      <c r="DA39" s="421"/>
      <c r="DB39" s="421"/>
      <c r="DC39" s="421"/>
      <c r="DD39" s="421"/>
      <c r="DE39" s="421"/>
      <c r="DF39" s="421"/>
      <c r="DG39" s="421"/>
      <c r="DH39" s="421"/>
      <c r="DI39" s="421"/>
      <c r="DJ39" s="421"/>
      <c r="DK39" s="421"/>
      <c r="DL39" s="421"/>
      <c r="DM39" s="421"/>
      <c r="DN39" s="421"/>
      <c r="DO39" s="421"/>
      <c r="DP39" s="421"/>
      <c r="DQ39" s="421"/>
      <c r="DR39" s="421"/>
      <c r="DS39" s="421"/>
      <c r="DT39" s="421"/>
      <c r="DU39" s="421"/>
      <c r="DV39" s="421"/>
      <c r="DW39" s="421"/>
      <c r="DX39" s="421"/>
      <c r="DY39" s="421"/>
      <c r="DZ39" s="421"/>
      <c r="EA39" s="421"/>
      <c r="EB39" s="421"/>
      <c r="EC39" s="421"/>
      <c r="ED39" s="421"/>
      <c r="EE39" s="421"/>
      <c r="EF39" s="421"/>
      <c r="EG39" s="421"/>
      <c r="EH39" s="421"/>
      <c r="EI39" s="472"/>
      <c r="EK39" s="513"/>
      <c r="EL39" s="421"/>
      <c r="EM39" s="421"/>
      <c r="EN39" s="421"/>
      <c r="EO39" s="421"/>
      <c r="EP39" s="421"/>
      <c r="EQ39" s="421"/>
      <c r="ER39" s="421"/>
      <c r="ES39" s="421"/>
      <c r="ET39" s="472"/>
    </row>
    <row r="40" s="522" customFormat="true" ht="13.5" hidden="false" customHeight="true" outlineLevel="0" collapsed="false">
      <c r="B40" s="543" t="s">
        <v>385</v>
      </c>
      <c r="C40" s="61"/>
      <c r="D40" s="421"/>
      <c r="E40" s="472"/>
      <c r="F40" s="421"/>
      <c r="G40" s="513"/>
      <c r="H40" s="421"/>
      <c r="I40" s="421"/>
      <c r="J40" s="421"/>
      <c r="K40" s="421"/>
      <c r="L40" s="421"/>
      <c r="M40" s="421"/>
      <c r="N40" s="421"/>
      <c r="O40" s="421"/>
      <c r="P40" s="421"/>
      <c r="Q40" s="421"/>
      <c r="R40" s="421"/>
      <c r="S40" s="421"/>
      <c r="T40" s="421"/>
      <c r="U40" s="421"/>
      <c r="V40" s="421"/>
      <c r="W40" s="421"/>
      <c r="X40" s="421"/>
      <c r="Y40" s="421"/>
      <c r="Z40" s="421"/>
      <c r="AA40" s="421"/>
      <c r="AB40" s="421"/>
      <c r="AC40" s="421"/>
      <c r="AD40" s="421"/>
      <c r="AE40" s="421"/>
      <c r="AF40" s="421"/>
      <c r="AG40" s="421"/>
      <c r="AH40" s="421"/>
      <c r="AI40" s="421"/>
      <c r="AJ40" s="421"/>
      <c r="AK40" s="421"/>
      <c r="AL40" s="421"/>
      <c r="AM40" s="421"/>
      <c r="AN40" s="421"/>
      <c r="AO40" s="421"/>
      <c r="AP40" s="421"/>
      <c r="AQ40" s="421"/>
      <c r="AR40" s="421"/>
      <c r="AS40" s="421"/>
      <c r="AT40" s="421"/>
      <c r="AU40" s="421"/>
      <c r="AV40" s="421"/>
      <c r="AW40" s="421"/>
      <c r="AX40" s="421"/>
      <c r="AY40" s="421"/>
      <c r="AZ40" s="421"/>
      <c r="BA40" s="421"/>
      <c r="BB40" s="421"/>
      <c r="BC40" s="421"/>
      <c r="BD40" s="421"/>
      <c r="BE40" s="421"/>
      <c r="BF40" s="421"/>
      <c r="BG40" s="421"/>
      <c r="BH40" s="421"/>
      <c r="BI40" s="421"/>
      <c r="BJ40" s="421"/>
      <c r="BK40" s="421"/>
      <c r="BL40" s="421"/>
      <c r="BM40" s="421"/>
      <c r="BN40" s="421"/>
      <c r="BO40" s="421"/>
      <c r="BP40" s="421"/>
      <c r="BQ40" s="421"/>
      <c r="BR40" s="421"/>
      <c r="BS40" s="421"/>
      <c r="BT40" s="421"/>
      <c r="BU40" s="421"/>
      <c r="BV40" s="421"/>
      <c r="BW40" s="421"/>
      <c r="BX40" s="421"/>
      <c r="BY40" s="421"/>
      <c r="BZ40" s="421"/>
      <c r="CA40" s="421"/>
      <c r="CB40" s="421"/>
      <c r="CC40" s="421"/>
      <c r="CD40" s="421"/>
      <c r="CE40" s="421"/>
      <c r="CF40" s="421"/>
      <c r="CG40" s="421"/>
      <c r="CH40" s="421"/>
      <c r="CI40" s="421"/>
      <c r="CJ40" s="421"/>
      <c r="CK40" s="421"/>
      <c r="CL40" s="421"/>
      <c r="CM40" s="421"/>
      <c r="CN40" s="421"/>
      <c r="CO40" s="421"/>
      <c r="CP40" s="421"/>
      <c r="CQ40" s="421"/>
      <c r="CR40" s="421"/>
      <c r="CS40" s="421"/>
      <c r="CT40" s="421"/>
      <c r="CU40" s="421"/>
      <c r="CV40" s="421"/>
      <c r="CW40" s="421"/>
      <c r="CX40" s="421"/>
      <c r="CY40" s="421"/>
      <c r="CZ40" s="421"/>
      <c r="DA40" s="421"/>
      <c r="DB40" s="421"/>
      <c r="DC40" s="421"/>
      <c r="DD40" s="421"/>
      <c r="DE40" s="421"/>
      <c r="DF40" s="421"/>
      <c r="DG40" s="421"/>
      <c r="DH40" s="421"/>
      <c r="DI40" s="421"/>
      <c r="DJ40" s="421"/>
      <c r="DK40" s="421"/>
      <c r="DL40" s="421"/>
      <c r="DM40" s="421"/>
      <c r="DN40" s="421"/>
      <c r="DO40" s="421"/>
      <c r="DP40" s="421"/>
      <c r="DQ40" s="421"/>
      <c r="DR40" s="421"/>
      <c r="DS40" s="421"/>
      <c r="DT40" s="421"/>
      <c r="DU40" s="421"/>
      <c r="DV40" s="421"/>
      <c r="DW40" s="421"/>
      <c r="DX40" s="421"/>
      <c r="DY40" s="421"/>
      <c r="DZ40" s="421"/>
      <c r="EA40" s="421"/>
      <c r="EB40" s="421"/>
      <c r="EC40" s="421"/>
      <c r="ED40" s="421"/>
      <c r="EE40" s="421"/>
      <c r="EF40" s="421"/>
      <c r="EG40" s="421"/>
      <c r="EH40" s="421"/>
      <c r="EI40" s="472"/>
      <c r="EK40" s="513"/>
      <c r="EL40" s="421"/>
      <c r="EM40" s="421"/>
      <c r="EN40" s="421"/>
      <c r="EO40" s="421"/>
      <c r="EP40" s="421"/>
      <c r="EQ40" s="421"/>
      <c r="ER40" s="421"/>
      <c r="ES40" s="421"/>
      <c r="ET40" s="472"/>
    </row>
    <row r="41" s="522" customFormat="true" ht="13.5" hidden="false" customHeight="true" outlineLevel="0" collapsed="false">
      <c r="B41" s="554" t="s">
        <v>387</v>
      </c>
      <c r="C41" s="61"/>
      <c r="D41" s="421"/>
      <c r="E41" s="472" t="n">
        <f aca="true">SUM(OFFSET(G41,0,0,1,'Executive Summary'!$I$13+1))</f>
        <v>462901.709555449</v>
      </c>
      <c r="F41" s="421"/>
      <c r="G41" s="513" t="n">
        <v>0</v>
      </c>
      <c r="H41" s="421" t="n">
        <f aca="false">'Operating Inputs'!$P24/12*'Cash Flow - Monthly'!H$8*'Executive Summary'!$C$12</f>
        <v>7345.44492954742</v>
      </c>
      <c r="I41" s="421" t="n">
        <f aca="false">'Operating Inputs'!$P24/12*'Cash Flow - Monthly'!I$8*'Executive Summary'!$C$12</f>
        <v>7357.57652904734</v>
      </c>
      <c r="J41" s="421" t="n">
        <f aca="false">'Operating Inputs'!$P24/12*'Cash Flow - Monthly'!J$8*'Executive Summary'!$C$12</f>
        <v>7369.72816487016</v>
      </c>
      <c r="K41" s="421" t="n">
        <f aca="false">'Operating Inputs'!$P24/12*'Cash Flow - Monthly'!K$8*'Executive Summary'!$C$12</f>
        <v>7381.8998701075</v>
      </c>
      <c r="L41" s="421" t="n">
        <f aca="false">'Operating Inputs'!$P24/12*'Cash Flow - Monthly'!L$8*'Executive Summary'!$C$12</f>
        <v>7394.09167790561</v>
      </c>
      <c r="M41" s="421" t="n">
        <f aca="false">'Operating Inputs'!$P24/12*'Cash Flow - Monthly'!M$8*'Executive Summary'!$C$12</f>
        <v>7406.30362146553</v>
      </c>
      <c r="N41" s="421" t="n">
        <f aca="false">'Operating Inputs'!$P24/12*'Cash Flow - Monthly'!N$8*'Executive Summary'!$C$12</f>
        <v>7418.53573404308</v>
      </c>
      <c r="O41" s="421" t="n">
        <f aca="false">'Operating Inputs'!$P24/12*'Cash Flow - Monthly'!O$8*'Executive Summary'!$C$12</f>
        <v>7430.78804894905</v>
      </c>
      <c r="P41" s="421" t="n">
        <f aca="false">'Operating Inputs'!$P24/12*'Cash Flow - Monthly'!P$8*'Executive Summary'!$C$12</f>
        <v>7443.06059954923</v>
      </c>
      <c r="Q41" s="421" t="n">
        <f aca="false">'Operating Inputs'!$P24/12*'Cash Flow - Monthly'!Q$8*'Executive Summary'!$C$12</f>
        <v>7455.3534192645</v>
      </c>
      <c r="R41" s="421" t="n">
        <f aca="false">'Operating Inputs'!$P24/12*'Cash Flow - Monthly'!R$8*'Executive Summary'!$C$12</f>
        <v>7467.66654157097</v>
      </c>
      <c r="S41" s="421" t="n">
        <f aca="false">'Operating Inputs'!$P24/12*'Cash Flow - Monthly'!S$8*'Executive Summary'!$C$12</f>
        <v>7480</v>
      </c>
      <c r="T41" s="421" t="n">
        <f aca="false">'Operating Inputs'!$P24/12*'Cash Flow - Monthly'!T$8*'Executive Summary'!$C$12</f>
        <v>7492.35382813837</v>
      </c>
      <c r="U41" s="421" t="n">
        <f aca="false">'Operating Inputs'!$P24/12*'Cash Flow - Monthly'!U$8*'Executive Summary'!$C$12</f>
        <v>7504.72805962829</v>
      </c>
      <c r="V41" s="421" t="n">
        <f aca="false">'Operating Inputs'!$P24/12*'Cash Flow - Monthly'!V$8*'Executive Summary'!$C$12</f>
        <v>7517.12272816757</v>
      </c>
      <c r="W41" s="421" t="n">
        <f aca="false">'Operating Inputs'!$P24/12*'Cash Flow - Monthly'!W$8*'Executive Summary'!$C$12</f>
        <v>7529.53786750965</v>
      </c>
      <c r="X41" s="421" t="n">
        <f aca="false">'Operating Inputs'!$P24/12*'Cash Flow - Monthly'!X$8*'Executive Summary'!$C$12</f>
        <v>7541.97351146373</v>
      </c>
      <c r="Y41" s="421" t="n">
        <f aca="false">'Operating Inputs'!$P24/12*'Cash Flow - Monthly'!Y$8*'Executive Summary'!$C$12</f>
        <v>7554.42969389484</v>
      </c>
      <c r="Z41" s="421" t="n">
        <f aca="false">'Operating Inputs'!$P24/12*'Cash Flow - Monthly'!Z$8*'Executive Summary'!$C$12</f>
        <v>7566.90644872395</v>
      </c>
      <c r="AA41" s="421" t="n">
        <f aca="false">'Operating Inputs'!$P24/12*'Cash Flow - Monthly'!AA$8*'Executive Summary'!$C$12</f>
        <v>7579.40380992804</v>
      </c>
      <c r="AB41" s="421" t="n">
        <f aca="false">'Operating Inputs'!$P24/12*'Cash Flow - Monthly'!AB$8*'Executive Summary'!$C$12</f>
        <v>7591.92181154022</v>
      </c>
      <c r="AC41" s="421" t="n">
        <f aca="false">'Operating Inputs'!$P24/12*'Cash Flow - Monthly'!AC$8*'Executive Summary'!$C$12</f>
        <v>7604.4604876498</v>
      </c>
      <c r="AD41" s="421" t="n">
        <f aca="false">'Operating Inputs'!$P24/12*'Cash Flow - Monthly'!AD$8*'Executive Summary'!$C$12</f>
        <v>7617.01987240239</v>
      </c>
      <c r="AE41" s="421" t="n">
        <f aca="false">'Operating Inputs'!$P24/12*'Cash Flow - Monthly'!AE$8*'Executive Summary'!$C$12</f>
        <v>7629.60000000001</v>
      </c>
      <c r="AF41" s="421" t="n">
        <f aca="false">'Operating Inputs'!$P24/12*'Cash Flow - Monthly'!AF$8*'Executive Summary'!$C$12</f>
        <v>7642.20090470114</v>
      </c>
      <c r="AG41" s="421" t="n">
        <f aca="false">'Operating Inputs'!$P24/12*'Cash Flow - Monthly'!AG$8*'Executive Summary'!$C$12</f>
        <v>7654.82262082086</v>
      </c>
      <c r="AH41" s="421" t="n">
        <f aca="false">'Operating Inputs'!$P24/12*'Cash Flow - Monthly'!AH$8*'Executive Summary'!$C$12</f>
        <v>7667.46518273092</v>
      </c>
      <c r="AI41" s="421" t="n">
        <f aca="false">'Operating Inputs'!$P24/12*'Cash Flow - Monthly'!AI$8*'Executive Summary'!$C$12</f>
        <v>7680.12862485984</v>
      </c>
      <c r="AJ41" s="421" t="n">
        <f aca="false">'Operating Inputs'!$P24/12*'Cash Flow - Monthly'!AJ$8*'Executive Summary'!$C$12</f>
        <v>7692.81298169301</v>
      </c>
      <c r="AK41" s="421" t="n">
        <f aca="false">'Operating Inputs'!$P24/12*'Cash Flow - Monthly'!AK$8*'Executive Summary'!$C$12</f>
        <v>7705.51828777274</v>
      </c>
      <c r="AL41" s="421" t="n">
        <f aca="false">'Operating Inputs'!$P24/12*'Cash Flow - Monthly'!AL$8*'Executive Summary'!$C$12</f>
        <v>7718.24457769843</v>
      </c>
      <c r="AM41" s="421" t="n">
        <f aca="false">'Operating Inputs'!$P24/12*'Cash Flow - Monthly'!AM$8*'Executive Summary'!$C$12</f>
        <v>7730.9918861266</v>
      </c>
      <c r="AN41" s="421" t="n">
        <f aca="false">'Operating Inputs'!$P24/12*'Cash Flow - Monthly'!AN$8*'Executive Summary'!$C$12</f>
        <v>7743.76024777103</v>
      </c>
      <c r="AO41" s="421" t="n">
        <f aca="false">'Operating Inputs'!$P24/12*'Cash Flow - Monthly'!AO$8*'Executive Summary'!$C$12</f>
        <v>7756.5496974028</v>
      </c>
      <c r="AP41" s="421" t="n">
        <f aca="false">'Operating Inputs'!$P24/12*'Cash Flow - Monthly'!AP$8*'Executive Summary'!$C$12</f>
        <v>7769.36026985044</v>
      </c>
      <c r="AQ41" s="421" t="n">
        <f aca="false">'Operating Inputs'!$P24/12*'Cash Flow - Monthly'!AQ$8*'Executive Summary'!$C$12</f>
        <v>7782.19200000001</v>
      </c>
      <c r="AR41" s="421" t="n">
        <f aca="false">'Operating Inputs'!$P24/12*'Cash Flow - Monthly'!AR$8*'Executive Summary'!$C$12</f>
        <v>7795.04492279517</v>
      </c>
      <c r="AS41" s="421" t="n">
        <f aca="false">'Operating Inputs'!$P24/12*'Cash Flow - Monthly'!AS$8*'Executive Summary'!$C$12</f>
        <v>7807.91907323728</v>
      </c>
      <c r="AT41" s="421" t="n">
        <f aca="false">'Operating Inputs'!$P24/12*'Cash Flow - Monthly'!AT$8*'Executive Summary'!$C$12</f>
        <v>7820.81448638555</v>
      </c>
      <c r="AU41" s="421" t="n">
        <f aca="false">'Operating Inputs'!$P24/12*'Cash Flow - Monthly'!AU$8*'Executive Summary'!$C$12</f>
        <v>7833.73119735705</v>
      </c>
      <c r="AV41" s="421" t="n">
        <f aca="false">'Operating Inputs'!$P24/12*'Cash Flow - Monthly'!AV$8*'Executive Summary'!$C$12</f>
        <v>7846.66924132687</v>
      </c>
      <c r="AW41" s="421" t="n">
        <f aca="false">'Operating Inputs'!$P24/12*'Cash Flow - Monthly'!AW$8*'Executive Summary'!$C$12</f>
        <v>7859.6286535282</v>
      </c>
      <c r="AX41" s="421" t="n">
        <f aca="false">'Operating Inputs'!$P24/12*'Cash Flow - Monthly'!AX$8*'Executive Summary'!$C$12</f>
        <v>7872.6094692524</v>
      </c>
      <c r="AY41" s="421" t="n">
        <f aca="false">'Operating Inputs'!$P24/12*'Cash Flow - Monthly'!AY$8*'Executive Summary'!$C$12</f>
        <v>7885.61172384914</v>
      </c>
      <c r="AZ41" s="421" t="n">
        <f aca="false">'Operating Inputs'!$P24/12*'Cash Flow - Monthly'!AZ$8*'Executive Summary'!$C$12</f>
        <v>7898.63545272645</v>
      </c>
      <c r="BA41" s="421" t="n">
        <f aca="false">'Operating Inputs'!$P24/12*'Cash Flow - Monthly'!BA$8*'Executive Summary'!$C$12</f>
        <v>7911.68069135086</v>
      </c>
      <c r="BB41" s="421" t="n">
        <f aca="false">'Operating Inputs'!$P24/12*'Cash Flow - Monthly'!BB$8*'Executive Summary'!$C$12</f>
        <v>7924.74747524746</v>
      </c>
      <c r="BC41" s="421" t="n">
        <f aca="false">'Operating Inputs'!$P24/12*'Cash Flow - Monthly'!BC$8*'Executive Summary'!$C$12</f>
        <v>7937.83584000002</v>
      </c>
      <c r="BD41" s="421" t="n">
        <f aca="false">'Operating Inputs'!$P24/12*'Cash Flow - Monthly'!BD$8*'Executive Summary'!$C$12</f>
        <v>7950.94582125107</v>
      </c>
      <c r="BE41" s="421" t="n">
        <f aca="false">'Operating Inputs'!$P24/12*'Cash Flow - Monthly'!BE$8*'Executive Summary'!$C$12</f>
        <v>7964.07745470203</v>
      </c>
      <c r="BF41" s="421" t="n">
        <f aca="false">'Operating Inputs'!$P24/12*'Cash Flow - Monthly'!BF$8*'Executive Summary'!$C$12</f>
        <v>7977.23077611326</v>
      </c>
      <c r="BG41" s="421" t="n">
        <f aca="false">'Operating Inputs'!$P24/12*'Cash Flow - Monthly'!BG$8*'Executive Summary'!$C$12</f>
        <v>7990.40582130419</v>
      </c>
      <c r="BH41" s="421" t="n">
        <f aca="false">'Operating Inputs'!$P24/12*'Cash Flow - Monthly'!BH$8*'Executive Summary'!$C$12</f>
        <v>8003.60262615341</v>
      </c>
      <c r="BI41" s="421" t="n">
        <f aca="false">'Operating Inputs'!$P24/12*'Cash Flow - Monthly'!BI$8*'Executive Summary'!$C$12</f>
        <v>8016.82122659877</v>
      </c>
      <c r="BJ41" s="421" t="n">
        <f aca="false">'Operating Inputs'!$P24/12*'Cash Flow - Monthly'!BJ$8*'Executive Summary'!$C$12</f>
        <v>8030.06165863746</v>
      </c>
      <c r="BK41" s="421" t="n">
        <f aca="false">'Operating Inputs'!$P24/12*'Cash Flow - Monthly'!BK$8*'Executive Summary'!$C$12</f>
        <v>8043.32395832613</v>
      </c>
      <c r="BL41" s="421" t="n">
        <f aca="false">'Operating Inputs'!$P24/12*'Cash Flow - Monthly'!BL$8*'Executive Summary'!$C$12</f>
        <v>8056.60816178099</v>
      </c>
      <c r="BM41" s="421" t="n">
        <f aca="false">'Operating Inputs'!$P24/12*'Cash Flow - Monthly'!BM$8*'Executive Summary'!$C$12</f>
        <v>8069.91430517788</v>
      </c>
      <c r="BN41" s="421" t="n">
        <f aca="false">'Operating Inputs'!$P24/12*'Cash Flow - Monthly'!BN$8*'Executive Summary'!$C$12</f>
        <v>8083.24242475241</v>
      </c>
      <c r="BO41" s="421" t="n">
        <f aca="false">'Operating Inputs'!$P24/12*'Cash Flow - Monthly'!BO$8*'Executive Summary'!$C$12</f>
        <v>8096.59255680002</v>
      </c>
      <c r="BP41" s="421" t="n">
        <f aca="false">'Operating Inputs'!$P24/12*'Cash Flow - Monthly'!BP$8*'Executive Summary'!$C$12</f>
        <v>8109.9647376761</v>
      </c>
      <c r="BQ41" s="421" t="n">
        <f aca="false">'Operating Inputs'!$P24/12*'Cash Flow - Monthly'!BQ$8*'Executive Summary'!$C$12</f>
        <v>8123.35900379608</v>
      </c>
      <c r="BR41" s="421" t="n">
        <f aca="false">'Operating Inputs'!$P24/12*'Cash Flow - Monthly'!BR$8*'Executive Summary'!$C$12</f>
        <v>8136.77539163553</v>
      </c>
      <c r="BS41" s="421" t="n">
        <f aca="false">'Operating Inputs'!$P24/12*'Cash Flow - Monthly'!BS$8*'Executive Summary'!$C$12</f>
        <v>8150.21393773028</v>
      </c>
      <c r="BT41" s="421" t="n">
        <f aca="false">'Operating Inputs'!$P24/12*'Cash Flow - Monthly'!BT$8*'Executive Summary'!$C$12</f>
        <v>8163.67467867649</v>
      </c>
      <c r="BU41" s="421" t="n">
        <f aca="false">'Operating Inputs'!$P24/12*'Cash Flow - Monthly'!BU$8*'Executive Summary'!$C$12</f>
        <v>8177.15765113075</v>
      </c>
      <c r="BV41" s="421" t="n">
        <f aca="false">'Operating Inputs'!$P24/12*'Cash Flow - Monthly'!BV$8*'Executive Summary'!$C$12</f>
        <v>8190.66289181021</v>
      </c>
      <c r="BW41" s="421" t="n">
        <f aca="false">'Operating Inputs'!$P24/12*'Cash Flow - Monthly'!BW$8*'Executive Summary'!$C$12</f>
        <v>8204.19043749265</v>
      </c>
      <c r="BX41" s="421" t="n">
        <f aca="false">'Operating Inputs'!$P24/12*'Cash Flow - Monthly'!BX$8*'Executive Summary'!$C$12</f>
        <v>8217.74032501661</v>
      </c>
      <c r="BY41" s="421" t="n">
        <f aca="false">'Operating Inputs'!$P24/12*'Cash Flow - Monthly'!BY$8*'Executive Summary'!$C$12</f>
        <v>8231.31259128144</v>
      </c>
      <c r="BZ41" s="421" t="n">
        <f aca="false">'Operating Inputs'!$P24/12*'Cash Flow - Monthly'!BZ$8*'Executive Summary'!$C$12</f>
        <v>8244.90727324747</v>
      </c>
      <c r="CA41" s="421" t="n">
        <f aca="false">'Operating Inputs'!$P24/12*'Cash Flow - Monthly'!CA$8*'Executive Summary'!$C$12</f>
        <v>8258.52440793603</v>
      </c>
      <c r="CB41" s="421" t="n">
        <f aca="false">'Operating Inputs'!$P24/12*'Cash Flow - Monthly'!CB$8*'Executive Summary'!$C$12</f>
        <v>8272.16403242962</v>
      </c>
      <c r="CC41" s="421" t="n">
        <f aca="false">'Operating Inputs'!$P24/12*'Cash Flow - Monthly'!CC$8*'Executive Summary'!$C$12</f>
        <v>8285.826183872</v>
      </c>
      <c r="CD41" s="421" t="n">
        <f aca="false">'Operating Inputs'!$P24/12*'Cash Flow - Monthly'!CD$8*'Executive Summary'!$C$12</f>
        <v>8299.51089946825</v>
      </c>
      <c r="CE41" s="421" t="n">
        <f aca="false">'Operating Inputs'!$P24/12*'Cash Flow - Monthly'!CE$8*'Executive Summary'!$C$12</f>
        <v>8313.21821648489</v>
      </c>
      <c r="CF41" s="421" t="n">
        <f aca="false">'Operating Inputs'!$P24/12*'Cash Flow - Monthly'!CF$8*'Executive Summary'!$C$12</f>
        <v>8326.94817225002</v>
      </c>
      <c r="CG41" s="421" t="n">
        <f aca="false">'Operating Inputs'!$P24/12*'Cash Flow - Monthly'!CG$8*'Executive Summary'!$C$12</f>
        <v>8340.70080415337</v>
      </c>
      <c r="CH41" s="421" t="n">
        <f aca="false">'Operating Inputs'!$P24/12*'Cash Flow - Monthly'!CH$8*'Executive Summary'!$C$12</f>
        <v>8354.47614964642</v>
      </c>
      <c r="CI41" s="421" t="n">
        <f aca="false">'Operating Inputs'!$P24/12*'Cash Flow - Monthly'!CI$8*'Executive Summary'!$C$12</f>
        <v>8368.27424624251</v>
      </c>
      <c r="CJ41" s="421" t="n">
        <f aca="false">'Operating Inputs'!$P24/12*'Cash Flow - Monthly'!CJ$8*'Executive Summary'!$C$12</f>
        <v>8382.09513151695</v>
      </c>
      <c r="CK41" s="421" t="n">
        <f aca="false">'Operating Inputs'!$P24/12*'Cash Flow - Monthly'!CK$8*'Executive Summary'!$C$12</f>
        <v>8395.93884310708</v>
      </c>
      <c r="CL41" s="421" t="n">
        <f aca="false">'Operating Inputs'!$P24/12*'Cash Flow - Monthly'!CL$8*'Executive Summary'!$C$12</f>
        <v>8409.80541871242</v>
      </c>
      <c r="CM41" s="421" t="n">
        <f aca="false">'Operating Inputs'!$P24/12*'Cash Flow - Monthly'!CM$8*'Executive Summary'!$C$12</f>
        <v>8423.69489609475</v>
      </c>
      <c r="CN41" s="421" t="n">
        <f aca="false">'Operating Inputs'!$P24/12*'Cash Flow - Monthly'!CN$8*'Executive Summary'!$C$12</f>
        <v>8437.60731307822</v>
      </c>
      <c r="CO41" s="421" t="n">
        <f aca="false">'Operating Inputs'!$P24/12*'Cash Flow - Monthly'!CO$8*'Executive Summary'!$C$12</f>
        <v>8451.54270754945</v>
      </c>
      <c r="CP41" s="421" t="n">
        <f aca="false">'Operating Inputs'!$P24/12*'Cash Flow - Monthly'!CP$8*'Executive Summary'!$C$12</f>
        <v>8465.50111745762</v>
      </c>
      <c r="CQ41" s="421" t="n">
        <f aca="false">'Operating Inputs'!$P24/12*'Cash Flow - Monthly'!CQ$8*'Executive Summary'!$C$12</f>
        <v>8479.48258081459</v>
      </c>
      <c r="CR41" s="421" t="n">
        <f aca="false">'Operating Inputs'!$P24/12*'Cash Flow - Monthly'!CR$8*'Executive Summary'!$C$12</f>
        <v>8493.48713569503</v>
      </c>
      <c r="CS41" s="421" t="n">
        <f aca="false">'Operating Inputs'!$P24/12*'Cash Flow - Monthly'!CS$8*'Executive Summary'!$C$12</f>
        <v>8507.51482023644</v>
      </c>
      <c r="CT41" s="421" t="n">
        <f aca="false">'Operating Inputs'!$P24/12*'Cash Flow - Monthly'!CT$8*'Executive Summary'!$C$12</f>
        <v>8521.56567263935</v>
      </c>
      <c r="CU41" s="421" t="n">
        <f aca="false">'Operating Inputs'!$P24/12*'Cash Flow - Monthly'!CU$8*'Executive Summary'!$C$12</f>
        <v>8535.63973116737</v>
      </c>
      <c r="CV41" s="421" t="n">
        <f aca="false">'Operating Inputs'!$P24/12*'Cash Flow - Monthly'!CV$8*'Executive Summary'!$C$12</f>
        <v>8549.73703414729</v>
      </c>
      <c r="CW41" s="421" t="n">
        <f aca="false">'Operating Inputs'!$P24/12*'Cash Flow - Monthly'!CW$8*'Executive Summary'!$C$12</f>
        <v>8563.85761996923</v>
      </c>
      <c r="CX41" s="421" t="n">
        <f aca="false">'Operating Inputs'!$P24/12*'Cash Flow - Monthly'!CX$8*'Executive Summary'!$C$12</f>
        <v>8578.00152708667</v>
      </c>
      <c r="CY41" s="421" t="n">
        <f aca="false">'Operating Inputs'!$P24/12*'Cash Flow - Monthly'!CY$8*'Executive Summary'!$C$12</f>
        <v>8592.16879401665</v>
      </c>
      <c r="CZ41" s="421" t="n">
        <f aca="false">'Operating Inputs'!$P24/12*'Cash Flow - Monthly'!CZ$8*'Executive Summary'!$C$12</f>
        <v>8606.35945933979</v>
      </c>
      <c r="DA41" s="421" t="n">
        <f aca="false">'Operating Inputs'!$P24/12*'Cash Flow - Monthly'!DA$8*'Executive Summary'!$C$12</f>
        <v>8620.57356170044</v>
      </c>
      <c r="DB41" s="421" t="n">
        <f aca="false">'Operating Inputs'!$P24/12*'Cash Flow - Monthly'!DB$8*'Executive Summary'!$C$12</f>
        <v>8634.81113980678</v>
      </c>
      <c r="DC41" s="421" t="n">
        <f aca="false">'Operating Inputs'!$P24/12*'Cash Flow - Monthly'!DC$8*'Executive Summary'!$C$12</f>
        <v>8649.0722324309</v>
      </c>
      <c r="DD41" s="421" t="n">
        <f aca="false">'Operating Inputs'!$P24/12*'Cash Flow - Monthly'!DD$8*'Executive Summary'!$C$12</f>
        <v>8663.35687840894</v>
      </c>
      <c r="DE41" s="421" t="n">
        <f aca="false">'Operating Inputs'!$P24/12*'Cash Flow - Monthly'!DE$8*'Executive Summary'!$C$12</f>
        <v>8677.66511664118</v>
      </c>
      <c r="DF41" s="421" t="n">
        <f aca="false">'Operating Inputs'!$P24/12*'Cash Flow - Monthly'!DF$8*'Executive Summary'!$C$12</f>
        <v>8691.99698609215</v>
      </c>
      <c r="DG41" s="421" t="n">
        <f aca="false">'Operating Inputs'!$P24/12*'Cash Flow - Monthly'!DG$8*'Executive Summary'!$C$12</f>
        <v>8706.35252579072</v>
      </c>
      <c r="DH41" s="421" t="n">
        <f aca="false">'Operating Inputs'!$P24/12*'Cash Flow - Monthly'!DH$8*'Executive Summary'!$C$12</f>
        <v>8720.73177483025</v>
      </c>
      <c r="DI41" s="421" t="n">
        <f aca="false">'Operating Inputs'!$P24/12*'Cash Flow - Monthly'!DI$8*'Executive Summary'!$C$12</f>
        <v>8735.13477236862</v>
      </c>
      <c r="DJ41" s="421" t="n">
        <f aca="false">'Operating Inputs'!$P24/12*'Cash Flow - Monthly'!DJ$8*'Executive Summary'!$C$12</f>
        <v>8749.56155762841</v>
      </c>
      <c r="DK41" s="421" t="n">
        <f aca="false">'Operating Inputs'!$P24/12*'Cash Flow - Monthly'!DK$8*'Executive Summary'!$C$12</f>
        <v>8764.01216989699</v>
      </c>
      <c r="DL41" s="421" t="n">
        <f aca="false">'Operating Inputs'!$P24/12*'Cash Flow - Monthly'!DL$8*'Executive Summary'!$C$12</f>
        <v>8778.48664852659</v>
      </c>
      <c r="DM41" s="421" t="n">
        <f aca="false">'Operating Inputs'!$P24/12*'Cash Flow - Monthly'!DM$8*'Executive Summary'!$C$12</f>
        <v>8792.98503293446</v>
      </c>
      <c r="DN41" s="421" t="n">
        <f aca="false">'Operating Inputs'!$P24/12*'Cash Flow - Monthly'!DN$8*'Executive Summary'!$C$12</f>
        <v>8807.50736260292</v>
      </c>
      <c r="DO41" s="421" t="n">
        <f aca="false">'Operating Inputs'!$P24/12*'Cash Flow - Monthly'!DO$8*'Executive Summary'!$C$12</f>
        <v>8822.05367707951</v>
      </c>
      <c r="DP41" s="421" t="n">
        <f aca="false">'Operating Inputs'!$P24/12*'Cash Flow - Monthly'!DP$8*'Executive Summary'!$C$12</f>
        <v>8836.62401597712</v>
      </c>
      <c r="DQ41" s="421" t="n">
        <f aca="false">'Operating Inputs'!$P24/12*'Cash Flow - Monthly'!DQ$8*'Executive Summary'!$C$12</f>
        <v>8851.218418974</v>
      </c>
      <c r="DR41" s="421" t="n">
        <f aca="false">'Operating Inputs'!$P24/12*'Cash Flow - Monthly'!DR$8*'Executive Summary'!$C$12</f>
        <v>8865.83692581399</v>
      </c>
      <c r="DS41" s="421" t="n">
        <f aca="false">'Operating Inputs'!$P24/12*'Cash Flow - Monthly'!DS$8*'Executive Summary'!$C$12</f>
        <v>8880.47957630654</v>
      </c>
      <c r="DT41" s="421" t="n">
        <f aca="false">'Operating Inputs'!$P24/12*'Cash Flow - Monthly'!DT$8*'Executive Summary'!$C$12</f>
        <v>8895.14641032685</v>
      </c>
      <c r="DU41" s="421" t="n">
        <f aca="false">'Operating Inputs'!$P24/12*'Cash Flow - Monthly'!DU$8*'Executive Summary'!$C$12</f>
        <v>8909.83746781599</v>
      </c>
      <c r="DV41" s="421" t="n">
        <f aca="false">'Operating Inputs'!$P24/12*'Cash Flow - Monthly'!DV$8*'Executive Summary'!$C$12</f>
        <v>8924.55278878099</v>
      </c>
      <c r="DW41" s="421" t="n">
        <f aca="false">'Operating Inputs'!$P24/12*'Cash Flow - Monthly'!DW$8*'Executive Summary'!$C$12</f>
        <v>8939.29241329494</v>
      </c>
      <c r="DX41" s="421" t="n">
        <f aca="false">'Operating Inputs'!$P24/12*'Cash Flow - Monthly'!DX$8*'Executive Summary'!$C$12</f>
        <v>8954.05638149713</v>
      </c>
      <c r="DY41" s="421" t="n">
        <f aca="false">'Operating Inputs'!$P24/12*'Cash Flow - Monthly'!DY$8*'Executive Summary'!$C$12</f>
        <v>8968.84473359315</v>
      </c>
      <c r="DZ41" s="421" t="n">
        <f aca="false">'Operating Inputs'!$P24/12*'Cash Flow - Monthly'!DZ$8*'Executive Summary'!$C$12</f>
        <v>8983.65750985498</v>
      </c>
      <c r="EA41" s="421" t="n">
        <f aca="false">'Operating Inputs'!$P24/12*'Cash Flow - Monthly'!EA$8*'Executive Summary'!$C$12</f>
        <v>8998.49475062111</v>
      </c>
      <c r="EB41" s="421" t="n">
        <f aca="false">'Operating Inputs'!$P24/12*'Cash Flow - Monthly'!EB$8*'Executive Summary'!$C$12</f>
        <v>9013.35649629666</v>
      </c>
      <c r="EC41" s="421" t="n">
        <f aca="false">'Operating Inputs'!$P24/12*'Cash Flow - Monthly'!EC$8*'Executive Summary'!$C$12</f>
        <v>9028.24278735349</v>
      </c>
      <c r="ED41" s="421" t="n">
        <f aca="false">'Operating Inputs'!$P24/12*'Cash Flow - Monthly'!ED$8*'Executive Summary'!$C$12</f>
        <v>9043.15366433027</v>
      </c>
      <c r="EE41" s="421" t="n">
        <f aca="false">'Operating Inputs'!$P24/12*'Cash Flow - Monthly'!EE$8*'Executive Summary'!$C$12</f>
        <v>9058.08916783267</v>
      </c>
      <c r="EF41" s="421" t="n">
        <f aca="false">'Operating Inputs'!$P24/12*'Cash Flow - Monthly'!EF$8*'Executive Summary'!$C$12</f>
        <v>9073.04933853339</v>
      </c>
      <c r="EG41" s="421" t="n">
        <f aca="false">'Operating Inputs'!$P24/12*'Cash Flow - Monthly'!EG$8*'Executive Summary'!$C$12</f>
        <v>9088.03421717232</v>
      </c>
      <c r="EH41" s="421" t="n">
        <f aca="false">'Operating Inputs'!$P24/12*'Cash Flow - Monthly'!EH$8*'Executive Summary'!$C$12</f>
        <v>9103.04384455661</v>
      </c>
      <c r="EI41" s="472" t="n">
        <f aca="false">'Operating Inputs'!$P24/12*'Cash Flow - Monthly'!EI$8*'Executive Summary'!$C$12</f>
        <v>9118.07826156084</v>
      </c>
      <c r="EK41" s="513" t="n">
        <f aca="true">SUM(OFFSET($G41,0,EK$24*12-11,1,12))</f>
        <v>88950.4491363204</v>
      </c>
      <c r="EL41" s="421" t="n">
        <f aca="true">SUM(OFFSET($G41,0,EL$24*12-11,1,12))</f>
        <v>90729.4581190469</v>
      </c>
      <c r="EM41" s="421" t="n">
        <f aca="true">SUM(OFFSET($G41,0,EM$24*12-11,1,12))</f>
        <v>92544.0472814278</v>
      </c>
      <c r="EN41" s="421" t="n">
        <f aca="true">SUM(OFFSET($G41,0,EN$24*12-11,1,12))</f>
        <v>94394.9282270564</v>
      </c>
      <c r="EO41" s="421" t="n">
        <f aca="true">SUM(OFFSET($G41,0,EO$24*12-11,1,12))</f>
        <v>96282.8267915976</v>
      </c>
      <c r="EP41" s="421" t="n">
        <f aca="true">SUM(OFFSET($G41,0,EP$24*12-11,1,12))</f>
        <v>98208.4833274296</v>
      </c>
      <c r="EQ41" s="421" t="n">
        <f aca="true">SUM(OFFSET($G41,0,EQ$24*12-11,1,12))</f>
        <v>100172.652993978</v>
      </c>
      <c r="ER41" s="421" t="n">
        <f aca="true">SUM(OFFSET($G41,0,ER$24*12-11,1,12))</f>
        <v>102176.106053858</v>
      </c>
      <c r="ES41" s="421" t="n">
        <f aca="true">SUM(OFFSET($G41,0,ES$24*12-11,1,12))</f>
        <v>104219.628174935</v>
      </c>
      <c r="ET41" s="472" t="n">
        <f aca="true">SUM(OFFSET($G41,0,ET$24*12-11,1,12))</f>
        <v>106304.020738434</v>
      </c>
    </row>
    <row r="42" s="522" customFormat="true" ht="13.5" hidden="false" customHeight="true" outlineLevel="0" collapsed="false">
      <c r="B42" s="554" t="s">
        <v>388</v>
      </c>
      <c r="C42" s="61"/>
      <c r="D42" s="421"/>
      <c r="E42" s="472" t="n">
        <f aca="true">SUM(OFFSET(G42,0,0,1,'Executive Summary'!$I$13+1))</f>
        <v>315614.801969624</v>
      </c>
      <c r="F42" s="421"/>
      <c r="G42" s="513" t="n">
        <v>0</v>
      </c>
      <c r="H42" s="421" t="n">
        <f aca="false">'Operating Inputs'!$P25/12*'Cash Flow - Monthly'!H$8*'Executive Summary'!$C$12</f>
        <v>5008.2579065096</v>
      </c>
      <c r="I42" s="421" t="n">
        <f aca="false">'Operating Inputs'!$P25/12*'Cash Flow - Monthly'!I$8*'Executive Summary'!$C$12</f>
        <v>5016.52945162319</v>
      </c>
      <c r="J42" s="421" t="n">
        <f aca="false">'Operating Inputs'!$P25/12*'Cash Flow - Monthly'!J$8*'Executive Summary'!$C$12</f>
        <v>5024.81465786602</v>
      </c>
      <c r="K42" s="421" t="n">
        <f aca="false">'Operating Inputs'!$P25/12*'Cash Flow - Monthly'!K$8*'Executive Summary'!$C$12</f>
        <v>5033.11354780057</v>
      </c>
      <c r="L42" s="421" t="n">
        <f aca="false">'Operating Inputs'!$P25/12*'Cash Flow - Monthly'!L$8*'Executive Summary'!$C$12</f>
        <v>5041.42614402655</v>
      </c>
      <c r="M42" s="421" t="n">
        <f aca="false">'Operating Inputs'!$P25/12*'Cash Flow - Monthly'!M$8*'Executive Summary'!$C$12</f>
        <v>5049.75246918104</v>
      </c>
      <c r="N42" s="421" t="n">
        <f aca="false">'Operating Inputs'!$P25/12*'Cash Flow - Monthly'!N$8*'Executive Summary'!$C$12</f>
        <v>5058.09254593847</v>
      </c>
      <c r="O42" s="421" t="n">
        <f aca="false">'Operating Inputs'!$P25/12*'Cash Flow - Monthly'!O$8*'Executive Summary'!$C$12</f>
        <v>5066.44639701072</v>
      </c>
      <c r="P42" s="421" t="n">
        <f aca="false">'Operating Inputs'!$P25/12*'Cash Flow - Monthly'!P$8*'Executive Summary'!$C$12</f>
        <v>5074.8140451472</v>
      </c>
      <c r="Q42" s="421" t="n">
        <f aca="false">'Operating Inputs'!$P25/12*'Cash Flow - Monthly'!Q$8*'Executive Summary'!$C$12</f>
        <v>5083.19551313489</v>
      </c>
      <c r="R42" s="421" t="n">
        <f aca="false">'Operating Inputs'!$P25/12*'Cash Flow - Monthly'!R$8*'Executive Summary'!$C$12</f>
        <v>5091.59082379839</v>
      </c>
      <c r="S42" s="421" t="n">
        <f aca="false">'Operating Inputs'!$P25/12*'Cash Flow - Monthly'!S$8*'Executive Summary'!$C$12</f>
        <v>5100</v>
      </c>
      <c r="T42" s="421" t="n">
        <f aca="false">'Operating Inputs'!$P25/12*'Cash Flow - Monthly'!T$8*'Executive Summary'!$C$12</f>
        <v>5108.42306463979</v>
      </c>
      <c r="U42" s="421" t="n">
        <f aca="false">'Operating Inputs'!$P25/12*'Cash Flow - Monthly'!U$8*'Executive Summary'!$C$12</f>
        <v>5116.86004065565</v>
      </c>
      <c r="V42" s="421" t="n">
        <f aca="false">'Operating Inputs'!$P25/12*'Cash Flow - Monthly'!V$8*'Executive Summary'!$C$12</f>
        <v>5125.31095102334</v>
      </c>
      <c r="W42" s="421" t="n">
        <f aca="false">'Operating Inputs'!$P25/12*'Cash Flow - Monthly'!W$8*'Executive Summary'!$C$12</f>
        <v>5133.77581875658</v>
      </c>
      <c r="X42" s="421" t="n">
        <f aca="false">'Operating Inputs'!$P25/12*'Cash Flow - Monthly'!X$8*'Executive Summary'!$C$12</f>
        <v>5142.25466690709</v>
      </c>
      <c r="Y42" s="421" t="n">
        <f aca="false">'Operating Inputs'!$P25/12*'Cash Flow - Monthly'!Y$8*'Executive Summary'!$C$12</f>
        <v>5150.74751856466</v>
      </c>
      <c r="Z42" s="421" t="n">
        <f aca="false">'Operating Inputs'!$P25/12*'Cash Flow - Monthly'!Z$8*'Executive Summary'!$C$12</f>
        <v>5159.25439685724</v>
      </c>
      <c r="AA42" s="421" t="n">
        <f aca="false">'Operating Inputs'!$P25/12*'Cash Flow - Monthly'!AA$8*'Executive Summary'!$C$12</f>
        <v>5167.77532495094</v>
      </c>
      <c r="AB42" s="421" t="n">
        <f aca="false">'Operating Inputs'!$P25/12*'Cash Flow - Monthly'!AB$8*'Executive Summary'!$C$12</f>
        <v>5176.31032605015</v>
      </c>
      <c r="AC42" s="421" t="n">
        <f aca="false">'Operating Inputs'!$P25/12*'Cash Flow - Monthly'!AC$8*'Executive Summary'!$C$12</f>
        <v>5184.85942339759</v>
      </c>
      <c r="AD42" s="421" t="n">
        <f aca="false">'Operating Inputs'!$P25/12*'Cash Flow - Monthly'!AD$8*'Executive Summary'!$C$12</f>
        <v>5193.42264027436</v>
      </c>
      <c r="AE42" s="421" t="n">
        <f aca="false">'Operating Inputs'!$P25/12*'Cash Flow - Monthly'!AE$8*'Executive Summary'!$C$12</f>
        <v>5202</v>
      </c>
      <c r="AF42" s="421" t="n">
        <f aca="false">'Operating Inputs'!$P25/12*'Cash Flow - Monthly'!AF$8*'Executive Summary'!$C$12</f>
        <v>5210.59152593259</v>
      </c>
      <c r="AG42" s="421" t="n">
        <f aca="false">'Operating Inputs'!$P25/12*'Cash Flow - Monthly'!AG$8*'Executive Summary'!$C$12</f>
        <v>5219.19724146877</v>
      </c>
      <c r="AH42" s="421" t="n">
        <f aca="false">'Operating Inputs'!$P25/12*'Cash Flow - Monthly'!AH$8*'Executive Summary'!$C$12</f>
        <v>5227.81717004381</v>
      </c>
      <c r="AI42" s="421" t="n">
        <f aca="false">'Operating Inputs'!$P25/12*'Cash Flow - Monthly'!AI$8*'Executive Summary'!$C$12</f>
        <v>5236.45133513171</v>
      </c>
      <c r="AJ42" s="421" t="n">
        <f aca="false">'Operating Inputs'!$P25/12*'Cash Flow - Monthly'!AJ$8*'Executive Summary'!$C$12</f>
        <v>5245.09976024523</v>
      </c>
      <c r="AK42" s="421" t="n">
        <f aca="false">'Operating Inputs'!$P25/12*'Cash Flow - Monthly'!AK$8*'Executive Summary'!$C$12</f>
        <v>5253.76246893596</v>
      </c>
      <c r="AL42" s="421" t="n">
        <f aca="false">'Operating Inputs'!$P25/12*'Cash Flow - Monthly'!AL$8*'Executive Summary'!$C$12</f>
        <v>5262.43948479438</v>
      </c>
      <c r="AM42" s="421" t="n">
        <f aca="false">'Operating Inputs'!$P25/12*'Cash Flow - Monthly'!AM$8*'Executive Summary'!$C$12</f>
        <v>5271.13083144996</v>
      </c>
      <c r="AN42" s="421" t="n">
        <f aca="false">'Operating Inputs'!$P25/12*'Cash Flow - Monthly'!AN$8*'Executive Summary'!$C$12</f>
        <v>5279.83653257115</v>
      </c>
      <c r="AO42" s="421" t="n">
        <f aca="false">'Operating Inputs'!$P25/12*'Cash Flow - Monthly'!AO$8*'Executive Summary'!$C$12</f>
        <v>5288.55661186554</v>
      </c>
      <c r="AP42" s="421" t="n">
        <f aca="false">'Operating Inputs'!$P25/12*'Cash Flow - Monthly'!AP$8*'Executive Summary'!$C$12</f>
        <v>5297.29109307985</v>
      </c>
      <c r="AQ42" s="421" t="n">
        <f aca="false">'Operating Inputs'!$P25/12*'Cash Flow - Monthly'!AQ$8*'Executive Summary'!$C$12</f>
        <v>5306.04000000001</v>
      </c>
      <c r="AR42" s="421" t="n">
        <f aca="false">'Operating Inputs'!$P25/12*'Cash Flow - Monthly'!AR$8*'Executive Summary'!$C$12</f>
        <v>5314.80335645125</v>
      </c>
      <c r="AS42" s="421" t="n">
        <f aca="false">'Operating Inputs'!$P25/12*'Cash Flow - Monthly'!AS$8*'Executive Summary'!$C$12</f>
        <v>5323.58118629815</v>
      </c>
      <c r="AT42" s="421" t="n">
        <f aca="false">'Operating Inputs'!$P25/12*'Cash Flow - Monthly'!AT$8*'Executive Summary'!$C$12</f>
        <v>5332.37351344469</v>
      </c>
      <c r="AU42" s="421" t="n">
        <f aca="false">'Operating Inputs'!$P25/12*'Cash Flow - Monthly'!AU$8*'Executive Summary'!$C$12</f>
        <v>5341.18036183435</v>
      </c>
      <c r="AV42" s="421" t="n">
        <f aca="false">'Operating Inputs'!$P25/12*'Cash Flow - Monthly'!AV$8*'Executive Summary'!$C$12</f>
        <v>5350.00175545014</v>
      </c>
      <c r="AW42" s="421" t="n">
        <f aca="false">'Operating Inputs'!$P25/12*'Cash Flow - Monthly'!AW$8*'Executive Summary'!$C$12</f>
        <v>5358.83771831468</v>
      </c>
      <c r="AX42" s="421" t="n">
        <f aca="false">'Operating Inputs'!$P25/12*'Cash Flow - Monthly'!AX$8*'Executive Summary'!$C$12</f>
        <v>5367.68827449027</v>
      </c>
      <c r="AY42" s="421" t="n">
        <f aca="false">'Operating Inputs'!$P25/12*'Cash Flow - Monthly'!AY$8*'Executive Summary'!$C$12</f>
        <v>5376.55344807896</v>
      </c>
      <c r="AZ42" s="421" t="n">
        <f aca="false">'Operating Inputs'!$P25/12*'Cash Flow - Monthly'!AZ$8*'Executive Summary'!$C$12</f>
        <v>5385.43326322258</v>
      </c>
      <c r="BA42" s="421" t="n">
        <f aca="false">'Operating Inputs'!$P25/12*'Cash Flow - Monthly'!BA$8*'Executive Summary'!$C$12</f>
        <v>5394.32774410286</v>
      </c>
      <c r="BB42" s="421" t="n">
        <f aca="false">'Operating Inputs'!$P25/12*'Cash Flow - Monthly'!BB$8*'Executive Summary'!$C$12</f>
        <v>5403.23691494145</v>
      </c>
      <c r="BC42" s="421" t="n">
        <f aca="false">'Operating Inputs'!$P25/12*'Cash Flow - Monthly'!BC$8*'Executive Summary'!$C$12</f>
        <v>5412.16080000001</v>
      </c>
      <c r="BD42" s="421" t="n">
        <f aca="false">'Operating Inputs'!$P25/12*'Cash Flow - Monthly'!BD$8*'Executive Summary'!$C$12</f>
        <v>5421.09942358028</v>
      </c>
      <c r="BE42" s="421" t="n">
        <f aca="false">'Operating Inputs'!$P25/12*'Cash Flow - Monthly'!BE$8*'Executive Summary'!$C$12</f>
        <v>5430.05281002411</v>
      </c>
      <c r="BF42" s="421" t="n">
        <f aca="false">'Operating Inputs'!$P25/12*'Cash Flow - Monthly'!BF$8*'Executive Summary'!$C$12</f>
        <v>5439.02098371359</v>
      </c>
      <c r="BG42" s="421" t="n">
        <f aca="false">'Operating Inputs'!$P25/12*'Cash Flow - Monthly'!BG$8*'Executive Summary'!$C$12</f>
        <v>5448.00396907104</v>
      </c>
      <c r="BH42" s="421" t="n">
        <f aca="false">'Operating Inputs'!$P25/12*'Cash Flow - Monthly'!BH$8*'Executive Summary'!$C$12</f>
        <v>5457.00179055915</v>
      </c>
      <c r="BI42" s="421" t="n">
        <f aca="false">'Operating Inputs'!$P25/12*'Cash Flow - Monthly'!BI$8*'Executive Summary'!$C$12</f>
        <v>5466.01447268098</v>
      </c>
      <c r="BJ42" s="421" t="n">
        <f aca="false">'Operating Inputs'!$P25/12*'Cash Flow - Monthly'!BJ$8*'Executive Summary'!$C$12</f>
        <v>5475.04203998008</v>
      </c>
      <c r="BK42" s="421" t="n">
        <f aca="false">'Operating Inputs'!$P25/12*'Cash Flow - Monthly'!BK$8*'Executive Summary'!$C$12</f>
        <v>5484.08451704054</v>
      </c>
      <c r="BL42" s="421" t="n">
        <f aca="false">'Operating Inputs'!$P25/12*'Cash Flow - Monthly'!BL$8*'Executive Summary'!$C$12</f>
        <v>5493.14192848704</v>
      </c>
      <c r="BM42" s="421" t="n">
        <f aca="false">'Operating Inputs'!$P25/12*'Cash Flow - Monthly'!BM$8*'Executive Summary'!$C$12</f>
        <v>5502.21429898492</v>
      </c>
      <c r="BN42" s="421" t="n">
        <f aca="false">'Operating Inputs'!$P25/12*'Cash Flow - Monthly'!BN$8*'Executive Summary'!$C$12</f>
        <v>5511.30165324028</v>
      </c>
      <c r="BO42" s="421" t="n">
        <f aca="false">'Operating Inputs'!$P25/12*'Cash Flow - Monthly'!BO$8*'Executive Summary'!$C$12</f>
        <v>5520.40401600002</v>
      </c>
      <c r="BP42" s="421" t="n">
        <f aca="false">'Operating Inputs'!$P25/12*'Cash Flow - Monthly'!BP$8*'Executive Summary'!$C$12</f>
        <v>5529.52141205189</v>
      </c>
      <c r="BQ42" s="421" t="n">
        <f aca="false">'Operating Inputs'!$P25/12*'Cash Flow - Monthly'!BQ$8*'Executive Summary'!$C$12</f>
        <v>5538.6538662246</v>
      </c>
      <c r="BR42" s="421" t="n">
        <f aca="false">'Operating Inputs'!$P25/12*'Cash Flow - Monthly'!BR$8*'Executive Summary'!$C$12</f>
        <v>5547.80140338786</v>
      </c>
      <c r="BS42" s="421" t="n">
        <f aca="false">'Operating Inputs'!$P25/12*'Cash Flow - Monthly'!BS$8*'Executive Summary'!$C$12</f>
        <v>5556.96404845246</v>
      </c>
      <c r="BT42" s="421" t="n">
        <f aca="false">'Operating Inputs'!$P25/12*'Cash Flow - Monthly'!BT$8*'Executive Summary'!$C$12</f>
        <v>5566.14182637033</v>
      </c>
      <c r="BU42" s="421" t="n">
        <f aca="false">'Operating Inputs'!$P25/12*'Cash Flow - Monthly'!BU$8*'Executive Summary'!$C$12</f>
        <v>5575.3347621346</v>
      </c>
      <c r="BV42" s="421" t="n">
        <f aca="false">'Operating Inputs'!$P25/12*'Cash Flow - Monthly'!BV$8*'Executive Summary'!$C$12</f>
        <v>5584.54288077969</v>
      </c>
      <c r="BW42" s="421" t="n">
        <f aca="false">'Operating Inputs'!$P25/12*'Cash Flow - Monthly'!BW$8*'Executive Summary'!$C$12</f>
        <v>5593.76620738136</v>
      </c>
      <c r="BX42" s="421" t="n">
        <f aca="false">'Operating Inputs'!$P25/12*'Cash Flow - Monthly'!BX$8*'Executive Summary'!$C$12</f>
        <v>5603.00476705678</v>
      </c>
      <c r="BY42" s="421" t="n">
        <f aca="false">'Operating Inputs'!$P25/12*'Cash Flow - Monthly'!BY$8*'Executive Summary'!$C$12</f>
        <v>5612.25858496462</v>
      </c>
      <c r="BZ42" s="421" t="n">
        <f aca="false">'Operating Inputs'!$P25/12*'Cash Flow - Monthly'!BZ$8*'Executive Summary'!$C$12</f>
        <v>5621.52768630509</v>
      </c>
      <c r="CA42" s="421" t="n">
        <f aca="false">'Operating Inputs'!$P25/12*'Cash Flow - Monthly'!CA$8*'Executive Summary'!$C$12</f>
        <v>5630.81209632002</v>
      </c>
      <c r="CB42" s="421" t="n">
        <f aca="false">'Operating Inputs'!$P25/12*'Cash Flow - Monthly'!CB$8*'Executive Summary'!$C$12</f>
        <v>5640.11184029293</v>
      </c>
      <c r="CC42" s="421" t="n">
        <f aca="false">'Operating Inputs'!$P25/12*'Cash Flow - Monthly'!CC$8*'Executive Summary'!$C$12</f>
        <v>5649.42694354909</v>
      </c>
      <c r="CD42" s="421" t="n">
        <f aca="false">'Operating Inputs'!$P25/12*'Cash Flow - Monthly'!CD$8*'Executive Summary'!$C$12</f>
        <v>5658.75743145562</v>
      </c>
      <c r="CE42" s="421" t="n">
        <f aca="false">'Operating Inputs'!$P25/12*'Cash Flow - Monthly'!CE$8*'Executive Summary'!$C$12</f>
        <v>5668.10332942152</v>
      </c>
      <c r="CF42" s="421" t="n">
        <f aca="false">'Operating Inputs'!$P25/12*'Cash Flow - Monthly'!CF$8*'Executive Summary'!$C$12</f>
        <v>5677.46466289774</v>
      </c>
      <c r="CG42" s="421" t="n">
        <f aca="false">'Operating Inputs'!$P25/12*'Cash Flow - Monthly'!CG$8*'Executive Summary'!$C$12</f>
        <v>5686.8414573773</v>
      </c>
      <c r="CH42" s="421" t="n">
        <f aca="false">'Operating Inputs'!$P25/12*'Cash Flow - Monthly'!CH$8*'Executive Summary'!$C$12</f>
        <v>5696.23373839528</v>
      </c>
      <c r="CI42" s="421" t="n">
        <f aca="false">'Operating Inputs'!$P25/12*'Cash Flow - Monthly'!CI$8*'Executive Summary'!$C$12</f>
        <v>5705.64153152899</v>
      </c>
      <c r="CJ42" s="421" t="n">
        <f aca="false">'Operating Inputs'!$P25/12*'Cash Flow - Monthly'!CJ$8*'Executive Summary'!$C$12</f>
        <v>5715.06486239792</v>
      </c>
      <c r="CK42" s="421" t="n">
        <f aca="false">'Operating Inputs'!$P25/12*'Cash Flow - Monthly'!CK$8*'Executive Summary'!$C$12</f>
        <v>5724.50375666392</v>
      </c>
      <c r="CL42" s="421" t="n">
        <f aca="false">'Operating Inputs'!$P25/12*'Cash Flow - Monthly'!CL$8*'Executive Summary'!$C$12</f>
        <v>5733.95824003119</v>
      </c>
      <c r="CM42" s="421" t="n">
        <f aca="false">'Operating Inputs'!$P25/12*'Cash Flow - Monthly'!CM$8*'Executive Summary'!$C$12</f>
        <v>5743.42833824642</v>
      </c>
      <c r="CN42" s="421" t="n">
        <f aca="false">'Operating Inputs'!$P25/12*'Cash Flow - Monthly'!CN$8*'Executive Summary'!$C$12</f>
        <v>5752.91407709879</v>
      </c>
      <c r="CO42" s="421" t="n">
        <f aca="false">'Operating Inputs'!$P25/12*'Cash Flow - Monthly'!CO$8*'Executive Summary'!$C$12</f>
        <v>5762.41548242008</v>
      </c>
      <c r="CP42" s="421" t="n">
        <f aca="false">'Operating Inputs'!$P25/12*'Cash Flow - Monthly'!CP$8*'Executive Summary'!$C$12</f>
        <v>5771.93258008474</v>
      </c>
      <c r="CQ42" s="421" t="n">
        <f aca="false">'Operating Inputs'!$P25/12*'Cash Flow - Monthly'!CQ$8*'Executive Summary'!$C$12</f>
        <v>5781.46539600995</v>
      </c>
      <c r="CR42" s="421" t="n">
        <f aca="false">'Operating Inputs'!$P25/12*'Cash Flow - Monthly'!CR$8*'Executive Summary'!$C$12</f>
        <v>5791.0139561557</v>
      </c>
      <c r="CS42" s="421" t="n">
        <f aca="false">'Operating Inputs'!$P25/12*'Cash Flow - Monthly'!CS$8*'Executive Summary'!$C$12</f>
        <v>5800.57828652485</v>
      </c>
      <c r="CT42" s="421" t="n">
        <f aca="false">'Operating Inputs'!$P25/12*'Cash Flow - Monthly'!CT$8*'Executive Summary'!$C$12</f>
        <v>5810.15841316319</v>
      </c>
      <c r="CU42" s="421" t="n">
        <f aca="false">'Operating Inputs'!$P25/12*'Cash Flow - Monthly'!CU$8*'Executive Summary'!$C$12</f>
        <v>5819.75436215957</v>
      </c>
      <c r="CV42" s="421" t="n">
        <f aca="false">'Operating Inputs'!$P25/12*'Cash Flow - Monthly'!CV$8*'Executive Summary'!$C$12</f>
        <v>5829.36615964588</v>
      </c>
      <c r="CW42" s="421" t="n">
        <f aca="false">'Operating Inputs'!$P25/12*'Cash Flow - Monthly'!CW$8*'Executive Summary'!$C$12</f>
        <v>5838.9938317972</v>
      </c>
      <c r="CX42" s="421" t="n">
        <f aca="false">'Operating Inputs'!$P25/12*'Cash Flow - Monthly'!CX$8*'Executive Summary'!$C$12</f>
        <v>5848.63740483182</v>
      </c>
      <c r="CY42" s="421" t="n">
        <f aca="false">'Operating Inputs'!$P25/12*'Cash Flow - Monthly'!CY$8*'Executive Summary'!$C$12</f>
        <v>5858.29690501136</v>
      </c>
      <c r="CZ42" s="421" t="n">
        <f aca="false">'Operating Inputs'!$P25/12*'Cash Flow - Monthly'!CZ$8*'Executive Summary'!$C$12</f>
        <v>5867.97235864077</v>
      </c>
      <c r="DA42" s="421" t="n">
        <f aca="false">'Operating Inputs'!$P25/12*'Cash Flow - Monthly'!DA$8*'Executive Summary'!$C$12</f>
        <v>5877.66379206848</v>
      </c>
      <c r="DB42" s="421" t="n">
        <f aca="false">'Operating Inputs'!$P25/12*'Cash Flow - Monthly'!DB$8*'Executive Summary'!$C$12</f>
        <v>5887.37123168644</v>
      </c>
      <c r="DC42" s="421" t="n">
        <f aca="false">'Operating Inputs'!$P25/12*'Cash Flow - Monthly'!DC$8*'Executive Summary'!$C$12</f>
        <v>5897.09470393016</v>
      </c>
      <c r="DD42" s="421" t="n">
        <f aca="false">'Operating Inputs'!$P25/12*'Cash Flow - Monthly'!DD$8*'Executive Summary'!$C$12</f>
        <v>5906.83423527882</v>
      </c>
      <c r="DE42" s="421" t="n">
        <f aca="false">'Operating Inputs'!$P25/12*'Cash Flow - Monthly'!DE$8*'Executive Summary'!$C$12</f>
        <v>5916.58985225535</v>
      </c>
      <c r="DF42" s="421" t="n">
        <f aca="false">'Operating Inputs'!$P25/12*'Cash Flow - Monthly'!DF$8*'Executive Summary'!$C$12</f>
        <v>5926.36158142646</v>
      </c>
      <c r="DG42" s="421" t="n">
        <f aca="false">'Operating Inputs'!$P25/12*'Cash Flow - Monthly'!DG$8*'Executive Summary'!$C$12</f>
        <v>5936.14944940277</v>
      </c>
      <c r="DH42" s="421" t="n">
        <f aca="false">'Operating Inputs'!$P25/12*'Cash Flow - Monthly'!DH$8*'Executive Summary'!$C$12</f>
        <v>5945.9534828388</v>
      </c>
      <c r="DI42" s="421" t="n">
        <f aca="false">'Operating Inputs'!$P25/12*'Cash Flow - Monthly'!DI$8*'Executive Summary'!$C$12</f>
        <v>5955.77370843315</v>
      </c>
      <c r="DJ42" s="421" t="n">
        <f aca="false">'Operating Inputs'!$P25/12*'Cash Flow - Monthly'!DJ$8*'Executive Summary'!$C$12</f>
        <v>5965.61015292846</v>
      </c>
      <c r="DK42" s="421" t="n">
        <f aca="false">'Operating Inputs'!$P25/12*'Cash Flow - Monthly'!DK$8*'Executive Summary'!$C$12</f>
        <v>5975.46284311158</v>
      </c>
      <c r="DL42" s="421" t="n">
        <f aca="false">'Operating Inputs'!$P25/12*'Cash Flow - Monthly'!DL$8*'Executive Summary'!$C$12</f>
        <v>5985.33180581359</v>
      </c>
      <c r="DM42" s="421" t="n">
        <f aca="false">'Operating Inputs'!$P25/12*'Cash Flow - Monthly'!DM$8*'Executive Summary'!$C$12</f>
        <v>5995.21706790986</v>
      </c>
      <c r="DN42" s="421" t="n">
        <f aca="false">'Operating Inputs'!$P25/12*'Cash Flow - Monthly'!DN$8*'Executive Summary'!$C$12</f>
        <v>6005.11865632017</v>
      </c>
      <c r="DO42" s="421" t="n">
        <f aca="false">'Operating Inputs'!$P25/12*'Cash Flow - Monthly'!DO$8*'Executive Summary'!$C$12</f>
        <v>6015.03659800876</v>
      </c>
      <c r="DP42" s="421" t="n">
        <f aca="false">'Operating Inputs'!$P25/12*'Cash Flow - Monthly'!DP$8*'Executive Summary'!$C$12</f>
        <v>6024.9709199844</v>
      </c>
      <c r="DQ42" s="421" t="n">
        <f aca="false">'Operating Inputs'!$P25/12*'Cash Flow - Monthly'!DQ$8*'Executive Summary'!$C$12</f>
        <v>6034.92164930046</v>
      </c>
      <c r="DR42" s="421" t="n">
        <f aca="false">'Operating Inputs'!$P25/12*'Cash Flow - Monthly'!DR$8*'Executive Summary'!$C$12</f>
        <v>6044.888813055</v>
      </c>
      <c r="DS42" s="421" t="n">
        <f aca="false">'Operating Inputs'!$P25/12*'Cash Flow - Monthly'!DS$8*'Executive Summary'!$C$12</f>
        <v>6054.87243839082</v>
      </c>
      <c r="DT42" s="421" t="n">
        <f aca="false">'Operating Inputs'!$P25/12*'Cash Flow - Monthly'!DT$8*'Executive Summary'!$C$12</f>
        <v>6064.87255249558</v>
      </c>
      <c r="DU42" s="421" t="n">
        <f aca="false">'Operating Inputs'!$P25/12*'Cash Flow - Monthly'!DU$8*'Executive Summary'!$C$12</f>
        <v>6074.88918260181</v>
      </c>
      <c r="DV42" s="421" t="n">
        <f aca="false">'Operating Inputs'!$P25/12*'Cash Flow - Monthly'!DV$8*'Executive Summary'!$C$12</f>
        <v>6084.92235598704</v>
      </c>
      <c r="DW42" s="421" t="n">
        <f aca="false">'Operating Inputs'!$P25/12*'Cash Flow - Monthly'!DW$8*'Executive Summary'!$C$12</f>
        <v>6094.97209997382</v>
      </c>
      <c r="DX42" s="421" t="n">
        <f aca="false">'Operating Inputs'!$P25/12*'Cash Flow - Monthly'!DX$8*'Executive Summary'!$C$12</f>
        <v>6105.03844192986</v>
      </c>
      <c r="DY42" s="421" t="n">
        <f aca="false">'Operating Inputs'!$P25/12*'Cash Flow - Monthly'!DY$8*'Executive Summary'!$C$12</f>
        <v>6115.12140926806</v>
      </c>
      <c r="DZ42" s="421" t="n">
        <f aca="false">'Operating Inputs'!$P25/12*'Cash Flow - Monthly'!DZ$8*'Executive Summary'!$C$12</f>
        <v>6125.22102944658</v>
      </c>
      <c r="EA42" s="421" t="n">
        <f aca="false">'Operating Inputs'!$P25/12*'Cash Flow - Monthly'!EA$8*'Executive Summary'!$C$12</f>
        <v>6135.33732996894</v>
      </c>
      <c r="EB42" s="421" t="n">
        <f aca="false">'Operating Inputs'!$P25/12*'Cash Flow - Monthly'!EB$8*'Executive Summary'!$C$12</f>
        <v>6145.47033838409</v>
      </c>
      <c r="EC42" s="421" t="n">
        <f aca="false">'Operating Inputs'!$P25/12*'Cash Flow - Monthly'!EC$8*'Executive Summary'!$C$12</f>
        <v>6155.62008228647</v>
      </c>
      <c r="ED42" s="421" t="n">
        <f aca="false">'Operating Inputs'!$P25/12*'Cash Flow - Monthly'!ED$8*'Executive Summary'!$C$12</f>
        <v>6165.7865893161</v>
      </c>
      <c r="EE42" s="421" t="n">
        <f aca="false">'Operating Inputs'!$P25/12*'Cash Flow - Monthly'!EE$8*'Executive Summary'!$C$12</f>
        <v>6175.96988715864</v>
      </c>
      <c r="EF42" s="421" t="n">
        <f aca="false">'Operating Inputs'!$P25/12*'Cash Flow - Monthly'!EF$8*'Executive Summary'!$C$12</f>
        <v>6186.17000354549</v>
      </c>
      <c r="EG42" s="421" t="n">
        <f aca="false">'Operating Inputs'!$P25/12*'Cash Flow - Monthly'!EG$8*'Executive Summary'!$C$12</f>
        <v>6196.38696625385</v>
      </c>
      <c r="EH42" s="421" t="n">
        <f aca="false">'Operating Inputs'!$P25/12*'Cash Flow - Monthly'!EH$8*'Executive Summary'!$C$12</f>
        <v>6206.62080310678</v>
      </c>
      <c r="EI42" s="472" t="n">
        <f aca="false">'Operating Inputs'!$P25/12*'Cash Flow - Monthly'!EI$8*'Executive Summary'!$C$12</f>
        <v>6216.8715419733</v>
      </c>
      <c r="EK42" s="513" t="n">
        <f aca="true">SUM(OFFSET($G42,0,EK$24*12-11,1,12))</f>
        <v>60648.0335020366</v>
      </c>
      <c r="EL42" s="421" t="n">
        <f aca="true">SUM(OFFSET($G42,0,EL$24*12-11,1,12))</f>
        <v>61860.9941720774</v>
      </c>
      <c r="EM42" s="421" t="n">
        <f aca="true">SUM(OFFSET($G42,0,EM$24*12-11,1,12))</f>
        <v>63098.214055519</v>
      </c>
      <c r="EN42" s="421" t="n">
        <f aca="true">SUM(OFFSET($G42,0,EN$24*12-11,1,12))</f>
        <v>64360.1783366294</v>
      </c>
      <c r="EO42" s="421" t="n">
        <f aca="true">SUM(OFFSET($G42,0,EO$24*12-11,1,12))</f>
        <v>65647.381903362</v>
      </c>
      <c r="EP42" s="421" t="n">
        <f aca="true">SUM(OFFSET($G42,0,EP$24*12-11,1,12))</f>
        <v>66960.3295414293</v>
      </c>
      <c r="EQ42" s="421" t="n">
        <f aca="true">SUM(OFFSET($G42,0,EQ$24*12-11,1,12))</f>
        <v>68299.5361322579</v>
      </c>
      <c r="ER42" s="421" t="n">
        <f aca="true">SUM(OFFSET($G42,0,ER$24*12-11,1,12))</f>
        <v>69665.5268549031</v>
      </c>
      <c r="ES42" s="421" t="n">
        <f aca="true">SUM(OFFSET($G42,0,ES$24*12-11,1,12))</f>
        <v>71058.8373920012</v>
      </c>
      <c r="ET42" s="472" t="n">
        <f aca="true">SUM(OFFSET($G42,0,ET$24*12-11,1,12))</f>
        <v>72480.0141398413</v>
      </c>
    </row>
    <row r="43" s="522" customFormat="true" ht="13.5" hidden="false" customHeight="true" outlineLevel="0" collapsed="false">
      <c r="B43" s="554" t="s">
        <v>389</v>
      </c>
      <c r="C43" s="61"/>
      <c r="D43" s="421"/>
      <c r="E43" s="472" t="n">
        <f aca="true">SUM(OFFSET(G43,0,0,1,'Executive Summary'!$I$13+1))</f>
        <v>73643.4537929124</v>
      </c>
      <c r="F43" s="421"/>
      <c r="G43" s="513" t="n">
        <v>0</v>
      </c>
      <c r="H43" s="421" t="n">
        <f aca="false">'Operating Inputs'!$P26/12*'Cash Flow - Monthly'!H$8*'Executive Summary'!$C$12</f>
        <v>1168.59351151891</v>
      </c>
      <c r="I43" s="421" t="n">
        <f aca="false">'Operating Inputs'!$P26/12*'Cash Flow - Monthly'!I$8*'Executive Summary'!$C$12</f>
        <v>1170.52353871208</v>
      </c>
      <c r="J43" s="421" t="n">
        <f aca="false">'Operating Inputs'!$P26/12*'Cash Flow - Monthly'!J$8*'Executive Summary'!$C$12</f>
        <v>1172.45675350207</v>
      </c>
      <c r="K43" s="421" t="n">
        <f aca="false">'Operating Inputs'!$P26/12*'Cash Flow - Monthly'!K$8*'Executive Summary'!$C$12</f>
        <v>1174.39316115347</v>
      </c>
      <c r="L43" s="421" t="n">
        <f aca="false">'Operating Inputs'!$P26/12*'Cash Flow - Monthly'!L$8*'Executive Summary'!$C$12</f>
        <v>1176.33276693953</v>
      </c>
      <c r="M43" s="421" t="n">
        <f aca="false">'Operating Inputs'!$P26/12*'Cash Flow - Monthly'!M$8*'Executive Summary'!$C$12</f>
        <v>1178.27557614224</v>
      </c>
      <c r="N43" s="421" t="n">
        <f aca="false">'Operating Inputs'!$P26/12*'Cash Flow - Monthly'!N$8*'Executive Summary'!$C$12</f>
        <v>1180.22159405231</v>
      </c>
      <c r="O43" s="421" t="n">
        <f aca="false">'Operating Inputs'!$P26/12*'Cash Flow - Monthly'!O$8*'Executive Summary'!$C$12</f>
        <v>1182.17082596917</v>
      </c>
      <c r="P43" s="421" t="n">
        <f aca="false">'Operating Inputs'!$P26/12*'Cash Flow - Monthly'!P$8*'Executive Summary'!$C$12</f>
        <v>1184.12327720101</v>
      </c>
      <c r="Q43" s="421" t="n">
        <f aca="false">'Operating Inputs'!$P26/12*'Cash Flow - Monthly'!Q$8*'Executive Summary'!$C$12</f>
        <v>1186.07895306481</v>
      </c>
      <c r="R43" s="421" t="n">
        <f aca="false">'Operating Inputs'!$P26/12*'Cash Flow - Monthly'!R$8*'Executive Summary'!$C$12</f>
        <v>1188.03785888629</v>
      </c>
      <c r="S43" s="421" t="n">
        <f aca="false">'Operating Inputs'!$P26/12*'Cash Flow - Monthly'!S$8*'Executive Summary'!$C$12</f>
        <v>1190</v>
      </c>
      <c r="T43" s="421" t="n">
        <f aca="false">'Operating Inputs'!$P26/12*'Cash Flow - Monthly'!T$8*'Executive Summary'!$C$12</f>
        <v>1191.96538174929</v>
      </c>
      <c r="U43" s="421" t="n">
        <f aca="false">'Operating Inputs'!$P26/12*'Cash Flow - Monthly'!U$8*'Executive Summary'!$C$12</f>
        <v>1193.93400948632</v>
      </c>
      <c r="V43" s="421" t="n">
        <f aca="false">'Operating Inputs'!$P26/12*'Cash Flow - Monthly'!V$8*'Executive Summary'!$C$12</f>
        <v>1195.90588857211</v>
      </c>
      <c r="W43" s="421" t="n">
        <f aca="false">'Operating Inputs'!$P26/12*'Cash Flow - Monthly'!W$8*'Executive Summary'!$C$12</f>
        <v>1197.88102437654</v>
      </c>
      <c r="X43" s="421" t="n">
        <f aca="false">'Operating Inputs'!$P26/12*'Cash Flow - Monthly'!X$8*'Executive Summary'!$C$12</f>
        <v>1199.85942227832</v>
      </c>
      <c r="Y43" s="421" t="n">
        <f aca="false">'Operating Inputs'!$P26/12*'Cash Flow - Monthly'!Y$8*'Executive Summary'!$C$12</f>
        <v>1201.84108766509</v>
      </c>
      <c r="Z43" s="421" t="n">
        <f aca="false">'Operating Inputs'!$P26/12*'Cash Flow - Monthly'!Z$8*'Executive Summary'!$C$12</f>
        <v>1203.82602593336</v>
      </c>
      <c r="AA43" s="421" t="n">
        <f aca="false">'Operating Inputs'!$P26/12*'Cash Flow - Monthly'!AA$8*'Executive Summary'!$C$12</f>
        <v>1205.81424248855</v>
      </c>
      <c r="AB43" s="421" t="n">
        <f aca="false">'Operating Inputs'!$P26/12*'Cash Flow - Monthly'!AB$8*'Executive Summary'!$C$12</f>
        <v>1207.80574274503</v>
      </c>
      <c r="AC43" s="421" t="n">
        <f aca="false">'Operating Inputs'!$P26/12*'Cash Flow - Monthly'!AC$8*'Executive Summary'!$C$12</f>
        <v>1209.8005321261</v>
      </c>
      <c r="AD43" s="421" t="n">
        <f aca="false">'Operating Inputs'!$P26/12*'Cash Flow - Monthly'!AD$8*'Executive Summary'!$C$12</f>
        <v>1211.79861606402</v>
      </c>
      <c r="AE43" s="421" t="n">
        <f aca="false">'Operating Inputs'!$P26/12*'Cash Flow - Monthly'!AE$8*'Executive Summary'!$C$12</f>
        <v>1213.8</v>
      </c>
      <c r="AF43" s="421" t="n">
        <f aca="false">'Operating Inputs'!$P26/12*'Cash Flow - Monthly'!AF$8*'Executive Summary'!$C$12</f>
        <v>1215.80468938427</v>
      </c>
      <c r="AG43" s="421" t="n">
        <f aca="false">'Operating Inputs'!$P26/12*'Cash Flow - Monthly'!AG$8*'Executive Summary'!$C$12</f>
        <v>1217.81268967605</v>
      </c>
      <c r="AH43" s="421" t="n">
        <f aca="false">'Operating Inputs'!$P26/12*'Cash Flow - Monthly'!AH$8*'Executive Summary'!$C$12</f>
        <v>1219.82400634356</v>
      </c>
      <c r="AI43" s="421" t="n">
        <f aca="false">'Operating Inputs'!$P26/12*'Cash Flow - Monthly'!AI$8*'Executive Summary'!$C$12</f>
        <v>1221.83864486407</v>
      </c>
      <c r="AJ43" s="421" t="n">
        <f aca="false">'Operating Inputs'!$P26/12*'Cash Flow - Monthly'!AJ$8*'Executive Summary'!$C$12</f>
        <v>1223.85661072389</v>
      </c>
      <c r="AK43" s="421" t="n">
        <f aca="false">'Operating Inputs'!$P26/12*'Cash Flow - Monthly'!AK$8*'Executive Summary'!$C$12</f>
        <v>1225.87790941839</v>
      </c>
      <c r="AL43" s="421" t="n">
        <f aca="false">'Operating Inputs'!$P26/12*'Cash Flow - Monthly'!AL$8*'Executive Summary'!$C$12</f>
        <v>1227.90254645202</v>
      </c>
      <c r="AM43" s="421" t="n">
        <f aca="false">'Operating Inputs'!$P26/12*'Cash Flow - Monthly'!AM$8*'Executive Summary'!$C$12</f>
        <v>1229.93052733832</v>
      </c>
      <c r="AN43" s="421" t="n">
        <f aca="false">'Operating Inputs'!$P26/12*'Cash Flow - Monthly'!AN$8*'Executive Summary'!$C$12</f>
        <v>1231.96185759994</v>
      </c>
      <c r="AO43" s="421" t="n">
        <f aca="false">'Operating Inputs'!$P26/12*'Cash Flow - Monthly'!AO$8*'Executive Summary'!$C$12</f>
        <v>1233.99654276863</v>
      </c>
      <c r="AP43" s="421" t="n">
        <f aca="false">'Operating Inputs'!$P26/12*'Cash Flow - Monthly'!AP$8*'Executive Summary'!$C$12</f>
        <v>1236.0345883853</v>
      </c>
      <c r="AQ43" s="421" t="n">
        <f aca="false">'Operating Inputs'!$P26/12*'Cash Flow - Monthly'!AQ$8*'Executive Summary'!$C$12</f>
        <v>1238.076</v>
      </c>
      <c r="AR43" s="421" t="n">
        <f aca="false">'Operating Inputs'!$P26/12*'Cash Flow - Monthly'!AR$8*'Executive Summary'!$C$12</f>
        <v>1240.12078317196</v>
      </c>
      <c r="AS43" s="421" t="n">
        <f aca="false">'Operating Inputs'!$P26/12*'Cash Flow - Monthly'!AS$8*'Executive Summary'!$C$12</f>
        <v>1242.16894346957</v>
      </c>
      <c r="AT43" s="421" t="n">
        <f aca="false">'Operating Inputs'!$P26/12*'Cash Flow - Monthly'!AT$8*'Executive Summary'!$C$12</f>
        <v>1244.22048647043</v>
      </c>
      <c r="AU43" s="421" t="n">
        <f aca="false">'Operating Inputs'!$P26/12*'Cash Flow - Monthly'!AU$8*'Executive Summary'!$C$12</f>
        <v>1246.27541776135</v>
      </c>
      <c r="AV43" s="421" t="n">
        <f aca="false">'Operating Inputs'!$P26/12*'Cash Flow - Monthly'!AV$8*'Executive Summary'!$C$12</f>
        <v>1248.33374293837</v>
      </c>
      <c r="AW43" s="421" t="n">
        <f aca="false">'Operating Inputs'!$P26/12*'Cash Flow - Monthly'!AW$8*'Executive Summary'!$C$12</f>
        <v>1250.39546760676</v>
      </c>
      <c r="AX43" s="421" t="n">
        <f aca="false">'Operating Inputs'!$P26/12*'Cash Flow - Monthly'!AX$8*'Executive Summary'!$C$12</f>
        <v>1252.46059738106</v>
      </c>
      <c r="AY43" s="421" t="n">
        <f aca="false">'Operating Inputs'!$P26/12*'Cash Flow - Monthly'!AY$8*'Executive Summary'!$C$12</f>
        <v>1254.52913788509</v>
      </c>
      <c r="AZ43" s="421" t="n">
        <f aca="false">'Operating Inputs'!$P26/12*'Cash Flow - Monthly'!AZ$8*'Executive Summary'!$C$12</f>
        <v>1256.60109475194</v>
      </c>
      <c r="BA43" s="421" t="n">
        <f aca="false">'Operating Inputs'!$P26/12*'Cash Flow - Monthly'!BA$8*'Executive Summary'!$C$12</f>
        <v>1258.676473624</v>
      </c>
      <c r="BB43" s="421" t="n">
        <f aca="false">'Operating Inputs'!$P26/12*'Cash Flow - Monthly'!BB$8*'Executive Summary'!$C$12</f>
        <v>1260.755280153</v>
      </c>
      <c r="BC43" s="421" t="n">
        <f aca="false">'Operating Inputs'!$P26/12*'Cash Flow - Monthly'!BC$8*'Executive Summary'!$C$12</f>
        <v>1262.83752</v>
      </c>
      <c r="BD43" s="421" t="n">
        <f aca="false">'Operating Inputs'!$P26/12*'Cash Flow - Monthly'!BD$8*'Executive Summary'!$C$12</f>
        <v>1264.9231988354</v>
      </c>
      <c r="BE43" s="421" t="n">
        <f aca="false">'Operating Inputs'!$P26/12*'Cash Flow - Monthly'!BE$8*'Executive Summary'!$C$12</f>
        <v>1267.01232233896</v>
      </c>
      <c r="BF43" s="421" t="n">
        <f aca="false">'Operating Inputs'!$P26/12*'Cash Flow - Monthly'!BF$8*'Executive Summary'!$C$12</f>
        <v>1269.10489619984</v>
      </c>
      <c r="BG43" s="421" t="n">
        <f aca="false">'Operating Inputs'!$P26/12*'Cash Flow - Monthly'!BG$8*'Executive Summary'!$C$12</f>
        <v>1271.20092611658</v>
      </c>
      <c r="BH43" s="421" t="n">
        <f aca="false">'Operating Inputs'!$P26/12*'Cash Flow - Monthly'!BH$8*'Executive Summary'!$C$12</f>
        <v>1273.30041779713</v>
      </c>
      <c r="BI43" s="421" t="n">
        <f aca="false">'Operating Inputs'!$P26/12*'Cash Flow - Monthly'!BI$8*'Executive Summary'!$C$12</f>
        <v>1275.4033769589</v>
      </c>
      <c r="BJ43" s="421" t="n">
        <f aca="false">'Operating Inputs'!$P26/12*'Cash Flow - Monthly'!BJ$8*'Executive Summary'!$C$12</f>
        <v>1277.50980932869</v>
      </c>
      <c r="BK43" s="421" t="n">
        <f aca="false">'Operating Inputs'!$P26/12*'Cash Flow - Monthly'!BK$8*'Executive Summary'!$C$12</f>
        <v>1279.61972064279</v>
      </c>
      <c r="BL43" s="421" t="n">
        <f aca="false">'Operating Inputs'!$P26/12*'Cash Flow - Monthly'!BL$8*'Executive Summary'!$C$12</f>
        <v>1281.73311664698</v>
      </c>
      <c r="BM43" s="421" t="n">
        <f aca="false">'Operating Inputs'!$P26/12*'Cash Flow - Monthly'!BM$8*'Executive Summary'!$C$12</f>
        <v>1283.85000309648</v>
      </c>
      <c r="BN43" s="421" t="n">
        <f aca="false">'Operating Inputs'!$P26/12*'Cash Flow - Monthly'!BN$8*'Executive Summary'!$C$12</f>
        <v>1285.97038575607</v>
      </c>
      <c r="BO43" s="421" t="n">
        <f aca="false">'Operating Inputs'!$P26/12*'Cash Flow - Monthly'!BO$8*'Executive Summary'!$C$12</f>
        <v>1288.0942704</v>
      </c>
      <c r="BP43" s="421" t="n">
        <f aca="false">'Operating Inputs'!$P26/12*'Cash Flow - Monthly'!BP$8*'Executive Summary'!$C$12</f>
        <v>1290.22166281211</v>
      </c>
      <c r="BQ43" s="421" t="n">
        <f aca="false">'Operating Inputs'!$P26/12*'Cash Flow - Monthly'!BQ$8*'Executive Summary'!$C$12</f>
        <v>1292.35256878574</v>
      </c>
      <c r="BR43" s="421" t="n">
        <f aca="false">'Operating Inputs'!$P26/12*'Cash Flow - Monthly'!BR$8*'Executive Summary'!$C$12</f>
        <v>1294.48699412383</v>
      </c>
      <c r="BS43" s="421" t="n">
        <f aca="false">'Operating Inputs'!$P26/12*'Cash Flow - Monthly'!BS$8*'Executive Summary'!$C$12</f>
        <v>1296.62494463891</v>
      </c>
      <c r="BT43" s="421" t="n">
        <f aca="false">'Operating Inputs'!$P26/12*'Cash Flow - Monthly'!BT$8*'Executive Summary'!$C$12</f>
        <v>1298.76642615308</v>
      </c>
      <c r="BU43" s="421" t="n">
        <f aca="false">'Operating Inputs'!$P26/12*'Cash Flow - Monthly'!BU$8*'Executive Summary'!$C$12</f>
        <v>1300.91144449807</v>
      </c>
      <c r="BV43" s="421" t="n">
        <f aca="false">'Operating Inputs'!$P26/12*'Cash Flow - Monthly'!BV$8*'Executive Summary'!$C$12</f>
        <v>1303.06000551526</v>
      </c>
      <c r="BW43" s="421" t="n">
        <f aca="false">'Operating Inputs'!$P26/12*'Cash Flow - Monthly'!BW$8*'Executive Summary'!$C$12</f>
        <v>1305.21211505565</v>
      </c>
      <c r="BX43" s="421" t="n">
        <f aca="false">'Operating Inputs'!$P26/12*'Cash Flow - Monthly'!BX$8*'Executive Summary'!$C$12</f>
        <v>1307.36777897992</v>
      </c>
      <c r="BY43" s="421" t="n">
        <f aca="false">'Operating Inputs'!$P26/12*'Cash Flow - Monthly'!BY$8*'Executive Summary'!$C$12</f>
        <v>1309.52700315841</v>
      </c>
      <c r="BZ43" s="421" t="n">
        <f aca="false">'Operating Inputs'!$P26/12*'Cash Flow - Monthly'!BZ$8*'Executive Summary'!$C$12</f>
        <v>1311.68979347119</v>
      </c>
      <c r="CA43" s="421" t="n">
        <f aca="false">'Operating Inputs'!$P26/12*'Cash Flow - Monthly'!CA$8*'Executive Summary'!$C$12</f>
        <v>1313.856155808</v>
      </c>
      <c r="CB43" s="421" t="n">
        <f aca="false">'Operating Inputs'!$P26/12*'Cash Flow - Monthly'!CB$8*'Executive Summary'!$C$12</f>
        <v>1316.02609606835</v>
      </c>
      <c r="CC43" s="421" t="n">
        <f aca="false">'Operating Inputs'!$P26/12*'Cash Flow - Monthly'!CC$8*'Executive Summary'!$C$12</f>
        <v>1318.19962016145</v>
      </c>
      <c r="CD43" s="421" t="n">
        <f aca="false">'Operating Inputs'!$P26/12*'Cash Flow - Monthly'!CD$8*'Executive Summary'!$C$12</f>
        <v>1320.37673400631</v>
      </c>
      <c r="CE43" s="421" t="n">
        <f aca="false">'Operating Inputs'!$P26/12*'Cash Flow - Monthly'!CE$8*'Executive Summary'!$C$12</f>
        <v>1322.55744353169</v>
      </c>
      <c r="CF43" s="421" t="n">
        <f aca="false">'Operating Inputs'!$P26/12*'Cash Flow - Monthly'!CF$8*'Executive Summary'!$C$12</f>
        <v>1324.74175467614</v>
      </c>
      <c r="CG43" s="421" t="n">
        <f aca="false">'Operating Inputs'!$P26/12*'Cash Flow - Monthly'!CG$8*'Executive Summary'!$C$12</f>
        <v>1326.92967338804</v>
      </c>
      <c r="CH43" s="421" t="n">
        <f aca="false">'Operating Inputs'!$P26/12*'Cash Flow - Monthly'!CH$8*'Executive Summary'!$C$12</f>
        <v>1329.12120562557</v>
      </c>
      <c r="CI43" s="421" t="n">
        <f aca="false">'Operating Inputs'!$P26/12*'Cash Flow - Monthly'!CI$8*'Executive Summary'!$C$12</f>
        <v>1331.31635735676</v>
      </c>
      <c r="CJ43" s="421" t="n">
        <f aca="false">'Operating Inputs'!$P26/12*'Cash Flow - Monthly'!CJ$8*'Executive Summary'!$C$12</f>
        <v>1333.51513455951</v>
      </c>
      <c r="CK43" s="421" t="n">
        <f aca="false">'Operating Inputs'!$P26/12*'Cash Flow - Monthly'!CK$8*'Executive Summary'!$C$12</f>
        <v>1335.71754322158</v>
      </c>
      <c r="CL43" s="421" t="n">
        <f aca="false">'Operating Inputs'!$P26/12*'Cash Flow - Monthly'!CL$8*'Executive Summary'!$C$12</f>
        <v>1337.92358934061</v>
      </c>
      <c r="CM43" s="421" t="n">
        <f aca="false">'Operating Inputs'!$P26/12*'Cash Flow - Monthly'!CM$8*'Executive Summary'!$C$12</f>
        <v>1340.13327892417</v>
      </c>
      <c r="CN43" s="421" t="n">
        <f aca="false">'Operating Inputs'!$P26/12*'Cash Flow - Monthly'!CN$8*'Executive Summary'!$C$12</f>
        <v>1342.34661798972</v>
      </c>
      <c r="CO43" s="421" t="n">
        <f aca="false">'Operating Inputs'!$P26/12*'Cash Flow - Monthly'!CO$8*'Executive Summary'!$C$12</f>
        <v>1344.56361256468</v>
      </c>
      <c r="CP43" s="421" t="n">
        <f aca="false">'Operating Inputs'!$P26/12*'Cash Flow - Monthly'!CP$8*'Executive Summary'!$C$12</f>
        <v>1346.78426868644</v>
      </c>
      <c r="CQ43" s="421" t="n">
        <f aca="false">'Operating Inputs'!$P26/12*'Cash Flow - Monthly'!CQ$8*'Executive Summary'!$C$12</f>
        <v>1349.00859240232</v>
      </c>
      <c r="CR43" s="421" t="n">
        <f aca="false">'Operating Inputs'!$P26/12*'Cash Flow - Monthly'!CR$8*'Executive Summary'!$C$12</f>
        <v>1351.23658976966</v>
      </c>
      <c r="CS43" s="421" t="n">
        <f aca="false">'Operating Inputs'!$P26/12*'Cash Flow - Monthly'!CS$8*'Executive Summary'!$C$12</f>
        <v>1353.4682668558</v>
      </c>
      <c r="CT43" s="421" t="n">
        <f aca="false">'Operating Inputs'!$P26/12*'Cash Flow - Monthly'!CT$8*'Executive Summary'!$C$12</f>
        <v>1355.70362973808</v>
      </c>
      <c r="CU43" s="421" t="n">
        <f aca="false">'Operating Inputs'!$P26/12*'Cash Flow - Monthly'!CU$8*'Executive Summary'!$C$12</f>
        <v>1357.9426845039</v>
      </c>
      <c r="CV43" s="421" t="n">
        <f aca="false">'Operating Inputs'!$P26/12*'Cash Flow - Monthly'!CV$8*'Executive Summary'!$C$12</f>
        <v>1360.18543725071</v>
      </c>
      <c r="CW43" s="421" t="n">
        <f aca="false">'Operating Inputs'!$P26/12*'Cash Flow - Monthly'!CW$8*'Executive Summary'!$C$12</f>
        <v>1362.43189408601</v>
      </c>
      <c r="CX43" s="421" t="n">
        <f aca="false">'Operating Inputs'!$P26/12*'Cash Flow - Monthly'!CX$8*'Executive Summary'!$C$12</f>
        <v>1364.68206112743</v>
      </c>
      <c r="CY43" s="421" t="n">
        <f aca="false">'Operating Inputs'!$P26/12*'Cash Flow - Monthly'!CY$8*'Executive Summary'!$C$12</f>
        <v>1366.93594450265</v>
      </c>
      <c r="CZ43" s="421" t="n">
        <f aca="false">'Operating Inputs'!$P26/12*'Cash Flow - Monthly'!CZ$8*'Executive Summary'!$C$12</f>
        <v>1369.19355034951</v>
      </c>
      <c r="DA43" s="421" t="n">
        <f aca="false">'Operating Inputs'!$P26/12*'Cash Flow - Monthly'!DA$8*'Executive Summary'!$C$12</f>
        <v>1371.45488481598</v>
      </c>
      <c r="DB43" s="421" t="n">
        <f aca="false">'Operating Inputs'!$P26/12*'Cash Flow - Monthly'!DB$8*'Executive Summary'!$C$12</f>
        <v>1373.71995406017</v>
      </c>
      <c r="DC43" s="421" t="n">
        <f aca="false">'Operating Inputs'!$P26/12*'Cash Flow - Monthly'!DC$8*'Executive Summary'!$C$12</f>
        <v>1375.98876425037</v>
      </c>
      <c r="DD43" s="421" t="n">
        <f aca="false">'Operating Inputs'!$P26/12*'Cash Flow - Monthly'!DD$8*'Executive Summary'!$C$12</f>
        <v>1378.26132156506</v>
      </c>
      <c r="DE43" s="421" t="n">
        <f aca="false">'Operating Inputs'!$P26/12*'Cash Flow - Monthly'!DE$8*'Executive Summary'!$C$12</f>
        <v>1380.53763219291</v>
      </c>
      <c r="DF43" s="421" t="n">
        <f aca="false">'Operating Inputs'!$P26/12*'Cash Flow - Monthly'!DF$8*'Executive Summary'!$C$12</f>
        <v>1382.81770233284</v>
      </c>
      <c r="DG43" s="421" t="n">
        <f aca="false">'Operating Inputs'!$P26/12*'Cash Flow - Monthly'!DG$8*'Executive Summary'!$C$12</f>
        <v>1385.10153819398</v>
      </c>
      <c r="DH43" s="421" t="n">
        <f aca="false">'Operating Inputs'!$P26/12*'Cash Flow - Monthly'!DH$8*'Executive Summary'!$C$12</f>
        <v>1387.38914599572</v>
      </c>
      <c r="DI43" s="421" t="n">
        <f aca="false">'Operating Inputs'!$P26/12*'Cash Flow - Monthly'!DI$8*'Executive Summary'!$C$12</f>
        <v>1389.68053196773</v>
      </c>
      <c r="DJ43" s="421" t="n">
        <f aca="false">'Operating Inputs'!$P26/12*'Cash Flow - Monthly'!DJ$8*'Executive Summary'!$C$12</f>
        <v>1391.97570234997</v>
      </c>
      <c r="DK43" s="421" t="n">
        <f aca="false">'Operating Inputs'!$P26/12*'Cash Flow - Monthly'!DK$8*'Executive Summary'!$C$12</f>
        <v>1394.2746633927</v>
      </c>
      <c r="DL43" s="421" t="n">
        <f aca="false">'Operating Inputs'!$P26/12*'Cash Flow - Monthly'!DL$8*'Executive Summary'!$C$12</f>
        <v>1396.5774213565</v>
      </c>
      <c r="DM43" s="421" t="n">
        <f aca="false">'Operating Inputs'!$P26/12*'Cash Flow - Monthly'!DM$8*'Executive Summary'!$C$12</f>
        <v>1398.8839825123</v>
      </c>
      <c r="DN43" s="421" t="n">
        <f aca="false">'Operating Inputs'!$P26/12*'Cash Flow - Monthly'!DN$8*'Executive Summary'!$C$12</f>
        <v>1401.19435314137</v>
      </c>
      <c r="DO43" s="421" t="n">
        <f aca="false">'Operating Inputs'!$P26/12*'Cash Flow - Monthly'!DO$8*'Executive Summary'!$C$12</f>
        <v>1403.50853953538</v>
      </c>
      <c r="DP43" s="421" t="n">
        <f aca="false">'Operating Inputs'!$P26/12*'Cash Flow - Monthly'!DP$8*'Executive Summary'!$C$12</f>
        <v>1405.82654799636</v>
      </c>
      <c r="DQ43" s="421" t="n">
        <f aca="false">'Operating Inputs'!$P26/12*'Cash Flow - Monthly'!DQ$8*'Executive Summary'!$C$12</f>
        <v>1408.14838483677</v>
      </c>
      <c r="DR43" s="421" t="n">
        <f aca="false">'Operating Inputs'!$P26/12*'Cash Flow - Monthly'!DR$8*'Executive Summary'!$C$12</f>
        <v>1410.4740563795</v>
      </c>
      <c r="DS43" s="421" t="n">
        <f aca="false">'Operating Inputs'!$P26/12*'Cash Flow - Monthly'!DS$8*'Executive Summary'!$C$12</f>
        <v>1412.80356895786</v>
      </c>
      <c r="DT43" s="421" t="n">
        <f aca="false">'Operating Inputs'!$P26/12*'Cash Flow - Monthly'!DT$8*'Executive Summary'!$C$12</f>
        <v>1415.13692891564</v>
      </c>
      <c r="DU43" s="421" t="n">
        <f aca="false">'Operating Inputs'!$P26/12*'Cash Flow - Monthly'!DU$8*'Executive Summary'!$C$12</f>
        <v>1417.47414260709</v>
      </c>
      <c r="DV43" s="421" t="n">
        <f aca="false">'Operating Inputs'!$P26/12*'Cash Flow - Monthly'!DV$8*'Executive Summary'!$C$12</f>
        <v>1419.81521639697</v>
      </c>
      <c r="DW43" s="421" t="n">
        <f aca="false">'Operating Inputs'!$P26/12*'Cash Flow - Monthly'!DW$8*'Executive Summary'!$C$12</f>
        <v>1422.16015666056</v>
      </c>
      <c r="DX43" s="421" t="n">
        <f aca="false">'Operating Inputs'!$P26/12*'Cash Flow - Monthly'!DX$8*'Executive Summary'!$C$12</f>
        <v>1424.50896978363</v>
      </c>
      <c r="DY43" s="421" t="n">
        <f aca="false">'Operating Inputs'!$P26/12*'Cash Flow - Monthly'!DY$8*'Executive Summary'!$C$12</f>
        <v>1426.86166216255</v>
      </c>
      <c r="DZ43" s="421" t="n">
        <f aca="false">'Operating Inputs'!$P26/12*'Cash Flow - Monthly'!DZ$8*'Executive Summary'!$C$12</f>
        <v>1429.2182402042</v>
      </c>
      <c r="EA43" s="421" t="n">
        <f aca="false">'Operating Inputs'!$P26/12*'Cash Flow - Monthly'!EA$8*'Executive Summary'!$C$12</f>
        <v>1431.57871032609</v>
      </c>
      <c r="EB43" s="421" t="n">
        <f aca="false">'Operating Inputs'!$P26/12*'Cash Flow - Monthly'!EB$8*'Executive Summary'!$C$12</f>
        <v>1433.94307895629</v>
      </c>
      <c r="EC43" s="421" t="n">
        <f aca="false">'Operating Inputs'!$P26/12*'Cash Flow - Monthly'!EC$8*'Executive Summary'!$C$12</f>
        <v>1436.31135253351</v>
      </c>
      <c r="ED43" s="421" t="n">
        <f aca="false">'Operating Inputs'!$P26/12*'Cash Flow - Monthly'!ED$8*'Executive Summary'!$C$12</f>
        <v>1438.68353750709</v>
      </c>
      <c r="EE43" s="421" t="n">
        <f aca="false">'Operating Inputs'!$P26/12*'Cash Flow - Monthly'!EE$8*'Executive Summary'!$C$12</f>
        <v>1441.05964033702</v>
      </c>
      <c r="EF43" s="421" t="n">
        <f aca="false">'Operating Inputs'!$P26/12*'Cash Flow - Monthly'!EF$8*'Executive Summary'!$C$12</f>
        <v>1443.43966749395</v>
      </c>
      <c r="EG43" s="421" t="n">
        <f aca="false">'Operating Inputs'!$P26/12*'Cash Flow - Monthly'!EG$8*'Executive Summary'!$C$12</f>
        <v>1445.82362545923</v>
      </c>
      <c r="EH43" s="421" t="n">
        <f aca="false">'Operating Inputs'!$P26/12*'Cash Flow - Monthly'!EH$8*'Executive Summary'!$C$12</f>
        <v>1448.21152072491</v>
      </c>
      <c r="EI43" s="472" t="n">
        <f aca="false">'Operating Inputs'!$P26/12*'Cash Flow - Monthly'!EI$8*'Executive Summary'!$C$12</f>
        <v>1450.60335979377</v>
      </c>
      <c r="EK43" s="513" t="n">
        <f aca="true">SUM(OFFSET($G43,0,EK$24*12-11,1,12))</f>
        <v>14151.2078171419</v>
      </c>
      <c r="EL43" s="421" t="n">
        <f aca="true">SUM(OFFSET($G43,0,EL$24*12-11,1,12))</f>
        <v>14434.2319734847</v>
      </c>
      <c r="EM43" s="421" t="n">
        <f aca="true">SUM(OFFSET($G43,0,EM$24*12-11,1,12))</f>
        <v>14722.9166129544</v>
      </c>
      <c r="EN43" s="421" t="n">
        <f aca="true">SUM(OFFSET($G43,0,EN$24*12-11,1,12))</f>
        <v>15017.3749452135</v>
      </c>
      <c r="EO43" s="421" t="n">
        <f aca="true">SUM(OFFSET($G43,0,EO$24*12-11,1,12))</f>
        <v>15317.7224441178</v>
      </c>
      <c r="EP43" s="421" t="n">
        <f aca="true">SUM(OFFSET($G43,0,EP$24*12-11,1,12))</f>
        <v>15624.0768930002</v>
      </c>
      <c r="EQ43" s="421" t="n">
        <f aca="true">SUM(OFFSET($G43,0,EQ$24*12-11,1,12))</f>
        <v>15936.5584308602</v>
      </c>
      <c r="ER43" s="421" t="n">
        <f aca="true">SUM(OFFSET($G43,0,ER$24*12-11,1,12))</f>
        <v>16255.2895994774</v>
      </c>
      <c r="ES43" s="421" t="n">
        <f aca="true">SUM(OFFSET($G43,0,ES$24*12-11,1,12))</f>
        <v>16580.395391467</v>
      </c>
      <c r="ET43" s="472" t="n">
        <f aca="true">SUM(OFFSET($G43,0,ET$24*12-11,1,12))</f>
        <v>16912.0032992963</v>
      </c>
    </row>
    <row r="44" s="522" customFormat="true" ht="13.5" hidden="false" customHeight="true" outlineLevel="0" collapsed="false">
      <c r="B44" s="554" t="s">
        <v>415</v>
      </c>
      <c r="C44" s="61"/>
      <c r="D44" s="421"/>
      <c r="E44" s="472" t="n">
        <f aca="true">SUM(OFFSET(G44,0,0,1,'Executive Summary'!$I$13+1))</f>
        <v>126245.92078785</v>
      </c>
      <c r="F44" s="421"/>
      <c r="G44" s="513" t="n">
        <v>0</v>
      </c>
      <c r="H44" s="421" t="n">
        <f aca="false">'Operating Inputs'!$P27/12*'Cash Flow - Monthly'!H$8*'Executive Summary'!$C$12</f>
        <v>2003.30316260384</v>
      </c>
      <c r="I44" s="421" t="n">
        <f aca="false">'Operating Inputs'!$P27/12*'Cash Flow - Monthly'!I$8*'Executive Summary'!$C$12</f>
        <v>2006.61178064927</v>
      </c>
      <c r="J44" s="421" t="n">
        <f aca="false">'Operating Inputs'!$P27/12*'Cash Flow - Monthly'!J$8*'Executive Summary'!$C$12</f>
        <v>2009.92586314641</v>
      </c>
      <c r="K44" s="421" t="n">
        <f aca="false">'Operating Inputs'!$P27/12*'Cash Flow - Monthly'!K$8*'Executive Summary'!$C$12</f>
        <v>2013.24541912023</v>
      </c>
      <c r="L44" s="421" t="n">
        <f aca="false">'Operating Inputs'!$P27/12*'Cash Flow - Monthly'!L$8*'Executive Summary'!$C$12</f>
        <v>2016.57045761062</v>
      </c>
      <c r="M44" s="421" t="n">
        <f aca="false">'Operating Inputs'!$P27/12*'Cash Flow - Monthly'!M$8*'Executive Summary'!$C$12</f>
        <v>2019.90098767242</v>
      </c>
      <c r="N44" s="421" t="n">
        <f aca="false">'Operating Inputs'!$P27/12*'Cash Flow - Monthly'!N$8*'Executive Summary'!$C$12</f>
        <v>2023.23701837539</v>
      </c>
      <c r="O44" s="421" t="n">
        <f aca="false">'Operating Inputs'!$P27/12*'Cash Flow - Monthly'!O$8*'Executive Summary'!$C$12</f>
        <v>2026.57855880429</v>
      </c>
      <c r="P44" s="421" t="n">
        <f aca="false">'Operating Inputs'!$P27/12*'Cash Flow - Monthly'!P$8*'Executive Summary'!$C$12</f>
        <v>2029.92561805888</v>
      </c>
      <c r="Q44" s="421" t="n">
        <f aca="false">'Operating Inputs'!$P27/12*'Cash Flow - Monthly'!Q$8*'Executive Summary'!$C$12</f>
        <v>2033.27820525396</v>
      </c>
      <c r="R44" s="421" t="n">
        <f aca="false">'Operating Inputs'!$P27/12*'Cash Flow - Monthly'!R$8*'Executive Summary'!$C$12</f>
        <v>2036.63632951936</v>
      </c>
      <c r="S44" s="421" t="n">
        <f aca="false">'Operating Inputs'!$P27/12*'Cash Flow - Monthly'!S$8*'Executive Summary'!$C$12</f>
        <v>2040</v>
      </c>
      <c r="T44" s="421" t="n">
        <f aca="false">'Operating Inputs'!$P27/12*'Cash Flow - Monthly'!T$8*'Executive Summary'!$C$12</f>
        <v>2043.36922585592</v>
      </c>
      <c r="U44" s="421" t="n">
        <f aca="false">'Operating Inputs'!$P27/12*'Cash Flow - Monthly'!U$8*'Executive Summary'!$C$12</f>
        <v>2046.74401626226</v>
      </c>
      <c r="V44" s="421" t="n">
        <f aca="false">'Operating Inputs'!$P27/12*'Cash Flow - Monthly'!V$8*'Executive Summary'!$C$12</f>
        <v>2050.12438040934</v>
      </c>
      <c r="W44" s="421" t="n">
        <f aca="false">'Operating Inputs'!$P27/12*'Cash Flow - Monthly'!W$8*'Executive Summary'!$C$12</f>
        <v>2053.51032750263</v>
      </c>
      <c r="X44" s="421" t="n">
        <f aca="false">'Operating Inputs'!$P27/12*'Cash Flow - Monthly'!X$8*'Executive Summary'!$C$12</f>
        <v>2056.90186676283</v>
      </c>
      <c r="Y44" s="421" t="n">
        <f aca="false">'Operating Inputs'!$P27/12*'Cash Flow - Monthly'!Y$8*'Executive Summary'!$C$12</f>
        <v>2060.29900742587</v>
      </c>
      <c r="Z44" s="421" t="n">
        <f aca="false">'Operating Inputs'!$P27/12*'Cash Flow - Monthly'!Z$8*'Executive Summary'!$C$12</f>
        <v>2063.70175874289</v>
      </c>
      <c r="AA44" s="421" t="n">
        <f aca="false">'Operating Inputs'!$P27/12*'Cash Flow - Monthly'!AA$8*'Executive Summary'!$C$12</f>
        <v>2067.11012998037</v>
      </c>
      <c r="AB44" s="421" t="n">
        <f aca="false">'Operating Inputs'!$P27/12*'Cash Flow - Monthly'!AB$8*'Executive Summary'!$C$12</f>
        <v>2070.52413042006</v>
      </c>
      <c r="AC44" s="421" t="n">
        <f aca="false">'Operating Inputs'!$P27/12*'Cash Flow - Monthly'!AC$8*'Executive Summary'!$C$12</f>
        <v>2073.94376935904</v>
      </c>
      <c r="AD44" s="421" t="n">
        <f aca="false">'Operating Inputs'!$P27/12*'Cash Flow - Monthly'!AD$8*'Executive Summary'!$C$12</f>
        <v>2077.36905610974</v>
      </c>
      <c r="AE44" s="421" t="n">
        <f aca="false">'Operating Inputs'!$P27/12*'Cash Flow - Monthly'!AE$8*'Executive Summary'!$C$12</f>
        <v>2080.8</v>
      </c>
      <c r="AF44" s="421" t="n">
        <f aca="false">'Operating Inputs'!$P27/12*'Cash Flow - Monthly'!AF$8*'Executive Summary'!$C$12</f>
        <v>2084.23661037304</v>
      </c>
      <c r="AG44" s="421" t="n">
        <f aca="false">'Operating Inputs'!$P27/12*'Cash Flow - Monthly'!AG$8*'Executive Summary'!$C$12</f>
        <v>2087.67889658751</v>
      </c>
      <c r="AH44" s="421" t="n">
        <f aca="false">'Operating Inputs'!$P27/12*'Cash Flow - Monthly'!AH$8*'Executive Summary'!$C$12</f>
        <v>2091.12686801752</v>
      </c>
      <c r="AI44" s="421" t="n">
        <f aca="false">'Operating Inputs'!$P27/12*'Cash Flow - Monthly'!AI$8*'Executive Summary'!$C$12</f>
        <v>2094.58053405269</v>
      </c>
      <c r="AJ44" s="421" t="n">
        <f aca="false">'Operating Inputs'!$P27/12*'Cash Flow - Monthly'!AJ$8*'Executive Summary'!$C$12</f>
        <v>2098.03990409809</v>
      </c>
      <c r="AK44" s="421" t="n">
        <f aca="false">'Operating Inputs'!$P27/12*'Cash Flow - Monthly'!AK$8*'Executive Summary'!$C$12</f>
        <v>2101.50498757438</v>
      </c>
      <c r="AL44" s="421" t="n">
        <f aca="false">'Operating Inputs'!$P27/12*'Cash Flow - Monthly'!AL$8*'Executive Summary'!$C$12</f>
        <v>2104.97579391775</v>
      </c>
      <c r="AM44" s="421" t="n">
        <f aca="false">'Operating Inputs'!$P27/12*'Cash Flow - Monthly'!AM$8*'Executive Summary'!$C$12</f>
        <v>2108.45233257998</v>
      </c>
      <c r="AN44" s="421" t="n">
        <f aca="false">'Operating Inputs'!$P27/12*'Cash Flow - Monthly'!AN$8*'Executive Summary'!$C$12</f>
        <v>2111.93461302846</v>
      </c>
      <c r="AO44" s="421" t="n">
        <f aca="false">'Operating Inputs'!$P27/12*'Cash Flow - Monthly'!AO$8*'Executive Summary'!$C$12</f>
        <v>2115.42264474622</v>
      </c>
      <c r="AP44" s="421" t="n">
        <f aca="false">'Operating Inputs'!$P27/12*'Cash Flow - Monthly'!AP$8*'Executive Summary'!$C$12</f>
        <v>2118.91643723194</v>
      </c>
      <c r="AQ44" s="421" t="n">
        <f aca="false">'Operating Inputs'!$P27/12*'Cash Flow - Monthly'!AQ$8*'Executive Summary'!$C$12</f>
        <v>2122.416</v>
      </c>
      <c r="AR44" s="421" t="n">
        <f aca="false">'Operating Inputs'!$P27/12*'Cash Flow - Monthly'!AR$8*'Executive Summary'!$C$12</f>
        <v>2125.9213425805</v>
      </c>
      <c r="AS44" s="421" t="n">
        <f aca="false">'Operating Inputs'!$P27/12*'Cash Flow - Monthly'!AS$8*'Executive Summary'!$C$12</f>
        <v>2129.43247451926</v>
      </c>
      <c r="AT44" s="421" t="n">
        <f aca="false">'Operating Inputs'!$P27/12*'Cash Flow - Monthly'!AT$8*'Executive Summary'!$C$12</f>
        <v>2132.94940537788</v>
      </c>
      <c r="AU44" s="421" t="n">
        <f aca="false">'Operating Inputs'!$P27/12*'Cash Flow - Monthly'!AU$8*'Executive Summary'!$C$12</f>
        <v>2136.47214473374</v>
      </c>
      <c r="AV44" s="421" t="n">
        <f aca="false">'Operating Inputs'!$P27/12*'Cash Flow - Monthly'!AV$8*'Executive Summary'!$C$12</f>
        <v>2140.00070218006</v>
      </c>
      <c r="AW44" s="421" t="n">
        <f aca="false">'Operating Inputs'!$P27/12*'Cash Flow - Monthly'!AW$8*'Executive Summary'!$C$12</f>
        <v>2143.53508732587</v>
      </c>
      <c r="AX44" s="421" t="n">
        <f aca="false">'Operating Inputs'!$P27/12*'Cash Flow - Monthly'!AX$8*'Executive Summary'!$C$12</f>
        <v>2147.07530979611</v>
      </c>
      <c r="AY44" s="421" t="n">
        <f aca="false">'Operating Inputs'!$P27/12*'Cash Flow - Monthly'!AY$8*'Executive Summary'!$C$12</f>
        <v>2150.62137923158</v>
      </c>
      <c r="AZ44" s="421" t="n">
        <f aca="false">'Operating Inputs'!$P27/12*'Cash Flow - Monthly'!AZ$8*'Executive Summary'!$C$12</f>
        <v>2154.17330528903</v>
      </c>
      <c r="BA44" s="421" t="n">
        <f aca="false">'Operating Inputs'!$P27/12*'Cash Flow - Monthly'!BA$8*'Executive Summary'!$C$12</f>
        <v>2157.73109764114</v>
      </c>
      <c r="BB44" s="421" t="n">
        <f aca="false">'Operating Inputs'!$P27/12*'Cash Flow - Monthly'!BB$8*'Executive Summary'!$C$12</f>
        <v>2161.29476597658</v>
      </c>
      <c r="BC44" s="421" t="n">
        <f aca="false">'Operating Inputs'!$P27/12*'Cash Flow - Monthly'!BC$8*'Executive Summary'!$C$12</f>
        <v>2164.86432</v>
      </c>
      <c r="BD44" s="421" t="n">
        <f aca="false">'Operating Inputs'!$P27/12*'Cash Flow - Monthly'!BD$8*'Executive Summary'!$C$12</f>
        <v>2168.43976943211</v>
      </c>
      <c r="BE44" s="421" t="n">
        <f aca="false">'Operating Inputs'!$P27/12*'Cash Flow - Monthly'!BE$8*'Executive Summary'!$C$12</f>
        <v>2172.02112400964</v>
      </c>
      <c r="BF44" s="421" t="n">
        <f aca="false">'Operating Inputs'!$P27/12*'Cash Flow - Monthly'!BF$8*'Executive Summary'!$C$12</f>
        <v>2175.60839348544</v>
      </c>
      <c r="BG44" s="421" t="n">
        <f aca="false">'Operating Inputs'!$P27/12*'Cash Flow - Monthly'!BG$8*'Executive Summary'!$C$12</f>
        <v>2179.20158762842</v>
      </c>
      <c r="BH44" s="421" t="n">
        <f aca="false">'Operating Inputs'!$P27/12*'Cash Flow - Monthly'!BH$8*'Executive Summary'!$C$12</f>
        <v>2182.80071622366</v>
      </c>
      <c r="BI44" s="421" t="n">
        <f aca="false">'Operating Inputs'!$P27/12*'Cash Flow - Monthly'!BI$8*'Executive Summary'!$C$12</f>
        <v>2186.40578907239</v>
      </c>
      <c r="BJ44" s="421" t="n">
        <f aca="false">'Operating Inputs'!$P27/12*'Cash Flow - Monthly'!BJ$8*'Executive Summary'!$C$12</f>
        <v>2190.01681599203</v>
      </c>
      <c r="BK44" s="421" t="n">
        <f aca="false">'Operating Inputs'!$P27/12*'Cash Flow - Monthly'!BK$8*'Executive Summary'!$C$12</f>
        <v>2193.63380681622</v>
      </c>
      <c r="BL44" s="421" t="n">
        <f aca="false">'Operating Inputs'!$P27/12*'Cash Flow - Monthly'!BL$8*'Executive Summary'!$C$12</f>
        <v>2197.25677139481</v>
      </c>
      <c r="BM44" s="421" t="n">
        <f aca="false">'Operating Inputs'!$P27/12*'Cash Flow - Monthly'!BM$8*'Executive Summary'!$C$12</f>
        <v>2200.88571959397</v>
      </c>
      <c r="BN44" s="421" t="n">
        <f aca="false">'Operating Inputs'!$P27/12*'Cash Flow - Monthly'!BN$8*'Executive Summary'!$C$12</f>
        <v>2204.52066129611</v>
      </c>
      <c r="BO44" s="421" t="n">
        <f aca="false">'Operating Inputs'!$P27/12*'Cash Flow - Monthly'!BO$8*'Executive Summary'!$C$12</f>
        <v>2208.16160640001</v>
      </c>
      <c r="BP44" s="421" t="n">
        <f aca="false">'Operating Inputs'!$P27/12*'Cash Flow - Monthly'!BP$8*'Executive Summary'!$C$12</f>
        <v>2211.80856482075</v>
      </c>
      <c r="BQ44" s="421" t="n">
        <f aca="false">'Operating Inputs'!$P27/12*'Cash Flow - Monthly'!BQ$8*'Executive Summary'!$C$12</f>
        <v>2215.46154648984</v>
      </c>
      <c r="BR44" s="421" t="n">
        <f aca="false">'Operating Inputs'!$P27/12*'Cash Flow - Monthly'!BR$8*'Executive Summary'!$C$12</f>
        <v>2219.12056135514</v>
      </c>
      <c r="BS44" s="421" t="n">
        <f aca="false">'Operating Inputs'!$P27/12*'Cash Flow - Monthly'!BS$8*'Executive Summary'!$C$12</f>
        <v>2222.78561938099</v>
      </c>
      <c r="BT44" s="421" t="n">
        <f aca="false">'Operating Inputs'!$P27/12*'Cash Flow - Monthly'!BT$8*'Executive Summary'!$C$12</f>
        <v>2226.45673054813</v>
      </c>
      <c r="BU44" s="421" t="n">
        <f aca="false">'Operating Inputs'!$P27/12*'Cash Flow - Monthly'!BU$8*'Executive Summary'!$C$12</f>
        <v>2230.13390485384</v>
      </c>
      <c r="BV44" s="421" t="n">
        <f aca="false">'Operating Inputs'!$P27/12*'Cash Flow - Monthly'!BV$8*'Executive Summary'!$C$12</f>
        <v>2233.81715231188</v>
      </c>
      <c r="BW44" s="421" t="n">
        <f aca="false">'Operating Inputs'!$P27/12*'Cash Flow - Monthly'!BW$8*'Executive Summary'!$C$12</f>
        <v>2237.50648295254</v>
      </c>
      <c r="BX44" s="421" t="n">
        <f aca="false">'Operating Inputs'!$P27/12*'Cash Flow - Monthly'!BX$8*'Executive Summary'!$C$12</f>
        <v>2241.20190682271</v>
      </c>
      <c r="BY44" s="421" t="n">
        <f aca="false">'Operating Inputs'!$P27/12*'Cash Flow - Monthly'!BY$8*'Executive Summary'!$C$12</f>
        <v>2244.90343398585</v>
      </c>
      <c r="BZ44" s="421" t="n">
        <f aca="false">'Operating Inputs'!$P27/12*'Cash Flow - Monthly'!BZ$8*'Executive Summary'!$C$12</f>
        <v>2248.61107452204</v>
      </c>
      <c r="CA44" s="421" t="n">
        <f aca="false">'Operating Inputs'!$P27/12*'Cash Flow - Monthly'!CA$8*'Executive Summary'!$C$12</f>
        <v>2252.32483852801</v>
      </c>
      <c r="CB44" s="421" t="n">
        <f aca="false">'Operating Inputs'!$P27/12*'Cash Flow - Monthly'!CB$8*'Executive Summary'!$C$12</f>
        <v>2256.04473611717</v>
      </c>
      <c r="CC44" s="421" t="n">
        <f aca="false">'Operating Inputs'!$P27/12*'Cash Flow - Monthly'!CC$8*'Executive Summary'!$C$12</f>
        <v>2259.77077741964</v>
      </c>
      <c r="CD44" s="421" t="n">
        <f aca="false">'Operating Inputs'!$P27/12*'Cash Flow - Monthly'!CD$8*'Executive Summary'!$C$12</f>
        <v>2263.50297258225</v>
      </c>
      <c r="CE44" s="421" t="n">
        <f aca="false">'Operating Inputs'!$P27/12*'Cash Flow - Monthly'!CE$8*'Executive Summary'!$C$12</f>
        <v>2267.24133176861</v>
      </c>
      <c r="CF44" s="421" t="n">
        <f aca="false">'Operating Inputs'!$P27/12*'Cash Flow - Monthly'!CF$8*'Executive Summary'!$C$12</f>
        <v>2270.9858651591</v>
      </c>
      <c r="CG44" s="421" t="n">
        <f aca="false">'Operating Inputs'!$P27/12*'Cash Flow - Monthly'!CG$8*'Executive Summary'!$C$12</f>
        <v>2274.73658295092</v>
      </c>
      <c r="CH44" s="421" t="n">
        <f aca="false">'Operating Inputs'!$P27/12*'Cash Flow - Monthly'!CH$8*'Executive Summary'!$C$12</f>
        <v>2278.49349535811</v>
      </c>
      <c r="CI44" s="421" t="n">
        <f aca="false">'Operating Inputs'!$P27/12*'Cash Flow - Monthly'!CI$8*'Executive Summary'!$C$12</f>
        <v>2282.25661261159</v>
      </c>
      <c r="CJ44" s="421" t="n">
        <f aca="false">'Operating Inputs'!$P27/12*'Cash Flow - Monthly'!CJ$8*'Executive Summary'!$C$12</f>
        <v>2286.02594495917</v>
      </c>
      <c r="CK44" s="421" t="n">
        <f aca="false">'Operating Inputs'!$P27/12*'Cash Flow - Monthly'!CK$8*'Executive Summary'!$C$12</f>
        <v>2289.80150266557</v>
      </c>
      <c r="CL44" s="421" t="n">
        <f aca="false">'Operating Inputs'!$P27/12*'Cash Flow - Monthly'!CL$8*'Executive Summary'!$C$12</f>
        <v>2293.58329601248</v>
      </c>
      <c r="CM44" s="421" t="n">
        <f aca="false">'Operating Inputs'!$P27/12*'Cash Flow - Monthly'!CM$8*'Executive Summary'!$C$12</f>
        <v>2297.37133529857</v>
      </c>
      <c r="CN44" s="421" t="n">
        <f aca="false">'Operating Inputs'!$P27/12*'Cash Flow - Monthly'!CN$8*'Executive Summary'!$C$12</f>
        <v>2301.16563083952</v>
      </c>
      <c r="CO44" s="421" t="n">
        <f aca="false">'Operating Inputs'!$P27/12*'Cash Flow - Monthly'!CO$8*'Executive Summary'!$C$12</f>
        <v>2304.96619296803</v>
      </c>
      <c r="CP44" s="421" t="n">
        <f aca="false">'Operating Inputs'!$P27/12*'Cash Flow - Monthly'!CP$8*'Executive Summary'!$C$12</f>
        <v>2308.7730320339</v>
      </c>
      <c r="CQ44" s="421" t="n">
        <f aca="false">'Operating Inputs'!$P27/12*'Cash Flow - Monthly'!CQ$8*'Executive Summary'!$C$12</f>
        <v>2312.58615840398</v>
      </c>
      <c r="CR44" s="421" t="n">
        <f aca="false">'Operating Inputs'!$P27/12*'Cash Flow - Monthly'!CR$8*'Executive Summary'!$C$12</f>
        <v>2316.40558246228</v>
      </c>
      <c r="CS44" s="421" t="n">
        <f aca="false">'Operating Inputs'!$P27/12*'Cash Flow - Monthly'!CS$8*'Executive Summary'!$C$12</f>
        <v>2320.23131460994</v>
      </c>
      <c r="CT44" s="421" t="n">
        <f aca="false">'Operating Inputs'!$P27/12*'Cash Flow - Monthly'!CT$8*'Executive Summary'!$C$12</f>
        <v>2324.06336526528</v>
      </c>
      <c r="CU44" s="421" t="n">
        <f aca="false">'Operating Inputs'!$P27/12*'Cash Flow - Monthly'!CU$8*'Executive Summary'!$C$12</f>
        <v>2327.90174486383</v>
      </c>
      <c r="CV44" s="421" t="n">
        <f aca="false">'Operating Inputs'!$P27/12*'Cash Flow - Monthly'!CV$8*'Executive Summary'!$C$12</f>
        <v>2331.74646385835</v>
      </c>
      <c r="CW44" s="421" t="n">
        <f aca="false">'Operating Inputs'!$P27/12*'Cash Flow - Monthly'!CW$8*'Executive Summary'!$C$12</f>
        <v>2335.59753271888</v>
      </c>
      <c r="CX44" s="421" t="n">
        <f aca="false">'Operating Inputs'!$P27/12*'Cash Flow - Monthly'!CX$8*'Executive Summary'!$C$12</f>
        <v>2339.45496193273</v>
      </c>
      <c r="CY44" s="421" t="n">
        <f aca="false">'Operating Inputs'!$P27/12*'Cash Flow - Monthly'!CY$8*'Executive Summary'!$C$12</f>
        <v>2343.31876200454</v>
      </c>
      <c r="CZ44" s="421" t="n">
        <f aca="false">'Operating Inputs'!$P27/12*'Cash Flow - Monthly'!CZ$8*'Executive Summary'!$C$12</f>
        <v>2347.18894345631</v>
      </c>
      <c r="DA44" s="421" t="n">
        <f aca="false">'Operating Inputs'!$P27/12*'Cash Flow - Monthly'!DA$8*'Executive Summary'!$C$12</f>
        <v>2351.06551682739</v>
      </c>
      <c r="DB44" s="421" t="n">
        <f aca="false">'Operating Inputs'!$P27/12*'Cash Flow - Monthly'!DB$8*'Executive Summary'!$C$12</f>
        <v>2354.94849267458</v>
      </c>
      <c r="DC44" s="421" t="n">
        <f aca="false">'Operating Inputs'!$P27/12*'Cash Flow - Monthly'!DC$8*'Executive Summary'!$C$12</f>
        <v>2358.83788157206</v>
      </c>
      <c r="DD44" s="421" t="n">
        <f aca="false">'Operating Inputs'!$P27/12*'Cash Flow - Monthly'!DD$8*'Executive Summary'!$C$12</f>
        <v>2362.73369411153</v>
      </c>
      <c r="DE44" s="421" t="n">
        <f aca="false">'Operating Inputs'!$P27/12*'Cash Flow - Monthly'!DE$8*'Executive Summary'!$C$12</f>
        <v>2366.63594090214</v>
      </c>
      <c r="DF44" s="421" t="n">
        <f aca="false">'Operating Inputs'!$P27/12*'Cash Flow - Monthly'!DF$8*'Executive Summary'!$C$12</f>
        <v>2370.54463257059</v>
      </c>
      <c r="DG44" s="421" t="n">
        <f aca="false">'Operating Inputs'!$P27/12*'Cash Flow - Monthly'!DG$8*'Executive Summary'!$C$12</f>
        <v>2374.45977976111</v>
      </c>
      <c r="DH44" s="421" t="n">
        <f aca="false">'Operating Inputs'!$P27/12*'Cash Flow - Monthly'!DH$8*'Executive Summary'!$C$12</f>
        <v>2378.38139313552</v>
      </c>
      <c r="DI44" s="421" t="n">
        <f aca="false">'Operating Inputs'!$P27/12*'Cash Flow - Monthly'!DI$8*'Executive Summary'!$C$12</f>
        <v>2382.30948337326</v>
      </c>
      <c r="DJ44" s="421" t="n">
        <f aca="false">'Operating Inputs'!$P27/12*'Cash Flow - Monthly'!DJ$8*'Executive Summary'!$C$12</f>
        <v>2386.24406117138</v>
      </c>
      <c r="DK44" s="421" t="n">
        <f aca="false">'Operating Inputs'!$P27/12*'Cash Flow - Monthly'!DK$8*'Executive Summary'!$C$12</f>
        <v>2390.18513724463</v>
      </c>
      <c r="DL44" s="421" t="n">
        <f aca="false">'Operating Inputs'!$P27/12*'Cash Flow - Monthly'!DL$8*'Executive Summary'!$C$12</f>
        <v>2394.13272232543</v>
      </c>
      <c r="DM44" s="421" t="n">
        <f aca="false">'Operating Inputs'!$P27/12*'Cash Flow - Monthly'!DM$8*'Executive Summary'!$C$12</f>
        <v>2398.08682716394</v>
      </c>
      <c r="DN44" s="421" t="n">
        <f aca="false">'Operating Inputs'!$P27/12*'Cash Flow - Monthly'!DN$8*'Executive Summary'!$C$12</f>
        <v>2402.04746252807</v>
      </c>
      <c r="DO44" s="421" t="n">
        <f aca="false">'Operating Inputs'!$P27/12*'Cash Flow - Monthly'!DO$8*'Executive Summary'!$C$12</f>
        <v>2406.0146392035</v>
      </c>
      <c r="DP44" s="421" t="n">
        <f aca="false">'Operating Inputs'!$P27/12*'Cash Flow - Monthly'!DP$8*'Executive Summary'!$C$12</f>
        <v>2409.98836799376</v>
      </c>
      <c r="DQ44" s="421" t="n">
        <f aca="false">'Operating Inputs'!$P27/12*'Cash Flow - Monthly'!DQ$8*'Executive Summary'!$C$12</f>
        <v>2413.96865972018</v>
      </c>
      <c r="DR44" s="421" t="n">
        <f aca="false">'Operating Inputs'!$P27/12*'Cash Flow - Monthly'!DR$8*'Executive Summary'!$C$12</f>
        <v>2417.955525222</v>
      </c>
      <c r="DS44" s="421" t="n">
        <f aca="false">'Operating Inputs'!$P27/12*'Cash Flow - Monthly'!DS$8*'Executive Summary'!$C$12</f>
        <v>2421.94897535633</v>
      </c>
      <c r="DT44" s="421" t="n">
        <f aca="false">'Operating Inputs'!$P27/12*'Cash Flow - Monthly'!DT$8*'Executive Summary'!$C$12</f>
        <v>2425.94902099823</v>
      </c>
      <c r="DU44" s="421" t="n">
        <f aca="false">'Operating Inputs'!$P27/12*'Cash Flow - Monthly'!DU$8*'Executive Summary'!$C$12</f>
        <v>2429.95567304073</v>
      </c>
      <c r="DV44" s="421" t="n">
        <f aca="false">'Operating Inputs'!$P27/12*'Cash Flow - Monthly'!DV$8*'Executive Summary'!$C$12</f>
        <v>2433.96894239481</v>
      </c>
      <c r="DW44" s="421" t="n">
        <f aca="false">'Operating Inputs'!$P27/12*'Cash Flow - Monthly'!DW$8*'Executive Summary'!$C$12</f>
        <v>2437.98883998953</v>
      </c>
      <c r="DX44" s="421" t="n">
        <f aca="false">'Operating Inputs'!$P27/12*'Cash Flow - Monthly'!DX$8*'Executive Summary'!$C$12</f>
        <v>2442.01537677194</v>
      </c>
      <c r="DY44" s="421" t="n">
        <f aca="false">'Operating Inputs'!$P27/12*'Cash Flow - Monthly'!DY$8*'Executive Summary'!$C$12</f>
        <v>2446.04856370722</v>
      </c>
      <c r="DZ44" s="421" t="n">
        <f aca="false">'Operating Inputs'!$P27/12*'Cash Flow - Monthly'!DZ$8*'Executive Summary'!$C$12</f>
        <v>2450.08841177863</v>
      </c>
      <c r="EA44" s="421" t="n">
        <f aca="false">'Operating Inputs'!$P27/12*'Cash Flow - Monthly'!EA$8*'Executive Summary'!$C$12</f>
        <v>2454.13493198758</v>
      </c>
      <c r="EB44" s="421" t="n">
        <f aca="false">'Operating Inputs'!$P27/12*'Cash Flow - Monthly'!EB$8*'Executive Summary'!$C$12</f>
        <v>2458.18813535364</v>
      </c>
      <c r="EC44" s="421" t="n">
        <f aca="false">'Operating Inputs'!$P27/12*'Cash Flow - Monthly'!EC$8*'Executive Summary'!$C$12</f>
        <v>2462.24803291459</v>
      </c>
      <c r="ED44" s="421" t="n">
        <f aca="false">'Operating Inputs'!$P27/12*'Cash Flow - Monthly'!ED$8*'Executive Summary'!$C$12</f>
        <v>2466.31463572644</v>
      </c>
      <c r="EE44" s="421" t="n">
        <f aca="false">'Operating Inputs'!$P27/12*'Cash Flow - Monthly'!EE$8*'Executive Summary'!$C$12</f>
        <v>2470.38795486346</v>
      </c>
      <c r="EF44" s="421" t="n">
        <f aca="false">'Operating Inputs'!$P27/12*'Cash Flow - Monthly'!EF$8*'Executive Summary'!$C$12</f>
        <v>2474.4680014182</v>
      </c>
      <c r="EG44" s="421" t="n">
        <f aca="false">'Operating Inputs'!$P27/12*'Cash Flow - Monthly'!EG$8*'Executive Summary'!$C$12</f>
        <v>2478.55478650154</v>
      </c>
      <c r="EH44" s="421" t="n">
        <f aca="false">'Operating Inputs'!$P27/12*'Cash Flow - Monthly'!EH$8*'Executive Summary'!$C$12</f>
        <v>2482.64832124271</v>
      </c>
      <c r="EI44" s="472" t="n">
        <f aca="false">'Operating Inputs'!$P27/12*'Cash Flow - Monthly'!EI$8*'Executive Summary'!$C$12</f>
        <v>2486.74861678932</v>
      </c>
      <c r="EK44" s="513" t="n">
        <f aca="true">SUM(OFFSET($G44,0,EK$24*12-11,1,12))</f>
        <v>24259.2134008147</v>
      </c>
      <c r="EL44" s="421" t="n">
        <f aca="true">SUM(OFFSET($G44,0,EL$24*12-11,1,12))</f>
        <v>24744.397668831</v>
      </c>
      <c r="EM44" s="421" t="n">
        <f aca="true">SUM(OFFSET($G44,0,EM$24*12-11,1,12))</f>
        <v>25239.2856222076</v>
      </c>
      <c r="EN44" s="421" t="n">
        <f aca="true">SUM(OFFSET($G44,0,EN$24*12-11,1,12))</f>
        <v>25744.0713346518</v>
      </c>
      <c r="EO44" s="421" t="n">
        <f aca="true">SUM(OFFSET($G44,0,EO$24*12-11,1,12))</f>
        <v>26258.9527613448</v>
      </c>
      <c r="EP44" s="421" t="n">
        <f aca="true">SUM(OFFSET($G44,0,EP$24*12-11,1,12))</f>
        <v>26784.1318165717</v>
      </c>
      <c r="EQ44" s="421" t="n">
        <f aca="true">SUM(OFFSET($G44,0,EQ$24*12-11,1,12))</f>
        <v>27319.8144529032</v>
      </c>
      <c r="ER44" s="421" t="n">
        <f aca="true">SUM(OFFSET($G44,0,ER$24*12-11,1,12))</f>
        <v>27866.2107419612</v>
      </c>
      <c r="ES44" s="421" t="n">
        <f aca="true">SUM(OFFSET($G44,0,ES$24*12-11,1,12))</f>
        <v>28423.5349568005</v>
      </c>
      <c r="ET44" s="472" t="n">
        <f aca="true">SUM(OFFSET($G44,0,ET$24*12-11,1,12))</f>
        <v>28992.0056559365</v>
      </c>
    </row>
    <row r="45" s="522" customFormat="true" ht="13.5" hidden="false" customHeight="true" outlineLevel="0" collapsed="false">
      <c r="B45" s="554" t="s">
        <v>391</v>
      </c>
      <c r="C45" s="61"/>
      <c r="D45" s="421"/>
      <c r="E45" s="472" t="n">
        <f aca="true">SUM(OFFSET(G45,0,0,1,'Executive Summary'!$I$13+1))</f>
        <v>252491.8415757</v>
      </c>
      <c r="F45" s="421"/>
      <c r="G45" s="513" t="n">
        <v>0</v>
      </c>
      <c r="H45" s="421" t="n">
        <f aca="false">'Operating Inputs'!$P28/12*'Cash Flow - Monthly'!H$8*'Executive Summary'!$C$12</f>
        <v>4006.60632520768</v>
      </c>
      <c r="I45" s="421" t="n">
        <f aca="false">'Operating Inputs'!$P28/12*'Cash Flow - Monthly'!I$8*'Executive Summary'!$C$12</f>
        <v>4013.22356129855</v>
      </c>
      <c r="J45" s="421" t="n">
        <f aca="false">'Operating Inputs'!$P28/12*'Cash Flow - Monthly'!J$8*'Executive Summary'!$C$12</f>
        <v>4019.85172629282</v>
      </c>
      <c r="K45" s="421" t="n">
        <f aca="false">'Operating Inputs'!$P28/12*'Cash Flow - Monthly'!K$8*'Executive Summary'!$C$12</f>
        <v>4026.49083824045</v>
      </c>
      <c r="L45" s="421" t="n">
        <f aca="false">'Operating Inputs'!$P28/12*'Cash Flow - Monthly'!L$8*'Executive Summary'!$C$12</f>
        <v>4033.14091522124</v>
      </c>
      <c r="M45" s="421" t="n">
        <f aca="false">'Operating Inputs'!$P28/12*'Cash Flow - Monthly'!M$8*'Executive Summary'!$C$12</f>
        <v>4039.80197534483</v>
      </c>
      <c r="N45" s="421" t="n">
        <f aca="false">'Operating Inputs'!$P28/12*'Cash Flow - Monthly'!N$8*'Executive Summary'!$C$12</f>
        <v>4046.47403675077</v>
      </c>
      <c r="O45" s="421" t="n">
        <f aca="false">'Operating Inputs'!$P28/12*'Cash Flow - Monthly'!O$8*'Executive Summary'!$C$12</f>
        <v>4053.15711760858</v>
      </c>
      <c r="P45" s="421" t="n">
        <f aca="false">'Operating Inputs'!$P28/12*'Cash Flow - Monthly'!P$8*'Executive Summary'!$C$12</f>
        <v>4059.85123611776</v>
      </c>
      <c r="Q45" s="421" t="n">
        <f aca="false">'Operating Inputs'!$P28/12*'Cash Flow - Monthly'!Q$8*'Executive Summary'!$C$12</f>
        <v>4066.55641050791</v>
      </c>
      <c r="R45" s="421" t="n">
        <f aca="false">'Operating Inputs'!$P28/12*'Cash Flow - Monthly'!R$8*'Executive Summary'!$C$12</f>
        <v>4073.27265903871</v>
      </c>
      <c r="S45" s="421" t="n">
        <f aca="false">'Operating Inputs'!$P28/12*'Cash Flow - Monthly'!S$8*'Executive Summary'!$C$12</f>
        <v>4080</v>
      </c>
      <c r="T45" s="421" t="n">
        <f aca="false">'Operating Inputs'!$P28/12*'Cash Flow - Monthly'!T$8*'Executive Summary'!$C$12</f>
        <v>4086.73845171184</v>
      </c>
      <c r="U45" s="421" t="n">
        <f aca="false">'Operating Inputs'!$P28/12*'Cash Flow - Monthly'!U$8*'Executive Summary'!$C$12</f>
        <v>4093.48803252452</v>
      </c>
      <c r="V45" s="421" t="n">
        <f aca="false">'Operating Inputs'!$P28/12*'Cash Flow - Monthly'!V$8*'Executive Summary'!$C$12</f>
        <v>4100.24876081867</v>
      </c>
      <c r="W45" s="421" t="n">
        <f aca="false">'Operating Inputs'!$P28/12*'Cash Flow - Monthly'!W$8*'Executive Summary'!$C$12</f>
        <v>4107.02065500526</v>
      </c>
      <c r="X45" s="421" t="n">
        <f aca="false">'Operating Inputs'!$P28/12*'Cash Flow - Monthly'!X$8*'Executive Summary'!$C$12</f>
        <v>4113.80373352567</v>
      </c>
      <c r="Y45" s="421" t="n">
        <f aca="false">'Operating Inputs'!$P28/12*'Cash Flow - Monthly'!Y$8*'Executive Summary'!$C$12</f>
        <v>4120.59801485173</v>
      </c>
      <c r="Z45" s="421" t="n">
        <f aca="false">'Operating Inputs'!$P28/12*'Cash Flow - Monthly'!Z$8*'Executive Summary'!$C$12</f>
        <v>4127.40351748579</v>
      </c>
      <c r="AA45" s="421" t="n">
        <f aca="false">'Operating Inputs'!$P28/12*'Cash Flow - Monthly'!AA$8*'Executive Summary'!$C$12</f>
        <v>4134.22025996075</v>
      </c>
      <c r="AB45" s="421" t="n">
        <f aca="false">'Operating Inputs'!$P28/12*'Cash Flow - Monthly'!AB$8*'Executive Summary'!$C$12</f>
        <v>4141.04826084012</v>
      </c>
      <c r="AC45" s="421" t="n">
        <f aca="false">'Operating Inputs'!$P28/12*'Cash Flow - Monthly'!AC$8*'Executive Summary'!$C$12</f>
        <v>4147.88753871807</v>
      </c>
      <c r="AD45" s="421" t="n">
        <f aca="false">'Operating Inputs'!$P28/12*'Cash Flow - Monthly'!AD$8*'Executive Summary'!$C$12</f>
        <v>4154.73811221949</v>
      </c>
      <c r="AE45" s="421" t="n">
        <f aca="false">'Operating Inputs'!$P28/12*'Cash Flow - Monthly'!AE$8*'Executive Summary'!$C$12</f>
        <v>4161.6</v>
      </c>
      <c r="AF45" s="421" t="n">
        <f aca="false">'Operating Inputs'!$P28/12*'Cash Flow - Monthly'!AF$8*'Executive Summary'!$C$12</f>
        <v>4168.47322074608</v>
      </c>
      <c r="AG45" s="421" t="n">
        <f aca="false">'Operating Inputs'!$P28/12*'Cash Flow - Monthly'!AG$8*'Executive Summary'!$C$12</f>
        <v>4175.35779317501</v>
      </c>
      <c r="AH45" s="421" t="n">
        <f aca="false">'Operating Inputs'!$P28/12*'Cash Flow - Monthly'!AH$8*'Executive Summary'!$C$12</f>
        <v>4182.25373603505</v>
      </c>
      <c r="AI45" s="421" t="n">
        <f aca="false">'Operating Inputs'!$P28/12*'Cash Flow - Monthly'!AI$8*'Executive Summary'!$C$12</f>
        <v>4189.16106810537</v>
      </c>
      <c r="AJ45" s="421" t="n">
        <f aca="false">'Operating Inputs'!$P28/12*'Cash Flow - Monthly'!AJ$8*'Executive Summary'!$C$12</f>
        <v>4196.07980819619</v>
      </c>
      <c r="AK45" s="421" t="n">
        <f aca="false">'Operating Inputs'!$P28/12*'Cash Flow - Monthly'!AK$8*'Executive Summary'!$C$12</f>
        <v>4203.00997514877</v>
      </c>
      <c r="AL45" s="421" t="n">
        <f aca="false">'Operating Inputs'!$P28/12*'Cash Flow - Monthly'!AL$8*'Executive Summary'!$C$12</f>
        <v>4209.95158783551</v>
      </c>
      <c r="AM45" s="421" t="n">
        <f aca="false">'Operating Inputs'!$P28/12*'Cash Flow - Monthly'!AM$8*'Executive Summary'!$C$12</f>
        <v>4216.90466515997</v>
      </c>
      <c r="AN45" s="421" t="n">
        <f aca="false">'Operating Inputs'!$P28/12*'Cash Flow - Monthly'!AN$8*'Executive Summary'!$C$12</f>
        <v>4223.86922605692</v>
      </c>
      <c r="AO45" s="421" t="n">
        <f aca="false">'Operating Inputs'!$P28/12*'Cash Flow - Monthly'!AO$8*'Executive Summary'!$C$12</f>
        <v>4230.84528949244</v>
      </c>
      <c r="AP45" s="421" t="n">
        <f aca="false">'Operating Inputs'!$P28/12*'Cash Flow - Monthly'!AP$8*'Executive Summary'!$C$12</f>
        <v>4237.83287446388</v>
      </c>
      <c r="AQ45" s="421" t="n">
        <f aca="false">'Operating Inputs'!$P28/12*'Cash Flow - Monthly'!AQ$8*'Executive Summary'!$C$12</f>
        <v>4244.83200000001</v>
      </c>
      <c r="AR45" s="421" t="n">
        <f aca="false">'Operating Inputs'!$P28/12*'Cash Flow - Monthly'!AR$8*'Executive Summary'!$C$12</f>
        <v>4251.842685161</v>
      </c>
      <c r="AS45" s="421" t="n">
        <f aca="false">'Operating Inputs'!$P28/12*'Cash Flow - Monthly'!AS$8*'Executive Summary'!$C$12</f>
        <v>4258.86494903852</v>
      </c>
      <c r="AT45" s="421" t="n">
        <f aca="false">'Operating Inputs'!$P28/12*'Cash Flow - Monthly'!AT$8*'Executive Summary'!$C$12</f>
        <v>4265.89881075575</v>
      </c>
      <c r="AU45" s="421" t="n">
        <f aca="false">'Operating Inputs'!$P28/12*'Cash Flow - Monthly'!AU$8*'Executive Summary'!$C$12</f>
        <v>4272.94428946748</v>
      </c>
      <c r="AV45" s="421" t="n">
        <f aca="false">'Operating Inputs'!$P28/12*'Cash Flow - Monthly'!AV$8*'Executive Summary'!$C$12</f>
        <v>4280.00140436011</v>
      </c>
      <c r="AW45" s="421" t="n">
        <f aca="false">'Operating Inputs'!$P28/12*'Cash Flow - Monthly'!AW$8*'Executive Summary'!$C$12</f>
        <v>4287.07017465174</v>
      </c>
      <c r="AX45" s="421" t="n">
        <f aca="false">'Operating Inputs'!$P28/12*'Cash Flow - Monthly'!AX$8*'Executive Summary'!$C$12</f>
        <v>4294.15061959222</v>
      </c>
      <c r="AY45" s="421" t="n">
        <f aca="false">'Operating Inputs'!$P28/12*'Cash Flow - Monthly'!AY$8*'Executive Summary'!$C$12</f>
        <v>4301.24275846317</v>
      </c>
      <c r="AZ45" s="421" t="n">
        <f aca="false">'Operating Inputs'!$P28/12*'Cash Flow - Monthly'!AZ$8*'Executive Summary'!$C$12</f>
        <v>4308.34661057807</v>
      </c>
      <c r="BA45" s="421" t="n">
        <f aca="false">'Operating Inputs'!$P28/12*'Cash Flow - Monthly'!BA$8*'Executive Summary'!$C$12</f>
        <v>4315.46219528229</v>
      </c>
      <c r="BB45" s="421" t="n">
        <f aca="false">'Operating Inputs'!$P28/12*'Cash Flow - Monthly'!BB$8*'Executive Summary'!$C$12</f>
        <v>4322.58953195316</v>
      </c>
      <c r="BC45" s="421" t="n">
        <f aca="false">'Operating Inputs'!$P28/12*'Cash Flow - Monthly'!BC$8*'Executive Summary'!$C$12</f>
        <v>4329.72864000001</v>
      </c>
      <c r="BD45" s="421" t="n">
        <f aca="false">'Operating Inputs'!$P28/12*'Cash Flow - Monthly'!BD$8*'Executive Summary'!$C$12</f>
        <v>4336.87953886422</v>
      </c>
      <c r="BE45" s="421" t="n">
        <f aca="false">'Operating Inputs'!$P28/12*'Cash Flow - Monthly'!BE$8*'Executive Summary'!$C$12</f>
        <v>4344.04224801929</v>
      </c>
      <c r="BF45" s="421" t="n">
        <f aca="false">'Operating Inputs'!$P28/12*'Cash Flow - Monthly'!BF$8*'Executive Summary'!$C$12</f>
        <v>4351.21678697087</v>
      </c>
      <c r="BG45" s="421" t="n">
        <f aca="false">'Operating Inputs'!$P28/12*'Cash Flow - Monthly'!BG$8*'Executive Summary'!$C$12</f>
        <v>4358.40317525683</v>
      </c>
      <c r="BH45" s="421" t="n">
        <f aca="false">'Operating Inputs'!$P28/12*'Cash Flow - Monthly'!BH$8*'Executive Summary'!$C$12</f>
        <v>4365.60143244732</v>
      </c>
      <c r="BI45" s="421" t="n">
        <f aca="false">'Operating Inputs'!$P28/12*'Cash Flow - Monthly'!BI$8*'Executive Summary'!$C$12</f>
        <v>4372.81157814478</v>
      </c>
      <c r="BJ45" s="421" t="n">
        <f aca="false">'Operating Inputs'!$P28/12*'Cash Flow - Monthly'!BJ$8*'Executive Summary'!$C$12</f>
        <v>4380.03363198407</v>
      </c>
      <c r="BK45" s="421" t="n">
        <f aca="false">'Operating Inputs'!$P28/12*'Cash Flow - Monthly'!BK$8*'Executive Summary'!$C$12</f>
        <v>4387.26761363243</v>
      </c>
      <c r="BL45" s="421" t="n">
        <f aca="false">'Operating Inputs'!$P28/12*'Cash Flow - Monthly'!BL$8*'Executive Summary'!$C$12</f>
        <v>4394.51354278963</v>
      </c>
      <c r="BM45" s="421" t="n">
        <f aca="false">'Operating Inputs'!$P28/12*'Cash Flow - Monthly'!BM$8*'Executive Summary'!$C$12</f>
        <v>4401.77143918793</v>
      </c>
      <c r="BN45" s="421" t="n">
        <f aca="false">'Operating Inputs'!$P28/12*'Cash Flow - Monthly'!BN$8*'Executive Summary'!$C$12</f>
        <v>4409.04132259222</v>
      </c>
      <c r="BO45" s="421" t="n">
        <f aca="false">'Operating Inputs'!$P28/12*'Cash Flow - Monthly'!BO$8*'Executive Summary'!$C$12</f>
        <v>4416.32321280001</v>
      </c>
      <c r="BP45" s="421" t="n">
        <f aca="false">'Operating Inputs'!$P28/12*'Cash Flow - Monthly'!BP$8*'Executive Summary'!$C$12</f>
        <v>4423.61712964151</v>
      </c>
      <c r="BQ45" s="421" t="n">
        <f aca="false">'Operating Inputs'!$P28/12*'Cash Flow - Monthly'!BQ$8*'Executive Summary'!$C$12</f>
        <v>4430.92309297968</v>
      </c>
      <c r="BR45" s="421" t="n">
        <f aca="false">'Operating Inputs'!$P28/12*'Cash Flow - Monthly'!BR$8*'Executive Summary'!$C$12</f>
        <v>4438.24112271029</v>
      </c>
      <c r="BS45" s="421" t="n">
        <f aca="false">'Operating Inputs'!$P28/12*'Cash Flow - Monthly'!BS$8*'Executive Summary'!$C$12</f>
        <v>4445.57123876197</v>
      </c>
      <c r="BT45" s="421" t="n">
        <f aca="false">'Operating Inputs'!$P28/12*'Cash Flow - Monthly'!BT$8*'Executive Summary'!$C$12</f>
        <v>4452.91346109627</v>
      </c>
      <c r="BU45" s="421" t="n">
        <f aca="false">'Operating Inputs'!$P28/12*'Cash Flow - Monthly'!BU$8*'Executive Summary'!$C$12</f>
        <v>4460.26780970768</v>
      </c>
      <c r="BV45" s="421" t="n">
        <f aca="false">'Operating Inputs'!$P28/12*'Cash Flow - Monthly'!BV$8*'Executive Summary'!$C$12</f>
        <v>4467.63430462375</v>
      </c>
      <c r="BW45" s="421" t="n">
        <f aca="false">'Operating Inputs'!$P28/12*'Cash Flow - Monthly'!BW$8*'Executive Summary'!$C$12</f>
        <v>4475.01296590508</v>
      </c>
      <c r="BX45" s="421" t="n">
        <f aca="false">'Operating Inputs'!$P28/12*'Cash Flow - Monthly'!BX$8*'Executive Summary'!$C$12</f>
        <v>4482.40381364542</v>
      </c>
      <c r="BY45" s="421" t="n">
        <f aca="false">'Operating Inputs'!$P28/12*'Cash Flow - Monthly'!BY$8*'Executive Summary'!$C$12</f>
        <v>4489.8068679717</v>
      </c>
      <c r="BZ45" s="421" t="n">
        <f aca="false">'Operating Inputs'!$P28/12*'Cash Flow - Monthly'!BZ$8*'Executive Summary'!$C$12</f>
        <v>4497.22214904407</v>
      </c>
      <c r="CA45" s="421" t="n">
        <f aca="false">'Operating Inputs'!$P28/12*'Cash Flow - Monthly'!CA$8*'Executive Summary'!$C$12</f>
        <v>4504.64967705601</v>
      </c>
      <c r="CB45" s="421" t="n">
        <f aca="false">'Operating Inputs'!$P28/12*'Cash Flow - Monthly'!CB$8*'Executive Summary'!$C$12</f>
        <v>4512.08947223434</v>
      </c>
      <c r="CC45" s="421" t="n">
        <f aca="false">'Operating Inputs'!$P28/12*'Cash Flow - Monthly'!CC$8*'Executive Summary'!$C$12</f>
        <v>4519.54155483927</v>
      </c>
      <c r="CD45" s="421" t="n">
        <f aca="false">'Operating Inputs'!$P28/12*'Cash Flow - Monthly'!CD$8*'Executive Summary'!$C$12</f>
        <v>4527.0059451645</v>
      </c>
      <c r="CE45" s="421" t="n">
        <f aca="false">'Operating Inputs'!$P28/12*'Cash Flow - Monthly'!CE$8*'Executive Summary'!$C$12</f>
        <v>4534.48266353721</v>
      </c>
      <c r="CF45" s="421" t="n">
        <f aca="false">'Operating Inputs'!$P28/12*'Cash Flow - Monthly'!CF$8*'Executive Summary'!$C$12</f>
        <v>4541.97173031819</v>
      </c>
      <c r="CG45" s="421" t="n">
        <f aca="false">'Operating Inputs'!$P28/12*'Cash Flow - Monthly'!CG$8*'Executive Summary'!$C$12</f>
        <v>4549.47316590184</v>
      </c>
      <c r="CH45" s="421" t="n">
        <f aca="false">'Operating Inputs'!$P28/12*'Cash Flow - Monthly'!CH$8*'Executive Summary'!$C$12</f>
        <v>4556.98699071623</v>
      </c>
      <c r="CI45" s="421" t="n">
        <f aca="false">'Operating Inputs'!$P28/12*'Cash Flow - Monthly'!CI$8*'Executive Summary'!$C$12</f>
        <v>4564.51322522319</v>
      </c>
      <c r="CJ45" s="421" t="n">
        <f aca="false">'Operating Inputs'!$P28/12*'Cash Flow - Monthly'!CJ$8*'Executive Summary'!$C$12</f>
        <v>4572.05188991833</v>
      </c>
      <c r="CK45" s="421" t="n">
        <f aca="false">'Operating Inputs'!$P28/12*'Cash Flow - Monthly'!CK$8*'Executive Summary'!$C$12</f>
        <v>4579.60300533113</v>
      </c>
      <c r="CL45" s="421" t="n">
        <f aca="false">'Operating Inputs'!$P28/12*'Cash Flow - Monthly'!CL$8*'Executive Summary'!$C$12</f>
        <v>4587.16659202496</v>
      </c>
      <c r="CM45" s="421" t="n">
        <f aca="false">'Operating Inputs'!$P28/12*'Cash Flow - Monthly'!CM$8*'Executive Summary'!$C$12</f>
        <v>4594.74267059714</v>
      </c>
      <c r="CN45" s="421" t="n">
        <f aca="false">'Operating Inputs'!$P28/12*'Cash Flow - Monthly'!CN$8*'Executive Summary'!$C$12</f>
        <v>4602.33126167903</v>
      </c>
      <c r="CO45" s="421" t="n">
        <f aca="false">'Operating Inputs'!$P28/12*'Cash Flow - Monthly'!CO$8*'Executive Summary'!$C$12</f>
        <v>4609.93238593606</v>
      </c>
      <c r="CP45" s="421" t="n">
        <f aca="false">'Operating Inputs'!$P28/12*'Cash Flow - Monthly'!CP$8*'Executive Summary'!$C$12</f>
        <v>4617.54606406779</v>
      </c>
      <c r="CQ45" s="421" t="n">
        <f aca="false">'Operating Inputs'!$P28/12*'Cash Flow - Monthly'!CQ$8*'Executive Summary'!$C$12</f>
        <v>4625.17231680796</v>
      </c>
      <c r="CR45" s="421" t="n">
        <f aca="false">'Operating Inputs'!$P28/12*'Cash Flow - Monthly'!CR$8*'Executive Summary'!$C$12</f>
        <v>4632.81116492456</v>
      </c>
      <c r="CS45" s="421" t="n">
        <f aca="false">'Operating Inputs'!$P28/12*'Cash Flow - Monthly'!CS$8*'Executive Summary'!$C$12</f>
        <v>4640.46262921988</v>
      </c>
      <c r="CT45" s="421" t="n">
        <f aca="false">'Operating Inputs'!$P28/12*'Cash Flow - Monthly'!CT$8*'Executive Summary'!$C$12</f>
        <v>4648.12673053056</v>
      </c>
      <c r="CU45" s="421" t="n">
        <f aca="false">'Operating Inputs'!$P28/12*'Cash Flow - Monthly'!CU$8*'Executive Summary'!$C$12</f>
        <v>4655.80348972766</v>
      </c>
      <c r="CV45" s="421" t="n">
        <f aca="false">'Operating Inputs'!$P28/12*'Cash Flow - Monthly'!CV$8*'Executive Summary'!$C$12</f>
        <v>4663.49292771671</v>
      </c>
      <c r="CW45" s="421" t="n">
        <f aca="false">'Operating Inputs'!$P28/12*'Cash Flow - Monthly'!CW$8*'Executive Summary'!$C$12</f>
        <v>4671.19506543776</v>
      </c>
      <c r="CX45" s="421" t="n">
        <f aca="false">'Operating Inputs'!$P28/12*'Cash Flow - Monthly'!CX$8*'Executive Summary'!$C$12</f>
        <v>4678.90992386546</v>
      </c>
      <c r="CY45" s="421" t="n">
        <f aca="false">'Operating Inputs'!$P28/12*'Cash Flow - Monthly'!CY$8*'Executive Summary'!$C$12</f>
        <v>4686.63752400908</v>
      </c>
      <c r="CZ45" s="421" t="n">
        <f aca="false">'Operating Inputs'!$P28/12*'Cash Flow - Monthly'!CZ$8*'Executive Summary'!$C$12</f>
        <v>4694.37788691261</v>
      </c>
      <c r="DA45" s="421" t="n">
        <f aca="false">'Operating Inputs'!$P28/12*'Cash Flow - Monthly'!DA$8*'Executive Summary'!$C$12</f>
        <v>4702.13103365479</v>
      </c>
      <c r="DB45" s="421" t="n">
        <f aca="false">'Operating Inputs'!$P28/12*'Cash Flow - Monthly'!DB$8*'Executive Summary'!$C$12</f>
        <v>4709.89698534915</v>
      </c>
      <c r="DC45" s="421" t="n">
        <f aca="false">'Operating Inputs'!$P28/12*'Cash Flow - Monthly'!DC$8*'Executive Summary'!$C$12</f>
        <v>4717.67576314412</v>
      </c>
      <c r="DD45" s="421" t="n">
        <f aca="false">'Operating Inputs'!$P28/12*'Cash Flow - Monthly'!DD$8*'Executive Summary'!$C$12</f>
        <v>4725.46738822305</v>
      </c>
      <c r="DE45" s="421" t="n">
        <f aca="false">'Operating Inputs'!$P28/12*'Cash Flow - Monthly'!DE$8*'Executive Summary'!$C$12</f>
        <v>4733.27188180428</v>
      </c>
      <c r="DF45" s="421" t="n">
        <f aca="false">'Operating Inputs'!$P28/12*'Cash Flow - Monthly'!DF$8*'Executive Summary'!$C$12</f>
        <v>4741.08926514117</v>
      </c>
      <c r="DG45" s="421" t="n">
        <f aca="false">'Operating Inputs'!$P28/12*'Cash Flow - Monthly'!DG$8*'Executive Summary'!$C$12</f>
        <v>4748.91955952221</v>
      </c>
      <c r="DH45" s="421" t="n">
        <f aca="false">'Operating Inputs'!$P28/12*'Cash Flow - Monthly'!DH$8*'Executive Summary'!$C$12</f>
        <v>4756.76278627104</v>
      </c>
      <c r="DI45" s="421" t="n">
        <f aca="false">'Operating Inputs'!$P28/12*'Cash Flow - Monthly'!DI$8*'Executive Summary'!$C$12</f>
        <v>4764.61896674652</v>
      </c>
      <c r="DJ45" s="421" t="n">
        <f aca="false">'Operating Inputs'!$P28/12*'Cash Flow - Monthly'!DJ$8*'Executive Summary'!$C$12</f>
        <v>4772.48812234277</v>
      </c>
      <c r="DK45" s="421" t="n">
        <f aca="false">'Operating Inputs'!$P28/12*'Cash Flow - Monthly'!DK$8*'Executive Summary'!$C$12</f>
        <v>4780.37027448927</v>
      </c>
      <c r="DL45" s="421" t="n">
        <f aca="false">'Operating Inputs'!$P28/12*'Cash Flow - Monthly'!DL$8*'Executive Summary'!$C$12</f>
        <v>4788.26544465087</v>
      </c>
      <c r="DM45" s="421" t="n">
        <f aca="false">'Operating Inputs'!$P28/12*'Cash Flow - Monthly'!DM$8*'Executive Summary'!$C$12</f>
        <v>4796.17365432789</v>
      </c>
      <c r="DN45" s="421" t="n">
        <f aca="false">'Operating Inputs'!$P28/12*'Cash Flow - Monthly'!DN$8*'Executive Summary'!$C$12</f>
        <v>4804.09492505614</v>
      </c>
      <c r="DO45" s="421" t="n">
        <f aca="false">'Operating Inputs'!$P28/12*'Cash Flow - Monthly'!DO$8*'Executive Summary'!$C$12</f>
        <v>4812.02927840701</v>
      </c>
      <c r="DP45" s="421" t="n">
        <f aca="false">'Operating Inputs'!$P28/12*'Cash Flow - Monthly'!DP$8*'Executive Summary'!$C$12</f>
        <v>4819.97673598752</v>
      </c>
      <c r="DQ45" s="421" t="n">
        <f aca="false">'Operating Inputs'!$P28/12*'Cash Flow - Monthly'!DQ$8*'Executive Summary'!$C$12</f>
        <v>4827.93731944037</v>
      </c>
      <c r="DR45" s="421" t="n">
        <f aca="false">'Operating Inputs'!$P28/12*'Cash Flow - Monthly'!DR$8*'Executive Summary'!$C$12</f>
        <v>4835.911050444</v>
      </c>
      <c r="DS45" s="421" t="n">
        <f aca="false">'Operating Inputs'!$P28/12*'Cash Flow - Monthly'!DS$8*'Executive Summary'!$C$12</f>
        <v>4843.89795071266</v>
      </c>
      <c r="DT45" s="421" t="n">
        <f aca="false">'Operating Inputs'!$P28/12*'Cash Flow - Monthly'!DT$8*'Executive Summary'!$C$12</f>
        <v>4851.89804199647</v>
      </c>
      <c r="DU45" s="421" t="n">
        <f aca="false">'Operating Inputs'!$P28/12*'Cash Flow - Monthly'!DU$8*'Executive Summary'!$C$12</f>
        <v>4859.91134608145</v>
      </c>
      <c r="DV45" s="421" t="n">
        <f aca="false">'Operating Inputs'!$P28/12*'Cash Flow - Monthly'!DV$8*'Executive Summary'!$C$12</f>
        <v>4867.93788478963</v>
      </c>
      <c r="DW45" s="421" t="n">
        <f aca="false">'Operating Inputs'!$P28/12*'Cash Flow - Monthly'!DW$8*'Executive Summary'!$C$12</f>
        <v>4875.97767997906</v>
      </c>
      <c r="DX45" s="421" t="n">
        <f aca="false">'Operating Inputs'!$P28/12*'Cash Flow - Monthly'!DX$8*'Executive Summary'!$C$12</f>
        <v>4884.03075354389</v>
      </c>
      <c r="DY45" s="421" t="n">
        <f aca="false">'Operating Inputs'!$P28/12*'Cash Flow - Monthly'!DY$8*'Executive Summary'!$C$12</f>
        <v>4892.09712741445</v>
      </c>
      <c r="DZ45" s="421" t="n">
        <f aca="false">'Operating Inputs'!$P28/12*'Cash Flow - Monthly'!DZ$8*'Executive Summary'!$C$12</f>
        <v>4900.17682355726</v>
      </c>
      <c r="EA45" s="421" t="n">
        <f aca="false">'Operating Inputs'!$P28/12*'Cash Flow - Monthly'!EA$8*'Executive Summary'!$C$12</f>
        <v>4908.26986397515</v>
      </c>
      <c r="EB45" s="421" t="n">
        <f aca="false">'Operating Inputs'!$P28/12*'Cash Flow - Monthly'!EB$8*'Executive Summary'!$C$12</f>
        <v>4916.37627070727</v>
      </c>
      <c r="EC45" s="421" t="n">
        <f aca="false">'Operating Inputs'!$P28/12*'Cash Flow - Monthly'!EC$8*'Executive Summary'!$C$12</f>
        <v>4924.49606582917</v>
      </c>
      <c r="ED45" s="421" t="n">
        <f aca="false">'Operating Inputs'!$P28/12*'Cash Flow - Monthly'!ED$8*'Executive Summary'!$C$12</f>
        <v>4932.62927145288</v>
      </c>
      <c r="EE45" s="421" t="n">
        <f aca="false">'Operating Inputs'!$P28/12*'Cash Flow - Monthly'!EE$8*'Executive Summary'!$C$12</f>
        <v>4940.77590972691</v>
      </c>
      <c r="EF45" s="421" t="n">
        <f aca="false">'Operating Inputs'!$P28/12*'Cash Flow - Monthly'!EF$8*'Executive Summary'!$C$12</f>
        <v>4948.9360028364</v>
      </c>
      <c r="EG45" s="421" t="n">
        <f aca="false">'Operating Inputs'!$P28/12*'Cash Flow - Monthly'!EG$8*'Executive Summary'!$C$12</f>
        <v>4957.10957300308</v>
      </c>
      <c r="EH45" s="421" t="n">
        <f aca="false">'Operating Inputs'!$P28/12*'Cash Flow - Monthly'!EH$8*'Executive Summary'!$C$12</f>
        <v>4965.29664248542</v>
      </c>
      <c r="EI45" s="472" t="n">
        <f aca="false">'Operating Inputs'!$P28/12*'Cash Flow - Monthly'!EI$8*'Executive Summary'!$C$12</f>
        <v>4973.49723357864</v>
      </c>
      <c r="EK45" s="513" t="n">
        <f aca="true">SUM(OFFSET($G45,0,EK$24*12-11,1,12))</f>
        <v>48518.4268016293</v>
      </c>
      <c r="EL45" s="421" t="n">
        <f aca="true">SUM(OFFSET($G45,0,EL$24*12-11,1,12))</f>
        <v>49488.7953376619</v>
      </c>
      <c r="EM45" s="421" t="n">
        <f aca="true">SUM(OFFSET($G45,0,EM$24*12-11,1,12))</f>
        <v>50478.5712444152</v>
      </c>
      <c r="EN45" s="421" t="n">
        <f aca="true">SUM(OFFSET($G45,0,EN$24*12-11,1,12))</f>
        <v>51488.1426693035</v>
      </c>
      <c r="EO45" s="421" t="n">
        <f aca="true">SUM(OFFSET($G45,0,EO$24*12-11,1,12))</f>
        <v>52517.9055226896</v>
      </c>
      <c r="EP45" s="421" t="n">
        <f aca="true">SUM(OFFSET($G45,0,EP$24*12-11,1,12))</f>
        <v>53568.2636331434</v>
      </c>
      <c r="EQ45" s="421" t="n">
        <f aca="true">SUM(OFFSET($G45,0,EQ$24*12-11,1,12))</f>
        <v>54639.6289058063</v>
      </c>
      <c r="ER45" s="421" t="n">
        <f aca="true">SUM(OFFSET($G45,0,ER$24*12-11,1,12))</f>
        <v>55732.4214839225</v>
      </c>
      <c r="ES45" s="421" t="n">
        <f aca="true">SUM(OFFSET($G45,0,ES$24*12-11,1,12))</f>
        <v>56847.069913601</v>
      </c>
      <c r="ET45" s="472" t="n">
        <f aca="true">SUM(OFFSET($G45,0,ET$24*12-11,1,12))</f>
        <v>57984.011311873</v>
      </c>
    </row>
    <row r="46" s="522" customFormat="true" ht="13.5" hidden="false" customHeight="true" outlineLevel="0" collapsed="false">
      <c r="B46" s="554" t="s">
        <v>392</v>
      </c>
      <c r="C46" s="61"/>
      <c r="D46" s="421"/>
      <c r="E46" s="472" t="n">
        <f aca="true">SUM(OFFSET(G46,0,0,1,'Executive Summary'!$I$13+1))</f>
        <v>18936.8881181775</v>
      </c>
      <c r="F46" s="421"/>
      <c r="G46" s="513" t="n">
        <v>0</v>
      </c>
      <c r="H46" s="421" t="n">
        <f aca="false">'Operating Inputs'!$P29/12*'Cash Flow - Monthly'!H$8*'Executive Summary'!$C$12</f>
        <v>300.495474390576</v>
      </c>
      <c r="I46" s="421" t="n">
        <f aca="false">'Operating Inputs'!$P29/12*'Cash Flow - Monthly'!I$8*'Executive Summary'!$C$12</f>
        <v>300.991767097391</v>
      </c>
      <c r="J46" s="421" t="n">
        <f aca="false">'Operating Inputs'!$P29/12*'Cash Flow - Monthly'!J$8*'Executive Summary'!$C$12</f>
        <v>301.488879471961</v>
      </c>
      <c r="K46" s="421" t="n">
        <f aca="false">'Operating Inputs'!$P29/12*'Cash Flow - Monthly'!K$8*'Executive Summary'!$C$12</f>
        <v>301.986812868034</v>
      </c>
      <c r="L46" s="421" t="n">
        <f aca="false">'Operating Inputs'!$P29/12*'Cash Flow - Monthly'!L$8*'Executive Summary'!$C$12</f>
        <v>302.485568641593</v>
      </c>
      <c r="M46" s="421" t="n">
        <f aca="false">'Operating Inputs'!$P29/12*'Cash Flow - Monthly'!M$8*'Executive Summary'!$C$12</f>
        <v>302.985148150862</v>
      </c>
      <c r="N46" s="421" t="n">
        <f aca="false">'Operating Inputs'!$P29/12*'Cash Flow - Monthly'!N$8*'Executive Summary'!$C$12</f>
        <v>303.485552756308</v>
      </c>
      <c r="O46" s="421" t="n">
        <f aca="false">'Operating Inputs'!$P29/12*'Cash Flow - Monthly'!O$8*'Executive Summary'!$C$12</f>
        <v>303.986783820643</v>
      </c>
      <c r="P46" s="421" t="n">
        <f aca="false">'Operating Inputs'!$P29/12*'Cash Flow - Monthly'!P$8*'Executive Summary'!$C$12</f>
        <v>304.488842708832</v>
      </c>
      <c r="Q46" s="421" t="n">
        <f aca="false">'Operating Inputs'!$P29/12*'Cash Flow - Monthly'!Q$8*'Executive Summary'!$C$12</f>
        <v>304.991730788093</v>
      </c>
      <c r="R46" s="421" t="n">
        <f aca="false">'Operating Inputs'!$P29/12*'Cash Flow - Monthly'!R$8*'Executive Summary'!$C$12</f>
        <v>305.495449427903</v>
      </c>
      <c r="S46" s="421" t="n">
        <f aca="false">'Operating Inputs'!$P29/12*'Cash Flow - Monthly'!S$8*'Executive Summary'!$C$12</f>
        <v>306</v>
      </c>
      <c r="T46" s="421" t="n">
        <f aca="false">'Operating Inputs'!$P29/12*'Cash Flow - Monthly'!T$8*'Executive Summary'!$C$12</f>
        <v>306.505383878388</v>
      </c>
      <c r="U46" s="421" t="n">
        <f aca="false">'Operating Inputs'!$P29/12*'Cash Flow - Monthly'!U$8*'Executive Summary'!$C$12</f>
        <v>307.011602439339</v>
      </c>
      <c r="V46" s="421" t="n">
        <f aca="false">'Operating Inputs'!$P29/12*'Cash Flow - Monthly'!V$8*'Executive Summary'!$C$12</f>
        <v>307.518657061401</v>
      </c>
      <c r="W46" s="421" t="n">
        <f aca="false">'Operating Inputs'!$P29/12*'Cash Flow - Monthly'!W$8*'Executive Summary'!$C$12</f>
        <v>308.026549125395</v>
      </c>
      <c r="X46" s="421" t="n">
        <f aca="false">'Operating Inputs'!$P29/12*'Cash Flow - Monthly'!X$8*'Executive Summary'!$C$12</f>
        <v>308.535280014425</v>
      </c>
      <c r="Y46" s="421" t="n">
        <f aca="false">'Operating Inputs'!$P29/12*'Cash Flow - Monthly'!Y$8*'Executive Summary'!$C$12</f>
        <v>309.04485111388</v>
      </c>
      <c r="Z46" s="421" t="n">
        <f aca="false">'Operating Inputs'!$P29/12*'Cash Flow - Monthly'!Z$8*'Executive Summary'!$C$12</f>
        <v>309.555263811434</v>
      </c>
      <c r="AA46" s="421" t="n">
        <f aca="false">'Operating Inputs'!$P29/12*'Cash Flow - Monthly'!AA$8*'Executive Summary'!$C$12</f>
        <v>310.066519497056</v>
      </c>
      <c r="AB46" s="421" t="n">
        <f aca="false">'Operating Inputs'!$P29/12*'Cash Flow - Monthly'!AB$8*'Executive Summary'!$C$12</f>
        <v>310.578619563009</v>
      </c>
      <c r="AC46" s="421" t="n">
        <f aca="false">'Operating Inputs'!$P29/12*'Cash Flow - Monthly'!AC$8*'Executive Summary'!$C$12</f>
        <v>311.091565403855</v>
      </c>
      <c r="AD46" s="421" t="n">
        <f aca="false">'Operating Inputs'!$P29/12*'Cash Flow - Monthly'!AD$8*'Executive Summary'!$C$12</f>
        <v>311.605358416461</v>
      </c>
      <c r="AE46" s="421" t="n">
        <f aca="false">'Operating Inputs'!$P29/12*'Cash Flow - Monthly'!AE$8*'Executive Summary'!$C$12</f>
        <v>312.12</v>
      </c>
      <c r="AF46" s="421" t="n">
        <f aca="false">'Operating Inputs'!$P29/12*'Cash Flow - Monthly'!AF$8*'Executive Summary'!$C$12</f>
        <v>312.635491555956</v>
      </c>
      <c r="AG46" s="421" t="n">
        <f aca="false">'Operating Inputs'!$P29/12*'Cash Flow - Monthly'!AG$8*'Executive Summary'!$C$12</f>
        <v>313.151834488126</v>
      </c>
      <c r="AH46" s="421" t="n">
        <f aca="false">'Operating Inputs'!$P29/12*'Cash Flow - Monthly'!AH$8*'Executive Summary'!$C$12</f>
        <v>313.669030202629</v>
      </c>
      <c r="AI46" s="421" t="n">
        <f aca="false">'Operating Inputs'!$P29/12*'Cash Flow - Monthly'!AI$8*'Executive Summary'!$C$12</f>
        <v>314.187080107903</v>
      </c>
      <c r="AJ46" s="421" t="n">
        <f aca="false">'Operating Inputs'!$P29/12*'Cash Flow - Monthly'!AJ$8*'Executive Summary'!$C$12</f>
        <v>314.705985614714</v>
      </c>
      <c r="AK46" s="421" t="n">
        <f aca="false">'Operating Inputs'!$P29/12*'Cash Flow - Monthly'!AK$8*'Executive Summary'!$C$12</f>
        <v>315.225748136158</v>
      </c>
      <c r="AL46" s="421" t="n">
        <f aca="false">'Operating Inputs'!$P29/12*'Cash Flow - Monthly'!AL$8*'Executive Summary'!$C$12</f>
        <v>315.746369087663</v>
      </c>
      <c r="AM46" s="421" t="n">
        <f aca="false">'Operating Inputs'!$P29/12*'Cash Flow - Monthly'!AM$8*'Executive Summary'!$C$12</f>
        <v>316.267849886997</v>
      </c>
      <c r="AN46" s="421" t="n">
        <f aca="false">'Operating Inputs'!$P29/12*'Cash Flow - Monthly'!AN$8*'Executive Summary'!$C$12</f>
        <v>316.790191954269</v>
      </c>
      <c r="AO46" s="421" t="n">
        <f aca="false">'Operating Inputs'!$P29/12*'Cash Flow - Monthly'!AO$8*'Executive Summary'!$C$12</f>
        <v>317.313396711933</v>
      </c>
      <c r="AP46" s="421" t="n">
        <f aca="false">'Operating Inputs'!$P29/12*'Cash Flow - Monthly'!AP$8*'Executive Summary'!$C$12</f>
        <v>317.837465584791</v>
      </c>
      <c r="AQ46" s="421" t="n">
        <f aca="false">'Operating Inputs'!$P29/12*'Cash Flow - Monthly'!AQ$8*'Executive Summary'!$C$12</f>
        <v>318.3624</v>
      </c>
      <c r="AR46" s="421" t="n">
        <f aca="false">'Operating Inputs'!$P29/12*'Cash Flow - Monthly'!AR$8*'Executive Summary'!$C$12</f>
        <v>318.888201387075</v>
      </c>
      <c r="AS46" s="421" t="n">
        <f aca="false">'Operating Inputs'!$P29/12*'Cash Flow - Monthly'!AS$8*'Executive Summary'!$C$12</f>
        <v>319.414871177889</v>
      </c>
      <c r="AT46" s="421" t="n">
        <f aca="false">'Operating Inputs'!$P29/12*'Cash Flow - Monthly'!AT$8*'Executive Summary'!$C$12</f>
        <v>319.942410806681</v>
      </c>
      <c r="AU46" s="421" t="n">
        <f aca="false">'Operating Inputs'!$P29/12*'Cash Flow - Monthly'!AU$8*'Executive Summary'!$C$12</f>
        <v>320.470821710061</v>
      </c>
      <c r="AV46" s="421" t="n">
        <f aca="false">'Operating Inputs'!$P29/12*'Cash Flow - Monthly'!AV$8*'Executive Summary'!$C$12</f>
        <v>321.000105327008</v>
      </c>
      <c r="AW46" s="421" t="n">
        <f aca="false">'Operating Inputs'!$P29/12*'Cash Flow - Monthly'!AW$8*'Executive Summary'!$C$12</f>
        <v>321.530263098881</v>
      </c>
      <c r="AX46" s="421" t="n">
        <f aca="false">'Operating Inputs'!$P29/12*'Cash Flow - Monthly'!AX$8*'Executive Summary'!$C$12</f>
        <v>322.061296469416</v>
      </c>
      <c r="AY46" s="421" t="n">
        <f aca="false">'Operating Inputs'!$P29/12*'Cash Flow - Monthly'!AY$8*'Executive Summary'!$C$12</f>
        <v>322.593206884738</v>
      </c>
      <c r="AZ46" s="421" t="n">
        <f aca="false">'Operating Inputs'!$P29/12*'Cash Flow - Monthly'!AZ$8*'Executive Summary'!$C$12</f>
        <v>323.125995793355</v>
      </c>
      <c r="BA46" s="421" t="n">
        <f aca="false">'Operating Inputs'!$P29/12*'Cash Flow - Monthly'!BA$8*'Executive Summary'!$C$12</f>
        <v>323.659664646171</v>
      </c>
      <c r="BB46" s="421" t="n">
        <f aca="false">'Operating Inputs'!$P29/12*'Cash Flow - Monthly'!BB$8*'Executive Summary'!$C$12</f>
        <v>324.194214896487</v>
      </c>
      <c r="BC46" s="421" t="n">
        <f aca="false">'Operating Inputs'!$P29/12*'Cash Flow - Monthly'!BC$8*'Executive Summary'!$C$12</f>
        <v>324.729648000001</v>
      </c>
      <c r="BD46" s="421" t="n">
        <f aca="false">'Operating Inputs'!$P29/12*'Cash Flow - Monthly'!BD$8*'Executive Summary'!$C$12</f>
        <v>325.265965414817</v>
      </c>
      <c r="BE46" s="421" t="n">
        <f aca="false">'Operating Inputs'!$P29/12*'Cash Flow - Monthly'!BE$8*'Executive Summary'!$C$12</f>
        <v>325.803168601447</v>
      </c>
      <c r="BF46" s="421" t="n">
        <f aca="false">'Operating Inputs'!$P29/12*'Cash Flow - Monthly'!BF$8*'Executive Summary'!$C$12</f>
        <v>326.341259022815</v>
      </c>
      <c r="BG46" s="421" t="n">
        <f aca="false">'Operating Inputs'!$P29/12*'Cash Flow - Monthly'!BG$8*'Executive Summary'!$C$12</f>
        <v>326.880238144262</v>
      </c>
      <c r="BH46" s="421" t="n">
        <f aca="false">'Operating Inputs'!$P29/12*'Cash Flow - Monthly'!BH$8*'Executive Summary'!$C$12</f>
        <v>327.420107433549</v>
      </c>
      <c r="BI46" s="421" t="n">
        <f aca="false">'Operating Inputs'!$P29/12*'Cash Flow - Monthly'!BI$8*'Executive Summary'!$C$12</f>
        <v>327.960868360859</v>
      </c>
      <c r="BJ46" s="421" t="n">
        <f aca="false">'Operating Inputs'!$P29/12*'Cash Flow - Monthly'!BJ$8*'Executive Summary'!$C$12</f>
        <v>328.502522398805</v>
      </c>
      <c r="BK46" s="421" t="n">
        <f aca="false">'Operating Inputs'!$P29/12*'Cash Flow - Monthly'!BK$8*'Executive Summary'!$C$12</f>
        <v>329.045071022432</v>
      </c>
      <c r="BL46" s="421" t="n">
        <f aca="false">'Operating Inputs'!$P29/12*'Cash Flow - Monthly'!BL$8*'Executive Summary'!$C$12</f>
        <v>329.588515709222</v>
      </c>
      <c r="BM46" s="421" t="n">
        <f aca="false">'Operating Inputs'!$P29/12*'Cash Flow - Monthly'!BM$8*'Executive Summary'!$C$12</f>
        <v>330.132857939095</v>
      </c>
      <c r="BN46" s="421" t="n">
        <f aca="false">'Operating Inputs'!$P29/12*'Cash Flow - Monthly'!BN$8*'Executive Summary'!$C$12</f>
        <v>330.678099194417</v>
      </c>
      <c r="BO46" s="421" t="n">
        <f aca="false">'Operating Inputs'!$P29/12*'Cash Flow - Monthly'!BO$8*'Executive Summary'!$C$12</f>
        <v>331.224240960001</v>
      </c>
      <c r="BP46" s="421" t="n">
        <f aca="false">'Operating Inputs'!$P29/12*'Cash Flow - Monthly'!BP$8*'Executive Summary'!$C$12</f>
        <v>331.771284723113</v>
      </c>
      <c r="BQ46" s="421" t="n">
        <f aca="false">'Operating Inputs'!$P29/12*'Cash Flow - Monthly'!BQ$8*'Executive Summary'!$C$12</f>
        <v>332.319231973476</v>
      </c>
      <c r="BR46" s="421" t="n">
        <f aca="false">'Operating Inputs'!$P29/12*'Cash Flow - Monthly'!BR$8*'Executive Summary'!$C$12</f>
        <v>332.868084203272</v>
      </c>
      <c r="BS46" s="421" t="n">
        <f aca="false">'Operating Inputs'!$P29/12*'Cash Flow - Monthly'!BS$8*'Executive Summary'!$C$12</f>
        <v>333.417842907148</v>
      </c>
      <c r="BT46" s="421" t="n">
        <f aca="false">'Operating Inputs'!$P29/12*'Cash Flow - Monthly'!BT$8*'Executive Summary'!$C$12</f>
        <v>333.96850958222</v>
      </c>
      <c r="BU46" s="421" t="n">
        <f aca="false">'Operating Inputs'!$P29/12*'Cash Flow - Monthly'!BU$8*'Executive Summary'!$C$12</f>
        <v>334.520085728076</v>
      </c>
      <c r="BV46" s="421" t="n">
        <f aca="false">'Operating Inputs'!$P29/12*'Cash Flow - Monthly'!BV$8*'Executive Summary'!$C$12</f>
        <v>335.072572846781</v>
      </c>
      <c r="BW46" s="421" t="n">
        <f aca="false">'Operating Inputs'!$P29/12*'Cash Flow - Monthly'!BW$8*'Executive Summary'!$C$12</f>
        <v>335.625972442881</v>
      </c>
      <c r="BX46" s="421" t="n">
        <f aca="false">'Operating Inputs'!$P29/12*'Cash Flow - Monthly'!BX$8*'Executive Summary'!$C$12</f>
        <v>336.180286023407</v>
      </c>
      <c r="BY46" s="421" t="n">
        <f aca="false">'Operating Inputs'!$P29/12*'Cash Flow - Monthly'!BY$8*'Executive Summary'!$C$12</f>
        <v>336.735515097877</v>
      </c>
      <c r="BZ46" s="421" t="n">
        <f aca="false">'Operating Inputs'!$P29/12*'Cash Flow - Monthly'!BZ$8*'Executive Summary'!$C$12</f>
        <v>337.291661178305</v>
      </c>
      <c r="CA46" s="421" t="n">
        <f aca="false">'Operating Inputs'!$P29/12*'Cash Flow - Monthly'!CA$8*'Executive Summary'!$C$12</f>
        <v>337.848725779201</v>
      </c>
      <c r="CB46" s="421" t="n">
        <f aca="false">'Operating Inputs'!$P29/12*'Cash Flow - Monthly'!CB$8*'Executive Summary'!$C$12</f>
        <v>338.406710417576</v>
      </c>
      <c r="CC46" s="421" t="n">
        <f aca="false">'Operating Inputs'!$P29/12*'Cash Flow - Monthly'!CC$8*'Executive Summary'!$C$12</f>
        <v>338.965616612946</v>
      </c>
      <c r="CD46" s="421" t="n">
        <f aca="false">'Operating Inputs'!$P29/12*'Cash Flow - Monthly'!CD$8*'Executive Summary'!$C$12</f>
        <v>339.525445887337</v>
      </c>
      <c r="CE46" s="421" t="n">
        <f aca="false">'Operating Inputs'!$P29/12*'Cash Flow - Monthly'!CE$8*'Executive Summary'!$C$12</f>
        <v>340.086199765291</v>
      </c>
      <c r="CF46" s="421" t="n">
        <f aca="false">'Operating Inputs'!$P29/12*'Cash Flow - Monthly'!CF$8*'Executive Summary'!$C$12</f>
        <v>340.647879773865</v>
      </c>
      <c r="CG46" s="421" t="n">
        <f aca="false">'Operating Inputs'!$P29/12*'Cash Flow - Monthly'!CG$8*'Executive Summary'!$C$12</f>
        <v>341.210487442638</v>
      </c>
      <c r="CH46" s="421" t="n">
        <f aca="false">'Operating Inputs'!$P29/12*'Cash Flow - Monthly'!CH$8*'Executive Summary'!$C$12</f>
        <v>341.774024303717</v>
      </c>
      <c r="CI46" s="421" t="n">
        <f aca="false">'Operating Inputs'!$P29/12*'Cash Flow - Monthly'!CI$8*'Executive Summary'!$C$12</f>
        <v>342.338491891739</v>
      </c>
      <c r="CJ46" s="421" t="n">
        <f aca="false">'Operating Inputs'!$P29/12*'Cash Flow - Monthly'!CJ$8*'Executive Summary'!$C$12</f>
        <v>342.903891743875</v>
      </c>
      <c r="CK46" s="421" t="n">
        <f aca="false">'Operating Inputs'!$P29/12*'Cash Flow - Monthly'!CK$8*'Executive Summary'!$C$12</f>
        <v>343.470225399835</v>
      </c>
      <c r="CL46" s="421" t="n">
        <f aca="false">'Operating Inputs'!$P29/12*'Cash Flow - Monthly'!CL$8*'Executive Summary'!$C$12</f>
        <v>344.037494401872</v>
      </c>
      <c r="CM46" s="421" t="n">
        <f aca="false">'Operating Inputs'!$P29/12*'Cash Flow - Monthly'!CM$8*'Executive Summary'!$C$12</f>
        <v>344.605700294785</v>
      </c>
      <c r="CN46" s="421" t="n">
        <f aca="false">'Operating Inputs'!$P29/12*'Cash Flow - Monthly'!CN$8*'Executive Summary'!$C$12</f>
        <v>345.174844625927</v>
      </c>
      <c r="CO46" s="421" t="n">
        <f aca="false">'Operating Inputs'!$P29/12*'Cash Flow - Monthly'!CO$8*'Executive Summary'!$C$12</f>
        <v>345.744928945205</v>
      </c>
      <c r="CP46" s="421" t="n">
        <f aca="false">'Operating Inputs'!$P29/12*'Cash Flow - Monthly'!CP$8*'Executive Summary'!$C$12</f>
        <v>346.315954805084</v>
      </c>
      <c r="CQ46" s="421" t="n">
        <f aca="false">'Operating Inputs'!$P29/12*'Cash Flow - Monthly'!CQ$8*'Executive Summary'!$C$12</f>
        <v>346.887923760597</v>
      </c>
      <c r="CR46" s="421" t="n">
        <f aca="false">'Operating Inputs'!$P29/12*'Cash Flow - Monthly'!CR$8*'Executive Summary'!$C$12</f>
        <v>347.460837369342</v>
      </c>
      <c r="CS46" s="421" t="n">
        <f aca="false">'Operating Inputs'!$P29/12*'Cash Flow - Monthly'!CS$8*'Executive Summary'!$C$12</f>
        <v>348.034697191491</v>
      </c>
      <c r="CT46" s="421" t="n">
        <f aca="false">'Operating Inputs'!$P29/12*'Cash Flow - Monthly'!CT$8*'Executive Summary'!$C$12</f>
        <v>348.609504789792</v>
      </c>
      <c r="CU46" s="421" t="n">
        <f aca="false">'Operating Inputs'!$P29/12*'Cash Flow - Monthly'!CU$8*'Executive Summary'!$C$12</f>
        <v>349.185261729574</v>
      </c>
      <c r="CV46" s="421" t="n">
        <f aca="false">'Operating Inputs'!$P29/12*'Cash Flow - Monthly'!CV$8*'Executive Summary'!$C$12</f>
        <v>349.761969578753</v>
      </c>
      <c r="CW46" s="421" t="n">
        <f aca="false">'Operating Inputs'!$P29/12*'Cash Flow - Monthly'!CW$8*'Executive Summary'!$C$12</f>
        <v>350.339629907832</v>
      </c>
      <c r="CX46" s="421" t="n">
        <f aca="false">'Operating Inputs'!$P29/12*'Cash Flow - Monthly'!CX$8*'Executive Summary'!$C$12</f>
        <v>350.918244289909</v>
      </c>
      <c r="CY46" s="421" t="n">
        <f aca="false">'Operating Inputs'!$P29/12*'Cash Flow - Monthly'!CY$8*'Executive Summary'!$C$12</f>
        <v>351.497814300681</v>
      </c>
      <c r="CZ46" s="421" t="n">
        <f aca="false">'Operating Inputs'!$P29/12*'Cash Flow - Monthly'!CZ$8*'Executive Summary'!$C$12</f>
        <v>352.078341518446</v>
      </c>
      <c r="DA46" s="421" t="n">
        <f aca="false">'Operating Inputs'!$P29/12*'Cash Flow - Monthly'!DA$8*'Executive Summary'!$C$12</f>
        <v>352.659827524109</v>
      </c>
      <c r="DB46" s="421" t="n">
        <f aca="false">'Operating Inputs'!$P29/12*'Cash Flow - Monthly'!DB$8*'Executive Summary'!$C$12</f>
        <v>353.242273901186</v>
      </c>
      <c r="DC46" s="421" t="n">
        <f aca="false">'Operating Inputs'!$P29/12*'Cash Flow - Monthly'!DC$8*'Executive Summary'!$C$12</f>
        <v>353.825682235809</v>
      </c>
      <c r="DD46" s="421" t="n">
        <f aca="false">'Operating Inputs'!$P29/12*'Cash Flow - Monthly'!DD$8*'Executive Summary'!$C$12</f>
        <v>354.410054116729</v>
      </c>
      <c r="DE46" s="421" t="n">
        <f aca="false">'Operating Inputs'!$P29/12*'Cash Flow - Monthly'!DE$8*'Executive Summary'!$C$12</f>
        <v>354.995391135321</v>
      </c>
      <c r="DF46" s="421" t="n">
        <f aca="false">'Operating Inputs'!$P29/12*'Cash Flow - Monthly'!DF$8*'Executive Summary'!$C$12</f>
        <v>355.581694885588</v>
      </c>
      <c r="DG46" s="421" t="n">
        <f aca="false">'Operating Inputs'!$P29/12*'Cash Flow - Monthly'!DG$8*'Executive Summary'!$C$12</f>
        <v>356.168966964166</v>
      </c>
      <c r="DH46" s="421" t="n">
        <f aca="false">'Operating Inputs'!$P29/12*'Cash Flow - Monthly'!DH$8*'Executive Summary'!$C$12</f>
        <v>356.757208970328</v>
      </c>
      <c r="DI46" s="421" t="n">
        <f aca="false">'Operating Inputs'!$P29/12*'Cash Flow - Monthly'!DI$8*'Executive Summary'!$C$12</f>
        <v>357.346422505989</v>
      </c>
      <c r="DJ46" s="421" t="n">
        <f aca="false">'Operating Inputs'!$P29/12*'Cash Flow - Monthly'!DJ$8*'Executive Summary'!$C$12</f>
        <v>357.936609175708</v>
      </c>
      <c r="DK46" s="421" t="n">
        <f aca="false">'Operating Inputs'!$P29/12*'Cash Flow - Monthly'!DK$8*'Executive Summary'!$C$12</f>
        <v>358.527770586695</v>
      </c>
      <c r="DL46" s="421" t="n">
        <f aca="false">'Operating Inputs'!$P29/12*'Cash Flow - Monthly'!DL$8*'Executive Summary'!$C$12</f>
        <v>359.119908348815</v>
      </c>
      <c r="DM46" s="421" t="n">
        <f aca="false">'Operating Inputs'!$P29/12*'Cash Flow - Monthly'!DM$8*'Executive Summary'!$C$12</f>
        <v>359.713024074591</v>
      </c>
      <c r="DN46" s="421" t="n">
        <f aca="false">'Operating Inputs'!$P29/12*'Cash Flow - Monthly'!DN$8*'Executive Summary'!$C$12</f>
        <v>360.30711937921</v>
      </c>
      <c r="DO46" s="421" t="n">
        <f aca="false">'Operating Inputs'!$P29/12*'Cash Flow - Monthly'!DO$8*'Executive Summary'!$C$12</f>
        <v>360.902195880526</v>
      </c>
      <c r="DP46" s="421" t="n">
        <f aca="false">'Operating Inputs'!$P29/12*'Cash Flow - Monthly'!DP$8*'Executive Summary'!$C$12</f>
        <v>361.498255199064</v>
      </c>
      <c r="DQ46" s="421" t="n">
        <f aca="false">'Operating Inputs'!$P29/12*'Cash Flow - Monthly'!DQ$8*'Executive Summary'!$C$12</f>
        <v>362.095298958027</v>
      </c>
      <c r="DR46" s="421" t="n">
        <f aca="false">'Operating Inputs'!$P29/12*'Cash Flow - Monthly'!DR$8*'Executive Summary'!$C$12</f>
        <v>362.6933287833</v>
      </c>
      <c r="DS46" s="421" t="n">
        <f aca="false">'Operating Inputs'!$P29/12*'Cash Flow - Monthly'!DS$8*'Executive Summary'!$C$12</f>
        <v>363.292346303449</v>
      </c>
      <c r="DT46" s="421" t="n">
        <f aca="false">'Operating Inputs'!$P29/12*'Cash Flow - Monthly'!DT$8*'Executive Summary'!$C$12</f>
        <v>363.892353149735</v>
      </c>
      <c r="DU46" s="421" t="n">
        <f aca="false">'Operating Inputs'!$P29/12*'Cash Flow - Monthly'!DU$8*'Executive Summary'!$C$12</f>
        <v>364.493350956109</v>
      </c>
      <c r="DV46" s="421" t="n">
        <f aca="false">'Operating Inputs'!$P29/12*'Cash Flow - Monthly'!DV$8*'Executive Summary'!$C$12</f>
        <v>365.095341359222</v>
      </c>
      <c r="DW46" s="421" t="n">
        <f aca="false">'Operating Inputs'!$P29/12*'Cash Flow - Monthly'!DW$8*'Executive Summary'!$C$12</f>
        <v>365.698325998429</v>
      </c>
      <c r="DX46" s="421" t="n">
        <f aca="false">'Operating Inputs'!$P29/12*'Cash Flow - Monthly'!DX$8*'Executive Summary'!$C$12</f>
        <v>366.302306515792</v>
      </c>
      <c r="DY46" s="421" t="n">
        <f aca="false">'Operating Inputs'!$P29/12*'Cash Flow - Monthly'!DY$8*'Executive Summary'!$C$12</f>
        <v>366.907284556083</v>
      </c>
      <c r="DZ46" s="421" t="n">
        <f aca="false">'Operating Inputs'!$P29/12*'Cash Flow - Monthly'!DZ$8*'Executive Summary'!$C$12</f>
        <v>367.513261766794</v>
      </c>
      <c r="EA46" s="421" t="n">
        <f aca="false">'Operating Inputs'!$P29/12*'Cash Flow - Monthly'!EA$8*'Executive Summary'!$C$12</f>
        <v>368.120239798136</v>
      </c>
      <c r="EB46" s="421" t="n">
        <f aca="false">'Operating Inputs'!$P29/12*'Cash Flow - Monthly'!EB$8*'Executive Summary'!$C$12</f>
        <v>368.728220303045</v>
      </c>
      <c r="EC46" s="421" t="n">
        <f aca="false">'Operating Inputs'!$P29/12*'Cash Flow - Monthly'!EC$8*'Executive Summary'!$C$12</f>
        <v>369.337204937188</v>
      </c>
      <c r="ED46" s="421" t="n">
        <f aca="false">'Operating Inputs'!$P29/12*'Cash Flow - Monthly'!ED$8*'Executive Summary'!$C$12</f>
        <v>369.947195358966</v>
      </c>
      <c r="EE46" s="421" t="n">
        <f aca="false">'Operating Inputs'!$P29/12*'Cash Flow - Monthly'!EE$8*'Executive Summary'!$C$12</f>
        <v>370.558193229518</v>
      </c>
      <c r="EF46" s="421" t="n">
        <f aca="false">'Operating Inputs'!$P29/12*'Cash Flow - Monthly'!EF$8*'Executive Summary'!$C$12</f>
        <v>371.17020021273</v>
      </c>
      <c r="EG46" s="421" t="n">
        <f aca="false">'Operating Inputs'!$P29/12*'Cash Flow - Monthly'!EG$8*'Executive Summary'!$C$12</f>
        <v>371.783217975231</v>
      </c>
      <c r="EH46" s="421" t="n">
        <f aca="false">'Operating Inputs'!$P29/12*'Cash Flow - Monthly'!EH$8*'Executive Summary'!$C$12</f>
        <v>372.397248186407</v>
      </c>
      <c r="EI46" s="472" t="n">
        <f aca="false">'Operating Inputs'!$P29/12*'Cash Flow - Monthly'!EI$8*'Executive Summary'!$C$12</f>
        <v>373.012292518398</v>
      </c>
      <c r="EK46" s="513" t="n">
        <f aca="true">SUM(OFFSET($G46,0,EK$24*12-11,1,12))</f>
        <v>3638.8820101222</v>
      </c>
      <c r="EL46" s="421" t="n">
        <f aca="true">SUM(OFFSET($G46,0,EL$24*12-11,1,12))</f>
        <v>3711.65965032464</v>
      </c>
      <c r="EM46" s="421" t="n">
        <f aca="true">SUM(OFFSET($G46,0,EM$24*12-11,1,12))</f>
        <v>3785.89284333114</v>
      </c>
      <c r="EN46" s="421" t="n">
        <f aca="true">SUM(OFFSET($G46,0,EN$24*12-11,1,12))</f>
        <v>3861.61070019776</v>
      </c>
      <c r="EO46" s="421" t="n">
        <f aca="true">SUM(OFFSET($G46,0,EO$24*12-11,1,12))</f>
        <v>3938.84291420172</v>
      </c>
      <c r="EP46" s="421" t="n">
        <f aca="true">SUM(OFFSET($G46,0,EP$24*12-11,1,12))</f>
        <v>4017.61977248576</v>
      </c>
      <c r="EQ46" s="421" t="n">
        <f aca="true">SUM(OFFSET($G46,0,EQ$24*12-11,1,12))</f>
        <v>4097.97216793547</v>
      </c>
      <c r="ER46" s="421" t="n">
        <f aca="true">SUM(OFFSET($G46,0,ER$24*12-11,1,12))</f>
        <v>4179.93161129419</v>
      </c>
      <c r="ES46" s="421" t="n">
        <f aca="true">SUM(OFFSET($G46,0,ES$24*12-11,1,12))</f>
        <v>4263.53024352007</v>
      </c>
      <c r="ET46" s="472" t="n">
        <f aca="true">SUM(OFFSET($G46,0,ET$24*12-11,1,12))</f>
        <v>4348.80084839048</v>
      </c>
    </row>
    <row r="47" s="550" customFormat="true" ht="13.5" hidden="false" customHeight="true" outlineLevel="0" collapsed="false">
      <c r="B47" s="543" t="s">
        <v>393</v>
      </c>
      <c r="C47" s="552"/>
      <c r="D47" s="473"/>
      <c r="E47" s="553" t="n">
        <f aca="true">SUM(OFFSET(G47,0,0,1,'Executive Summary'!$I$13+1))</f>
        <v>1249834.61579971</v>
      </c>
      <c r="F47" s="473"/>
      <c r="G47" s="543" t="n">
        <f aca="false">SUM(G41:G46)</f>
        <v>0</v>
      </c>
      <c r="H47" s="473" t="n">
        <f aca="false">SUM(H41:H46)</f>
        <v>19832.701309778</v>
      </c>
      <c r="I47" s="473" t="n">
        <f aca="false">SUM(I41:I46)</f>
        <v>19865.4566284278</v>
      </c>
      <c r="J47" s="473" t="n">
        <f aca="false">SUM(J41:J46)</f>
        <v>19898.2660451494</v>
      </c>
      <c r="K47" s="473" t="n">
        <f aca="false">SUM(K41:K46)</f>
        <v>19931.1296492902</v>
      </c>
      <c r="L47" s="473" t="n">
        <f aca="false">SUM(L41:L46)</f>
        <v>19964.0475303452</v>
      </c>
      <c r="M47" s="473" t="n">
        <f aca="false">SUM(M41:M46)</f>
        <v>19997.0197779569</v>
      </c>
      <c r="N47" s="473" t="n">
        <f aca="false">SUM(N41:N46)</f>
        <v>20030.0464819163</v>
      </c>
      <c r="O47" s="473" t="n">
        <f aca="false">SUM(O41:O46)</f>
        <v>20063.1277321624</v>
      </c>
      <c r="P47" s="473" t="n">
        <f aca="false">SUM(P41:P46)</f>
        <v>20096.2636187829</v>
      </c>
      <c r="Q47" s="473" t="n">
        <f aca="false">SUM(Q41:Q46)</f>
        <v>20129.4542320142</v>
      </c>
      <c r="R47" s="473" t="n">
        <f aca="false">SUM(R41:R46)</f>
        <v>20162.6996622416</v>
      </c>
      <c r="S47" s="473" t="n">
        <f aca="false">SUM(S41:S46)</f>
        <v>20196</v>
      </c>
      <c r="T47" s="473" t="n">
        <f aca="false">SUM(T41:T46)</f>
        <v>20229.3553359736</v>
      </c>
      <c r="U47" s="473" t="n">
        <f aca="false">SUM(U41:U46)</f>
        <v>20262.7657609964</v>
      </c>
      <c r="V47" s="473" t="n">
        <f aca="false">SUM(V41:V46)</f>
        <v>20296.2313660524</v>
      </c>
      <c r="W47" s="473" t="n">
        <f aca="false">SUM(W41:W46)</f>
        <v>20329.7522422761</v>
      </c>
      <c r="X47" s="473" t="n">
        <f aca="false">SUM(X41:X46)</f>
        <v>20363.3284809521</v>
      </c>
      <c r="Y47" s="473" t="n">
        <f aca="false">SUM(Y41:Y46)</f>
        <v>20396.9601735161</v>
      </c>
      <c r="Z47" s="473" t="n">
        <f aca="false">SUM(Z41:Z46)</f>
        <v>20430.6474115547</v>
      </c>
      <c r="AA47" s="473" t="n">
        <f aca="false">SUM(AA41:AA46)</f>
        <v>20464.3902868057</v>
      </c>
      <c r="AB47" s="473" t="n">
        <f aca="false">SUM(AB41:AB46)</f>
        <v>20498.1888911586</v>
      </c>
      <c r="AC47" s="473" t="n">
        <f aca="false">SUM(AC41:AC46)</f>
        <v>20532.0433166545</v>
      </c>
      <c r="AD47" s="473" t="n">
        <f aca="false">SUM(AD41:AD46)</f>
        <v>20565.9536554865</v>
      </c>
      <c r="AE47" s="473" t="n">
        <f aca="false">SUM(AE41:AE46)</f>
        <v>20599.92</v>
      </c>
      <c r="AF47" s="473" t="n">
        <f aca="false">SUM(AF41:AF46)</f>
        <v>20633.9424426931</v>
      </c>
      <c r="AG47" s="473" t="n">
        <f aca="false">SUM(AG41:AG46)</f>
        <v>20668.0210762163</v>
      </c>
      <c r="AH47" s="473" t="n">
        <f aca="false">SUM(AH41:AH46)</f>
        <v>20702.1559933735</v>
      </c>
      <c r="AI47" s="473" t="n">
        <f aca="false">SUM(AI41:AI46)</f>
        <v>20736.3472871216</v>
      </c>
      <c r="AJ47" s="473" t="n">
        <f aca="false">SUM(AJ41:AJ46)</f>
        <v>20770.5950505711</v>
      </c>
      <c r="AK47" s="473" t="n">
        <f aca="false">SUM(AK41:AK46)</f>
        <v>20804.8993769864</v>
      </c>
      <c r="AL47" s="473" t="n">
        <f aca="false">SUM(AL41:AL46)</f>
        <v>20839.2603597858</v>
      </c>
      <c r="AM47" s="473" t="n">
        <f aca="false">SUM(AM41:AM46)</f>
        <v>20873.6780925418</v>
      </c>
      <c r="AN47" s="473" t="n">
        <f aca="false">SUM(AN41:AN46)</f>
        <v>20908.1526689818</v>
      </c>
      <c r="AO47" s="473" t="n">
        <f aca="false">SUM(AO41:AO46)</f>
        <v>20942.6841829876</v>
      </c>
      <c r="AP47" s="473" t="n">
        <f aca="false">SUM(AP41:AP46)</f>
        <v>20977.2727285962</v>
      </c>
      <c r="AQ47" s="473" t="n">
        <f aca="false">SUM(AQ41:AQ46)</f>
        <v>21011.9184</v>
      </c>
      <c r="AR47" s="473" t="n">
        <f aca="false">SUM(AR41:AR46)</f>
        <v>21046.6212915469</v>
      </c>
      <c r="AS47" s="473" t="n">
        <f aca="false">SUM(AS41:AS46)</f>
        <v>21081.3814977407</v>
      </c>
      <c r="AT47" s="473" t="n">
        <f aca="false">SUM(AT41:AT46)</f>
        <v>21116.199113241</v>
      </c>
      <c r="AU47" s="473" t="n">
        <f aca="false">SUM(AU41:AU46)</f>
        <v>21151.074232864</v>
      </c>
      <c r="AV47" s="473" t="n">
        <f aca="false">SUM(AV41:AV46)</f>
        <v>21186.0069515826</v>
      </c>
      <c r="AW47" s="473" t="n">
        <f aca="false">SUM(AW41:AW46)</f>
        <v>21220.9973645261</v>
      </c>
      <c r="AX47" s="473" t="n">
        <f aca="false">SUM(AX41:AX46)</f>
        <v>21256.0455669815</v>
      </c>
      <c r="AY47" s="473" t="n">
        <f aca="false">SUM(AY41:AY46)</f>
        <v>21291.1516543927</v>
      </c>
      <c r="AZ47" s="473" t="n">
        <f aca="false">SUM(AZ41:AZ46)</f>
        <v>21326.3157223614</v>
      </c>
      <c r="BA47" s="473" t="n">
        <f aca="false">SUM(BA41:BA46)</f>
        <v>21361.5378666473</v>
      </c>
      <c r="BB47" s="473" t="n">
        <f aca="false">SUM(BB41:BB46)</f>
        <v>21396.8181831681</v>
      </c>
      <c r="BC47" s="473" t="n">
        <f aca="false">SUM(BC41:BC46)</f>
        <v>21432.156768</v>
      </c>
      <c r="BD47" s="473" t="n">
        <f aca="false">SUM(BD41:BD46)</f>
        <v>21467.5537173779</v>
      </c>
      <c r="BE47" s="473" t="n">
        <f aca="false">SUM(BE41:BE46)</f>
        <v>21503.0091276955</v>
      </c>
      <c r="BF47" s="473" t="n">
        <f aca="false">SUM(BF41:BF46)</f>
        <v>21538.5230955058</v>
      </c>
      <c r="BG47" s="473" t="n">
        <f aca="false">SUM(BG41:BG46)</f>
        <v>21574.0957175213</v>
      </c>
      <c r="BH47" s="473" t="n">
        <f aca="false">SUM(BH41:BH46)</f>
        <v>21609.7270906142</v>
      </c>
      <c r="BI47" s="473" t="n">
        <f aca="false">SUM(BI41:BI46)</f>
        <v>21645.4173118167</v>
      </c>
      <c r="BJ47" s="473" t="n">
        <f aca="false">SUM(BJ41:BJ46)</f>
        <v>21681.1664783211</v>
      </c>
      <c r="BK47" s="473" t="n">
        <f aca="false">SUM(BK41:BK46)</f>
        <v>21716.9746874805</v>
      </c>
      <c r="BL47" s="473" t="n">
        <f aca="false">SUM(BL41:BL46)</f>
        <v>21752.8420368087</v>
      </c>
      <c r="BM47" s="473" t="n">
        <f aca="false">SUM(BM41:BM46)</f>
        <v>21788.7686239803</v>
      </c>
      <c r="BN47" s="473" t="n">
        <f aca="false">SUM(BN41:BN46)</f>
        <v>21824.7545468315</v>
      </c>
      <c r="BO47" s="473" t="n">
        <f aca="false">SUM(BO41:BO46)</f>
        <v>21860.7999033601</v>
      </c>
      <c r="BP47" s="473" t="n">
        <f aca="false">SUM(BP41:BP46)</f>
        <v>21896.9047917255</v>
      </c>
      <c r="BQ47" s="473" t="n">
        <f aca="false">SUM(BQ41:BQ46)</f>
        <v>21933.0693102494</v>
      </c>
      <c r="BR47" s="473" t="n">
        <f aca="false">SUM(BR41:BR46)</f>
        <v>21969.2935574159</v>
      </c>
      <c r="BS47" s="473" t="n">
        <f aca="false">SUM(BS41:BS46)</f>
        <v>22005.5776318718</v>
      </c>
      <c r="BT47" s="473" t="n">
        <f aca="false">SUM(BT41:BT46)</f>
        <v>22041.9216324265</v>
      </c>
      <c r="BU47" s="473" t="n">
        <f aca="false">SUM(BU41:BU46)</f>
        <v>22078.325658053</v>
      </c>
      <c r="BV47" s="473" t="n">
        <f aca="false">SUM(BV41:BV46)</f>
        <v>22114.7898078876</v>
      </c>
      <c r="BW47" s="473" t="n">
        <f aca="false">SUM(BW41:BW46)</f>
        <v>22151.3141812302</v>
      </c>
      <c r="BX47" s="473" t="n">
        <f aca="false">SUM(BX41:BX46)</f>
        <v>22187.8988775448</v>
      </c>
      <c r="BY47" s="473" t="n">
        <f aca="false">SUM(BY41:BY46)</f>
        <v>22224.5439964599</v>
      </c>
      <c r="BZ47" s="473" t="n">
        <f aca="false">SUM(BZ41:BZ46)</f>
        <v>22261.2496377682</v>
      </c>
      <c r="CA47" s="473" t="n">
        <f aca="false">SUM(CA41:CA46)</f>
        <v>22298.0159014273</v>
      </c>
      <c r="CB47" s="473" t="n">
        <f aca="false">SUM(CB41:CB46)</f>
        <v>22334.84288756</v>
      </c>
      <c r="CC47" s="473" t="n">
        <f aca="false">SUM(CC41:CC46)</f>
        <v>22371.7306964544</v>
      </c>
      <c r="CD47" s="473" t="n">
        <f aca="false">SUM(CD41:CD46)</f>
        <v>22408.6794285643</v>
      </c>
      <c r="CE47" s="473" t="n">
        <f aca="false">SUM(CE41:CE46)</f>
        <v>22445.6891845092</v>
      </c>
      <c r="CF47" s="473" t="n">
        <f aca="false">SUM(CF41:CF46)</f>
        <v>22482.7600650751</v>
      </c>
      <c r="CG47" s="473" t="n">
        <f aca="false">SUM(CG41:CG46)</f>
        <v>22519.8921712141</v>
      </c>
      <c r="CH47" s="473" t="n">
        <f aca="false">SUM(CH41:CH46)</f>
        <v>22557.0856040453</v>
      </c>
      <c r="CI47" s="473" t="n">
        <f aca="false">SUM(CI41:CI46)</f>
        <v>22594.3404648548</v>
      </c>
      <c r="CJ47" s="473" t="n">
        <f aca="false">SUM(CJ41:CJ46)</f>
        <v>22631.6568550958</v>
      </c>
      <c r="CK47" s="473" t="n">
        <f aca="false">SUM(CK41:CK46)</f>
        <v>22669.0348763891</v>
      </c>
      <c r="CL47" s="473" t="n">
        <f aca="false">SUM(CL41:CL46)</f>
        <v>22706.4746305235</v>
      </c>
      <c r="CM47" s="473" t="n">
        <f aca="false">SUM(CM41:CM46)</f>
        <v>22743.9762194558</v>
      </c>
      <c r="CN47" s="473" t="n">
        <f aca="false">SUM(CN41:CN46)</f>
        <v>22781.5397453112</v>
      </c>
      <c r="CO47" s="473" t="n">
        <f aca="false">SUM(CO41:CO46)</f>
        <v>22819.1653103835</v>
      </c>
      <c r="CP47" s="473" t="n">
        <f aca="false">SUM(CP41:CP46)</f>
        <v>22856.8530171356</v>
      </c>
      <c r="CQ47" s="473" t="n">
        <f aca="false">SUM(CQ41:CQ46)</f>
        <v>22894.6029681994</v>
      </c>
      <c r="CR47" s="473" t="n">
        <f aca="false">SUM(CR41:CR46)</f>
        <v>22932.4152663766</v>
      </c>
      <c r="CS47" s="473" t="n">
        <f aca="false">SUM(CS41:CS46)</f>
        <v>22970.2900146384</v>
      </c>
      <c r="CT47" s="473" t="n">
        <f aca="false">SUM(CT41:CT46)</f>
        <v>23008.2273161263</v>
      </c>
      <c r="CU47" s="473" t="n">
        <f aca="false">SUM(CU41:CU46)</f>
        <v>23046.2272741519</v>
      </c>
      <c r="CV47" s="473" t="n">
        <f aca="false">SUM(CV41:CV46)</f>
        <v>23084.2899921977</v>
      </c>
      <c r="CW47" s="473" t="n">
        <f aca="false">SUM(CW41:CW46)</f>
        <v>23122.4155739169</v>
      </c>
      <c r="CX47" s="473" t="n">
        <f aca="false">SUM(CX41:CX46)</f>
        <v>23160.604123134</v>
      </c>
      <c r="CY47" s="473" t="n">
        <f aca="false">SUM(CY41:CY46)</f>
        <v>23198.855743845</v>
      </c>
      <c r="CZ47" s="473" t="n">
        <f aca="false">SUM(CZ41:CZ46)</f>
        <v>23237.1705402174</v>
      </c>
      <c r="DA47" s="473" t="n">
        <f aca="false">SUM(DA41:DA46)</f>
        <v>23275.5486165912</v>
      </c>
      <c r="DB47" s="473" t="n">
        <f aca="false">SUM(DB41:DB46)</f>
        <v>23313.9900774783</v>
      </c>
      <c r="DC47" s="473" t="n">
        <f aca="false">SUM(DC41:DC46)</f>
        <v>23352.4950275634</v>
      </c>
      <c r="DD47" s="473" t="n">
        <f aca="false">SUM(DD41:DD46)</f>
        <v>23391.0635717041</v>
      </c>
      <c r="DE47" s="473" t="n">
        <f aca="false">SUM(DE41:DE46)</f>
        <v>23429.6958149312</v>
      </c>
      <c r="DF47" s="473" t="n">
        <f aca="false">SUM(DF41:DF46)</f>
        <v>23468.3918624488</v>
      </c>
      <c r="DG47" s="473" t="n">
        <f aca="false">SUM(DG41:DG46)</f>
        <v>23507.151819635</v>
      </c>
      <c r="DH47" s="473" t="n">
        <f aca="false">SUM(DH41:DH46)</f>
        <v>23545.9757920417</v>
      </c>
      <c r="DI47" s="473" t="n">
        <f aca="false">SUM(DI41:DI46)</f>
        <v>23584.8638853953</v>
      </c>
      <c r="DJ47" s="473" t="n">
        <f aca="false">SUM(DJ41:DJ46)</f>
        <v>23623.8162055967</v>
      </c>
      <c r="DK47" s="473" t="n">
        <f aca="false">SUM(DK41:DK46)</f>
        <v>23662.8328587219</v>
      </c>
      <c r="DL47" s="473" t="n">
        <f aca="false">SUM(DL41:DL46)</f>
        <v>23701.9139510218</v>
      </c>
      <c r="DM47" s="473" t="n">
        <f aca="false">SUM(DM41:DM46)</f>
        <v>23741.059588923</v>
      </c>
      <c r="DN47" s="473" t="n">
        <f aca="false">SUM(DN41:DN46)</f>
        <v>23780.2698790279</v>
      </c>
      <c r="DO47" s="473" t="n">
        <f aca="false">SUM(DO41:DO46)</f>
        <v>23819.5449281147</v>
      </c>
      <c r="DP47" s="473" t="n">
        <f aca="false">SUM(DP41:DP46)</f>
        <v>23858.8848431382</v>
      </c>
      <c r="DQ47" s="473" t="n">
        <f aca="false">SUM(DQ41:DQ46)</f>
        <v>23898.2897312298</v>
      </c>
      <c r="DR47" s="473" t="n">
        <f aca="false">SUM(DR41:DR46)</f>
        <v>23937.7596996978</v>
      </c>
      <c r="DS47" s="473" t="n">
        <f aca="false">SUM(DS41:DS46)</f>
        <v>23977.2948560277</v>
      </c>
      <c r="DT47" s="473" t="n">
        <f aca="false">SUM(DT41:DT46)</f>
        <v>24016.8953078825</v>
      </c>
      <c r="DU47" s="473" t="n">
        <f aca="false">SUM(DU41:DU46)</f>
        <v>24056.5611631032</v>
      </c>
      <c r="DV47" s="473" t="n">
        <f aca="false">SUM(DV41:DV46)</f>
        <v>24096.2925297087</v>
      </c>
      <c r="DW47" s="473" t="n">
        <f aca="false">SUM(DW41:DW46)</f>
        <v>24136.0895158963</v>
      </c>
      <c r="DX47" s="473" t="n">
        <f aca="false">SUM(DX41:DX46)</f>
        <v>24175.9522300422</v>
      </c>
      <c r="DY47" s="473" t="n">
        <f aca="false">SUM(DY41:DY46)</f>
        <v>24215.8807807015</v>
      </c>
      <c r="DZ47" s="473" t="n">
        <f aca="false">SUM(DZ41:DZ46)</f>
        <v>24255.8752766084</v>
      </c>
      <c r="EA47" s="473" t="n">
        <f aca="false">SUM(EA41:EA46)</f>
        <v>24295.935826677</v>
      </c>
      <c r="EB47" s="473" t="n">
        <f aca="false">SUM(EB41:EB46)</f>
        <v>24336.062540001</v>
      </c>
      <c r="EC47" s="473" t="n">
        <f aca="false">SUM(EC41:EC46)</f>
        <v>24376.2555258544</v>
      </c>
      <c r="ED47" s="473" t="n">
        <f aca="false">SUM(ED41:ED46)</f>
        <v>24416.5148936917</v>
      </c>
      <c r="EE47" s="473" t="n">
        <f aca="false">SUM(EE41:EE46)</f>
        <v>24456.8407531482</v>
      </c>
      <c r="EF47" s="473" t="n">
        <f aca="false">SUM(EF41:EF46)</f>
        <v>24497.2332140402</v>
      </c>
      <c r="EG47" s="473" t="n">
        <f aca="false">SUM(EG41:EG46)</f>
        <v>24537.6923863653</v>
      </c>
      <c r="EH47" s="473" t="n">
        <f aca="false">SUM(EH41:EH46)</f>
        <v>24578.2183803028</v>
      </c>
      <c r="EI47" s="553" t="n">
        <f aca="false">SUM(EI41:EI46)</f>
        <v>24618.8113062143</v>
      </c>
      <c r="EK47" s="543" t="n">
        <f aca="true">SUM(OFFSET($G47,0,EK$24*12-11,1,12))</f>
        <v>240166.212668065</v>
      </c>
      <c r="EL47" s="473" t="n">
        <f aca="true">SUM(OFFSET($G47,0,EL$24*12-11,1,12))</f>
        <v>244969.536921426</v>
      </c>
      <c r="EM47" s="473" t="n">
        <f aca="true">SUM(OFFSET($G47,0,EM$24*12-11,1,12))</f>
        <v>249868.927659855</v>
      </c>
      <c r="EN47" s="473" t="n">
        <f aca="true">SUM(OFFSET($G47,0,EN$24*12-11,1,12))</f>
        <v>254866.306213052</v>
      </c>
      <c r="EO47" s="473" t="n">
        <f aca="true">SUM(OFFSET($G47,0,EO$24*12-11,1,12))</f>
        <v>259963.632337314</v>
      </c>
      <c r="EP47" s="473" t="n">
        <f aca="true">SUM(OFFSET($G47,0,EP$24*12-11,1,12))</f>
        <v>265162.90498406</v>
      </c>
      <c r="EQ47" s="473" t="n">
        <f aca="true">SUM(OFFSET($G47,0,EQ$24*12-11,1,12))</f>
        <v>270466.163083741</v>
      </c>
      <c r="ER47" s="473" t="n">
        <f aca="true">SUM(OFFSET($G47,0,ER$24*12-11,1,12))</f>
        <v>275875.486345416</v>
      </c>
      <c r="ES47" s="473" t="n">
        <f aca="true">SUM(OFFSET($G47,0,ES$24*12-11,1,12))</f>
        <v>281392.996072325</v>
      </c>
      <c r="ET47" s="553" t="n">
        <f aca="true">SUM(OFFSET($G47,0,ET$24*12-11,1,12))</f>
        <v>287020.855993772</v>
      </c>
    </row>
    <row r="48" s="522" customFormat="true" ht="13.5" hidden="false" customHeight="true" outlineLevel="0" collapsed="false">
      <c r="B48" s="543" t="s">
        <v>394</v>
      </c>
      <c r="C48" s="61"/>
      <c r="D48" s="421"/>
      <c r="E48" s="472"/>
      <c r="F48" s="421"/>
      <c r="G48" s="513"/>
      <c r="H48" s="421"/>
      <c r="I48" s="421"/>
      <c r="J48" s="421"/>
      <c r="K48" s="421"/>
      <c r="L48" s="421"/>
      <c r="M48" s="421"/>
      <c r="N48" s="421"/>
      <c r="O48" s="421"/>
      <c r="P48" s="421"/>
      <c r="Q48" s="421"/>
      <c r="R48" s="421"/>
      <c r="S48" s="421"/>
      <c r="T48" s="421"/>
      <c r="U48" s="421"/>
      <c r="V48" s="421"/>
      <c r="W48" s="421"/>
      <c r="X48" s="421"/>
      <c r="Y48" s="421"/>
      <c r="Z48" s="421"/>
      <c r="AA48" s="421"/>
      <c r="AB48" s="421"/>
      <c r="AC48" s="421"/>
      <c r="AD48" s="421"/>
      <c r="AE48" s="421"/>
      <c r="AF48" s="421"/>
      <c r="AG48" s="421"/>
      <c r="AH48" s="421"/>
      <c r="AI48" s="421"/>
      <c r="AJ48" s="421"/>
      <c r="AK48" s="421"/>
      <c r="AL48" s="421"/>
      <c r="AM48" s="421"/>
      <c r="AN48" s="421"/>
      <c r="AO48" s="421"/>
      <c r="AP48" s="421"/>
      <c r="AQ48" s="421"/>
      <c r="AR48" s="421"/>
      <c r="AS48" s="421"/>
      <c r="AT48" s="421"/>
      <c r="AU48" s="421"/>
      <c r="AV48" s="421"/>
      <c r="AW48" s="421"/>
      <c r="AX48" s="421"/>
      <c r="AY48" s="421"/>
      <c r="AZ48" s="421"/>
      <c r="BA48" s="421"/>
      <c r="BB48" s="421"/>
      <c r="BC48" s="421"/>
      <c r="BD48" s="421"/>
      <c r="BE48" s="421"/>
      <c r="BF48" s="421"/>
      <c r="BG48" s="421"/>
      <c r="BH48" s="421"/>
      <c r="BI48" s="421"/>
      <c r="BJ48" s="421"/>
      <c r="BK48" s="421"/>
      <c r="BL48" s="421"/>
      <c r="BM48" s="421"/>
      <c r="BN48" s="421"/>
      <c r="BO48" s="421"/>
      <c r="BP48" s="421"/>
      <c r="BQ48" s="421"/>
      <c r="BR48" s="421"/>
      <c r="BS48" s="421"/>
      <c r="BT48" s="421"/>
      <c r="BU48" s="421"/>
      <c r="BV48" s="421"/>
      <c r="BW48" s="421"/>
      <c r="BX48" s="421"/>
      <c r="BY48" s="421"/>
      <c r="BZ48" s="421"/>
      <c r="CA48" s="421"/>
      <c r="CB48" s="421"/>
      <c r="CC48" s="421"/>
      <c r="CD48" s="421"/>
      <c r="CE48" s="421"/>
      <c r="CF48" s="421"/>
      <c r="CG48" s="421"/>
      <c r="CH48" s="421"/>
      <c r="CI48" s="421"/>
      <c r="CJ48" s="421"/>
      <c r="CK48" s="421"/>
      <c r="CL48" s="421"/>
      <c r="CM48" s="421"/>
      <c r="CN48" s="421"/>
      <c r="CO48" s="421"/>
      <c r="CP48" s="421"/>
      <c r="CQ48" s="421"/>
      <c r="CR48" s="421"/>
      <c r="CS48" s="421"/>
      <c r="CT48" s="421"/>
      <c r="CU48" s="421"/>
      <c r="CV48" s="421"/>
      <c r="CW48" s="421"/>
      <c r="CX48" s="421"/>
      <c r="CY48" s="421"/>
      <c r="CZ48" s="421"/>
      <c r="DA48" s="421"/>
      <c r="DB48" s="421"/>
      <c r="DC48" s="421"/>
      <c r="DD48" s="421"/>
      <c r="DE48" s="421"/>
      <c r="DF48" s="421"/>
      <c r="DG48" s="421"/>
      <c r="DH48" s="421"/>
      <c r="DI48" s="421"/>
      <c r="DJ48" s="421"/>
      <c r="DK48" s="421"/>
      <c r="DL48" s="421"/>
      <c r="DM48" s="421"/>
      <c r="DN48" s="421"/>
      <c r="DO48" s="421"/>
      <c r="DP48" s="421"/>
      <c r="DQ48" s="421"/>
      <c r="DR48" s="421"/>
      <c r="DS48" s="421"/>
      <c r="DT48" s="421"/>
      <c r="DU48" s="421"/>
      <c r="DV48" s="421"/>
      <c r="DW48" s="421"/>
      <c r="DX48" s="421"/>
      <c r="DY48" s="421"/>
      <c r="DZ48" s="421"/>
      <c r="EA48" s="421"/>
      <c r="EB48" s="421"/>
      <c r="EC48" s="421"/>
      <c r="ED48" s="421"/>
      <c r="EE48" s="421"/>
      <c r="EF48" s="421"/>
      <c r="EG48" s="421"/>
      <c r="EH48" s="421"/>
      <c r="EI48" s="472"/>
      <c r="EK48" s="513"/>
      <c r="EL48" s="421"/>
      <c r="EM48" s="421"/>
      <c r="EN48" s="421"/>
      <c r="EO48" s="421"/>
      <c r="EP48" s="421"/>
      <c r="EQ48" s="421"/>
      <c r="ER48" s="421"/>
      <c r="ES48" s="421"/>
      <c r="ET48" s="472"/>
    </row>
    <row r="49" s="522" customFormat="true" ht="13.5" hidden="false" customHeight="true" outlineLevel="0" collapsed="false">
      <c r="B49" s="513" t="s">
        <v>395</v>
      </c>
      <c r="C49" s="61"/>
      <c r="D49" s="421"/>
      <c r="E49" s="472" t="n">
        <f aca="true">SUM(OFFSET(G49,0,0,1,'Executive Summary'!$I$13+1))</f>
        <v>338947.656153503</v>
      </c>
      <c r="F49" s="421"/>
      <c r="G49" s="513" t="n">
        <v>0</v>
      </c>
      <c r="H49" s="421" t="n">
        <f aca="false">'Executive Summary'!$I$38/12*H8</f>
        <v>5020.82028675843</v>
      </c>
      <c r="I49" s="421" t="n">
        <f aca="false">'Executive Summary'!$I$38/12*I8</f>
        <v>5029.11257966434</v>
      </c>
      <c r="J49" s="421" t="n">
        <f aca="false">'Executive Summary'!$I$38/12*J8</f>
        <v>5037.41856796617</v>
      </c>
      <c r="K49" s="421" t="n">
        <f aca="false">'Executive Summary'!$I$38/12*K8</f>
        <v>5045.73827428297</v>
      </c>
      <c r="L49" s="421" t="n">
        <f aca="false">'Executive Summary'!$I$38/12*L8</f>
        <v>5054.07172127115</v>
      </c>
      <c r="M49" s="421" t="n">
        <f aca="false">'Executive Summary'!$I$38/12*M8</f>
        <v>5062.41893162457</v>
      </c>
      <c r="N49" s="421" t="n">
        <f aca="false">'Executive Summary'!$I$38/12*N8</f>
        <v>5070.77992807453</v>
      </c>
      <c r="O49" s="421" t="n">
        <f aca="false">'Executive Summary'!$I$38/12*O8</f>
        <v>5079.15473338989</v>
      </c>
      <c r="P49" s="421" t="n">
        <f aca="false">'Executive Summary'!$I$38/12*P8</f>
        <v>5087.54337037711</v>
      </c>
      <c r="Q49" s="421" t="n">
        <f aca="false">'Executive Summary'!$I$38/12*Q8</f>
        <v>5095.94586188034</v>
      </c>
      <c r="R49" s="421" t="n">
        <f aca="false">'Executive Summary'!$I$38/12*R8</f>
        <v>5104.36223078142</v>
      </c>
      <c r="S49" s="421" t="n">
        <f aca="false">'Executive Summary'!$I$38/12*S8</f>
        <v>5112.7925</v>
      </c>
      <c r="T49" s="421" t="n">
        <f aca="false">'Executive Summary'!$I$37/12*T8</f>
        <v>5572.86386159996</v>
      </c>
      <c r="U49" s="421" t="n">
        <f aca="false">'Executive Summary'!$I$37/12*U8</f>
        <v>5582.06789935193</v>
      </c>
      <c r="V49" s="421" t="n">
        <f aca="false">'Executive Summary'!$I$37/12*V8</f>
        <v>5591.28713832055</v>
      </c>
      <c r="W49" s="421" t="n">
        <f aca="false">'Executive Summary'!$I$37/12*W8</f>
        <v>5600.52160361186</v>
      </c>
      <c r="X49" s="421" t="n">
        <f aca="false">'Executive Summary'!$I$37/12*X8</f>
        <v>5609.77132037339</v>
      </c>
      <c r="Y49" s="421" t="n">
        <f aca="false">'Executive Summary'!$I$37/12*Y8</f>
        <v>5619.03631379417</v>
      </c>
      <c r="Z49" s="421" t="n">
        <f aca="false">'Executive Summary'!$I$37/12*Z8</f>
        <v>5628.31660910484</v>
      </c>
      <c r="AA49" s="421" t="n">
        <f aca="false">'Executive Summary'!$I$37/12*AA8</f>
        <v>5637.61223157772</v>
      </c>
      <c r="AB49" s="421" t="n">
        <f aca="false">'Executive Summary'!$I$37/12*AB8</f>
        <v>5646.92320652687</v>
      </c>
      <c r="AC49" s="421" t="n">
        <f aca="false">'Executive Summary'!$I$37/12*AC8</f>
        <v>5656.24955930815</v>
      </c>
      <c r="AD49" s="421" t="n">
        <f aca="false">'Executive Summary'!$I$37/12*AD8</f>
        <v>5665.5913153193</v>
      </c>
      <c r="AE49" s="421" t="n">
        <f aca="false">'Executive Summary'!$I$37/12*AE8</f>
        <v>5674.9485</v>
      </c>
      <c r="AF49" s="421" t="n">
        <f aca="false">'Executive Summary'!$I$37/12*AF8</f>
        <v>5684.32113883196</v>
      </c>
      <c r="AG49" s="421" t="n">
        <f aca="false">'Executive Summary'!$I$37/12*AG8</f>
        <v>5693.70925733897</v>
      </c>
      <c r="AH49" s="421" t="n">
        <f aca="false">'Executive Summary'!$I$37/12*AH8</f>
        <v>5703.11288108696</v>
      </c>
      <c r="AI49" s="421" t="n">
        <f aca="false">'Executive Summary'!$I$37/12*AI8</f>
        <v>5712.5320356841</v>
      </c>
      <c r="AJ49" s="421" t="n">
        <f aca="false">'Executive Summary'!$I$37/12*AJ8</f>
        <v>5721.96674678086</v>
      </c>
      <c r="AK49" s="421" t="n">
        <f aca="false">'Executive Summary'!$I$37/12*AK8</f>
        <v>5731.41704007005</v>
      </c>
      <c r="AL49" s="421" t="n">
        <f aca="false">'Executive Summary'!$I$37/12*AL8</f>
        <v>5740.88294128694</v>
      </c>
      <c r="AM49" s="421" t="n">
        <f aca="false">'Executive Summary'!$I$37/12*AM8</f>
        <v>5750.36447620928</v>
      </c>
      <c r="AN49" s="421" t="n">
        <f aca="false">'Executive Summary'!$I$37/12*AN8</f>
        <v>5759.86167065741</v>
      </c>
      <c r="AO49" s="421" t="n">
        <f aca="false">'Executive Summary'!$I$37/12*AO8</f>
        <v>5769.37455049432</v>
      </c>
      <c r="AP49" s="421" t="n">
        <f aca="false">'Executive Summary'!$I$37/12*AP8</f>
        <v>5778.90314162569</v>
      </c>
      <c r="AQ49" s="421" t="n">
        <f aca="false">'Executive Summary'!$I$37/12*AQ8</f>
        <v>5788.44747000001</v>
      </c>
      <c r="AR49" s="421" t="n">
        <f aca="false">'Executive Summary'!$I$37/12*AR8</f>
        <v>5798.00756160861</v>
      </c>
      <c r="AS49" s="421" t="n">
        <f aca="false">'Executive Summary'!$I$37/12*AS8</f>
        <v>5807.58344248575</v>
      </c>
      <c r="AT49" s="421" t="n">
        <f aca="false">'Executive Summary'!$I$37/12*AT8</f>
        <v>5817.1751387087</v>
      </c>
      <c r="AU49" s="421" t="n">
        <f aca="false">'Executive Summary'!$I$37/12*AU8</f>
        <v>5826.78267639779</v>
      </c>
      <c r="AV49" s="421" t="n">
        <f aca="false">'Executive Summary'!$I$37/12*AV8</f>
        <v>5836.40608171648</v>
      </c>
      <c r="AW49" s="421" t="n">
        <f aca="false">'Executive Summary'!$I$37/12*AW8</f>
        <v>5846.04538087146</v>
      </c>
      <c r="AX49" s="421" t="n">
        <f aca="false">'Executive Summary'!$I$37/12*AX8</f>
        <v>5855.70060011268</v>
      </c>
      <c r="AY49" s="421" t="n">
        <f aca="false">'Executive Summary'!$I$37/12*AY8</f>
        <v>5865.37176573347</v>
      </c>
      <c r="AZ49" s="421" t="n">
        <f aca="false">'Executive Summary'!$I$37/12*AZ8</f>
        <v>5875.05890407057</v>
      </c>
      <c r="BA49" s="421" t="n">
        <f aca="false">'Executive Summary'!$I$37/12*BA8</f>
        <v>5884.76204150421</v>
      </c>
      <c r="BB49" s="421" t="n">
        <f aca="false">'Executive Summary'!$I$37/12*BB8</f>
        <v>5894.48120445821</v>
      </c>
      <c r="BC49" s="421" t="n">
        <f aca="false">'Executive Summary'!$I$37/12*BC8</f>
        <v>5904.21641940001</v>
      </c>
      <c r="BD49" s="421" t="n">
        <f aca="false">'Executive Summary'!$I$37/12*BD8</f>
        <v>5913.96771284078</v>
      </c>
      <c r="BE49" s="421" t="n">
        <f aca="false">'Executive Summary'!$I$37/12*BE8</f>
        <v>5923.73511133547</v>
      </c>
      <c r="BF49" s="421" t="n">
        <f aca="false">'Executive Summary'!$I$37/12*BF8</f>
        <v>5933.51864148288</v>
      </c>
      <c r="BG49" s="421" t="n">
        <f aca="false">'Executive Summary'!$I$37/12*BG8</f>
        <v>5943.31832992575</v>
      </c>
      <c r="BH49" s="421" t="n">
        <f aca="false">'Executive Summary'!$I$37/12*BH8</f>
        <v>5953.13420335081</v>
      </c>
      <c r="BI49" s="421" t="n">
        <f aca="false">'Executive Summary'!$I$37/12*BI8</f>
        <v>5962.96628848889</v>
      </c>
      <c r="BJ49" s="421" t="n">
        <f aca="false">'Executive Summary'!$I$37/12*BJ8</f>
        <v>5972.81461211494</v>
      </c>
      <c r="BK49" s="421" t="n">
        <f aca="false">'Executive Summary'!$I$37/12*BK8</f>
        <v>5982.67920104814</v>
      </c>
      <c r="BL49" s="421" t="n">
        <f aca="false">'Executive Summary'!$I$37/12*BL8</f>
        <v>5992.56008215198</v>
      </c>
      <c r="BM49" s="421" t="n">
        <f aca="false">'Executive Summary'!$I$37/12*BM8</f>
        <v>6002.4572823343</v>
      </c>
      <c r="BN49" s="421" t="n">
        <f aca="false">'Executive Summary'!$I$37/12*BN8</f>
        <v>6012.37082854738</v>
      </c>
      <c r="BO49" s="421" t="n">
        <f aca="false">'Executive Summary'!$I$37/12*BO8</f>
        <v>6022.30074778802</v>
      </c>
      <c r="BP49" s="421" t="n">
        <f aca="false">'Executive Summary'!$I$37/12*BP8</f>
        <v>6032.2470670976</v>
      </c>
      <c r="BQ49" s="421" t="n">
        <f aca="false">'Executive Summary'!$I$37/12*BQ8</f>
        <v>6042.20981356218</v>
      </c>
      <c r="BR49" s="421" t="n">
        <f aca="false">'Executive Summary'!$I$37/12*BR8</f>
        <v>6052.18901431254</v>
      </c>
      <c r="BS49" s="421" t="n">
        <f aca="false">'Executive Summary'!$I$37/12*BS8</f>
        <v>6062.18469652427</v>
      </c>
      <c r="BT49" s="421" t="n">
        <f aca="false">'Executive Summary'!$I$37/12*BT8</f>
        <v>6072.19688741783</v>
      </c>
      <c r="BU49" s="421" t="n">
        <f aca="false">'Executive Summary'!$I$37/12*BU8</f>
        <v>6082.22561425867</v>
      </c>
      <c r="BV49" s="421" t="n">
        <f aca="false">'Executive Summary'!$I$37/12*BV8</f>
        <v>6092.27090435724</v>
      </c>
      <c r="BW49" s="421" t="n">
        <f aca="false">'Executive Summary'!$I$37/12*BW8</f>
        <v>6102.33278506911</v>
      </c>
      <c r="BX49" s="421" t="n">
        <f aca="false">'Executive Summary'!$I$37/12*BX8</f>
        <v>6112.41128379503</v>
      </c>
      <c r="BY49" s="421" t="n">
        <f aca="false">'Executive Summary'!$I$37/12*BY8</f>
        <v>6122.50642798099</v>
      </c>
      <c r="BZ49" s="421" t="n">
        <f aca="false">'Executive Summary'!$I$37/12*BZ8</f>
        <v>6132.61824511833</v>
      </c>
      <c r="CA49" s="421" t="n">
        <f aca="false">'Executive Summary'!$I$37/12*CA8</f>
        <v>6142.74676274378</v>
      </c>
      <c r="CB49" s="421" t="n">
        <f aca="false">'Executive Summary'!$I$37/12*CB8</f>
        <v>6152.89200843956</v>
      </c>
      <c r="CC49" s="421" t="n">
        <f aca="false">'Executive Summary'!$I$37/12*CC8</f>
        <v>6163.05400983343</v>
      </c>
      <c r="CD49" s="421" t="n">
        <f aca="false">'Executive Summary'!$I$37/12*CD8</f>
        <v>6173.2327945988</v>
      </c>
      <c r="CE49" s="421" t="n">
        <f aca="false">'Executive Summary'!$I$37/12*CE8</f>
        <v>6183.42839045476</v>
      </c>
      <c r="CF49" s="421" t="n">
        <f aca="false">'Executive Summary'!$I$37/12*CF8</f>
        <v>6193.64082516619</v>
      </c>
      <c r="CG49" s="421" t="n">
        <f aca="false">'Executive Summary'!$I$37/12*CG8</f>
        <v>6203.87012654385</v>
      </c>
      <c r="CH49" s="421" t="n">
        <f aca="false">'Executive Summary'!$I$37/12*CH8</f>
        <v>6214.11632244439</v>
      </c>
      <c r="CI49" s="421" t="n">
        <f aca="false">'Executive Summary'!$I$37/12*CI8</f>
        <v>6224.3794407705</v>
      </c>
      <c r="CJ49" s="421" t="n">
        <f aca="false">'Executive Summary'!$I$37/12*CJ8</f>
        <v>6234.65950947093</v>
      </c>
      <c r="CK49" s="421" t="n">
        <f aca="false">'Executive Summary'!$I$37/12*CK8</f>
        <v>6244.95655654061</v>
      </c>
      <c r="CL49" s="421" t="n">
        <f aca="false">'Executive Summary'!$I$37/12*CL8</f>
        <v>6255.2706100207</v>
      </c>
      <c r="CM49" s="421" t="n">
        <f aca="false">'Executive Summary'!$I$37/12*CM8</f>
        <v>6265.60169799866</v>
      </c>
      <c r="CN49" s="421" t="n">
        <f aca="false">'Executive Summary'!$I$37/12*CN8</f>
        <v>6275.94984860835</v>
      </c>
      <c r="CO49" s="421" t="n">
        <f aca="false">'Executive Summary'!$I$37/12*CO8</f>
        <v>6286.3150900301</v>
      </c>
      <c r="CP49" s="421" t="n">
        <f aca="false">'Executive Summary'!$I$37/12*CP8</f>
        <v>6296.69745049078</v>
      </c>
      <c r="CQ49" s="421" t="n">
        <f aca="false">'Executive Summary'!$I$37/12*CQ8</f>
        <v>6307.09695826385</v>
      </c>
      <c r="CR49" s="421" t="n">
        <f aca="false">'Executive Summary'!$I$37/12*CR8</f>
        <v>6317.51364166952</v>
      </c>
      <c r="CS49" s="421" t="n">
        <f aca="false">'Executive Summary'!$I$37/12*CS8</f>
        <v>6327.94752907473</v>
      </c>
      <c r="CT49" s="421" t="n">
        <f aca="false">'Executive Summary'!$I$37/12*CT8</f>
        <v>6338.39864889328</v>
      </c>
      <c r="CU49" s="421" t="n">
        <f aca="false">'Executive Summary'!$I$37/12*CU8</f>
        <v>6348.86702958591</v>
      </c>
      <c r="CV49" s="421" t="n">
        <f aca="false">'Executive Summary'!$I$37/12*CV8</f>
        <v>6359.35269966035</v>
      </c>
      <c r="CW49" s="421" t="n">
        <f aca="false">'Executive Summary'!$I$37/12*CW8</f>
        <v>6369.85568767143</v>
      </c>
      <c r="CX49" s="421" t="n">
        <f aca="false">'Executive Summary'!$I$37/12*CX8</f>
        <v>6380.37602222112</v>
      </c>
      <c r="CY49" s="421" t="n">
        <f aca="false">'Executive Summary'!$I$37/12*CY8</f>
        <v>6390.91373195864</v>
      </c>
      <c r="CZ49" s="421" t="n">
        <f aca="false">'Executive Summary'!$I$37/12*CZ8</f>
        <v>6401.46884558052</v>
      </c>
      <c r="DA49" s="421" t="n">
        <f aca="false">'Executive Summary'!$I$37/12*DA8</f>
        <v>6412.04139183071</v>
      </c>
      <c r="DB49" s="421" t="n">
        <f aca="false">'Executive Summary'!$I$37/12*DB8</f>
        <v>6422.6313995006</v>
      </c>
      <c r="DC49" s="421" t="n">
        <f aca="false">'Executive Summary'!$I$37/12*DC8</f>
        <v>6433.23889742914</v>
      </c>
      <c r="DD49" s="421" t="n">
        <f aca="false">'Executive Summary'!$I$37/12*DD8</f>
        <v>6443.86391450292</v>
      </c>
      <c r="DE49" s="421" t="n">
        <f aca="false">'Executive Summary'!$I$37/12*DE8</f>
        <v>6454.50647965623</v>
      </c>
      <c r="DF49" s="421" t="n">
        <f aca="false">'Executive Summary'!$I$37/12*DF8</f>
        <v>6465.16662187115</v>
      </c>
      <c r="DG49" s="421" t="n">
        <f aca="false">'Executive Summary'!$I$37/12*DG8</f>
        <v>6475.84437017763</v>
      </c>
      <c r="DH49" s="421" t="n">
        <f aca="false">'Executive Summary'!$I$37/12*DH8</f>
        <v>6486.53975365356</v>
      </c>
      <c r="DI49" s="421" t="n">
        <f aca="false">'Executive Summary'!$I$37/12*DI8</f>
        <v>6497.25280142486</v>
      </c>
      <c r="DJ49" s="421" t="n">
        <f aca="false">'Executive Summary'!$I$37/12*DJ8</f>
        <v>6507.98354266554</v>
      </c>
      <c r="DK49" s="421" t="n">
        <f aca="false">'Executive Summary'!$I$37/12*DK8</f>
        <v>6518.73200659781</v>
      </c>
      <c r="DL49" s="421" t="n">
        <f aca="false">'Executive Summary'!$I$37/12*DL8</f>
        <v>6529.49822249214</v>
      </c>
      <c r="DM49" s="421" t="n">
        <f aca="false">'Executive Summary'!$I$37/12*DM8</f>
        <v>6540.28221966733</v>
      </c>
      <c r="DN49" s="421" t="n">
        <f aca="false">'Executive Summary'!$I$37/12*DN8</f>
        <v>6551.08402749061</v>
      </c>
      <c r="DO49" s="421" t="n">
        <f aca="false">'Executive Summary'!$I$37/12*DO8</f>
        <v>6561.90367537772</v>
      </c>
      <c r="DP49" s="421" t="n">
        <f aca="false">'Executive Summary'!$I$37/12*DP8</f>
        <v>6572.74119279298</v>
      </c>
      <c r="DQ49" s="421" t="n">
        <f aca="false">'Executive Summary'!$I$37/12*DQ8</f>
        <v>6583.59660924936</v>
      </c>
      <c r="DR49" s="421" t="n">
        <f aca="false">'Executive Summary'!$I$37/12*DR8</f>
        <v>6594.46995430858</v>
      </c>
      <c r="DS49" s="421" t="n">
        <f aca="false">'Executive Summary'!$I$37/12*DS8</f>
        <v>6605.36125758119</v>
      </c>
      <c r="DT49" s="421" t="n">
        <f aca="false">'Executive Summary'!$I$37/12*DT8</f>
        <v>6616.27054872664</v>
      </c>
      <c r="DU49" s="421" t="n">
        <f aca="false">'Executive Summary'!$I$37/12*DU8</f>
        <v>6627.19785745336</v>
      </c>
      <c r="DV49" s="421" t="n">
        <f aca="false">'Executive Summary'!$I$37/12*DV8</f>
        <v>6638.14321351886</v>
      </c>
      <c r="DW49" s="421" t="n">
        <f aca="false">'Executive Summary'!$I$37/12*DW8</f>
        <v>6649.10664672977</v>
      </c>
      <c r="DX49" s="421" t="n">
        <f aca="false">'Executive Summary'!$I$37/12*DX8</f>
        <v>6660.08818694198</v>
      </c>
      <c r="DY49" s="421" t="n">
        <f aca="false">'Executive Summary'!$I$37/12*DY8</f>
        <v>6671.08786406068</v>
      </c>
      <c r="DZ49" s="421" t="n">
        <f aca="false">'Executive Summary'!$I$37/12*DZ8</f>
        <v>6682.10570804043</v>
      </c>
      <c r="EA49" s="421" t="n">
        <f aca="false">'Executive Summary'!$I$37/12*EA8</f>
        <v>6693.14174888528</v>
      </c>
      <c r="EB49" s="421" t="n">
        <f aca="false">'Executive Summary'!$I$37/12*EB8</f>
        <v>6704.19601664884</v>
      </c>
      <c r="EC49" s="421" t="n">
        <f aca="false">'Executive Summary'!$I$37/12*EC8</f>
        <v>6715.26854143435</v>
      </c>
      <c r="ED49" s="421" t="n">
        <f aca="false">'Executive Summary'!$I$37/12*ED8</f>
        <v>6726.35935339475</v>
      </c>
      <c r="EE49" s="421" t="n">
        <f aca="false">'Executive Summary'!$I$37/12*EE8</f>
        <v>6737.46848273281</v>
      </c>
      <c r="EF49" s="421" t="n">
        <f aca="false">'Executive Summary'!$I$37/12*EF8</f>
        <v>6748.59595970117</v>
      </c>
      <c r="EG49" s="421" t="n">
        <f aca="false">'Executive Summary'!$I$37/12*EG8</f>
        <v>6759.74181460243</v>
      </c>
      <c r="EH49" s="421" t="n">
        <f aca="false">'Executive Summary'!$I$37/12*EH8</f>
        <v>6770.90607778924</v>
      </c>
      <c r="EI49" s="472" t="n">
        <f aca="false">'Executive Summary'!$I$37/12*EI8</f>
        <v>6782.08877966437</v>
      </c>
      <c r="EK49" s="513" t="n">
        <f aca="true">SUM(OFFSET($G49,0,EK$24*12-11,1,12))</f>
        <v>60800.1589860709</v>
      </c>
      <c r="EL49" s="421" t="n">
        <f aca="true">SUM(OFFSET($G49,0,EL$24*12-11,1,12))</f>
        <v>67485.1895588888</v>
      </c>
      <c r="EM49" s="421" t="n">
        <f aca="true">SUM(OFFSET($G49,0,EM$24*12-11,1,12))</f>
        <v>68834.8933500666</v>
      </c>
      <c r="EN49" s="421" t="n">
        <f aca="true">SUM(OFFSET($G49,0,EN$24*12-11,1,12))</f>
        <v>70211.5912170679</v>
      </c>
      <c r="EO49" s="421" t="n">
        <f aca="true">SUM(OFFSET($G49,0,EO$24*12-11,1,12))</f>
        <v>71615.8230414093</v>
      </c>
      <c r="EP49" s="421" t="n">
        <f aca="true">SUM(OFFSET($G49,0,EP$24*12-11,1,12))</f>
        <v>73048.1395022376</v>
      </c>
      <c r="EQ49" s="421" t="n">
        <f aca="true">SUM(OFFSET($G49,0,EQ$24*12-11,1,12))</f>
        <v>74509.1022922824</v>
      </c>
      <c r="ER49" s="421" t="n">
        <f aca="true">SUM(OFFSET($G49,0,ER$24*12-11,1,12))</f>
        <v>75999.2843381281</v>
      </c>
      <c r="ES49" s="421" t="n">
        <f aca="true">SUM(OFFSET($G49,0,ES$24*12-11,1,12))</f>
        <v>77519.2700248907</v>
      </c>
      <c r="ET49" s="472" t="n">
        <f aca="true">SUM(OFFSET($G49,0,ET$24*12-11,1,12))</f>
        <v>79069.6554253885</v>
      </c>
    </row>
    <row r="50" s="522" customFormat="true" ht="13.5" hidden="false" customHeight="true" outlineLevel="0" collapsed="false">
      <c r="B50" s="513" t="s">
        <v>396</v>
      </c>
      <c r="C50" s="61"/>
      <c r="D50" s="421"/>
      <c r="E50" s="472" t="n">
        <f aca="true">SUM(OFFSET(G50,0,0,1,'Executive Summary'!$I$13+1))</f>
        <v>84163.9471918998</v>
      </c>
      <c r="F50" s="421"/>
      <c r="G50" s="513" t="n">
        <v>0</v>
      </c>
      <c r="H50" s="421" t="n">
        <f aca="false">IF('Executive Summary'!$I$55&gt;5, 'Executive Summary'!$I$55, 'Executive Summary'!$I$49)/12*H8</f>
        <v>1335.53544173589</v>
      </c>
      <c r="I50" s="421" t="n">
        <f aca="false">IF('Executive Summary'!$I$55&gt;5, 'Executive Summary'!$I$55, 'Executive Summary'!$I$49)/12*I8</f>
        <v>1337.74118709952</v>
      </c>
      <c r="J50" s="421" t="n">
        <f aca="false">IF('Executive Summary'!$I$55&gt;5, 'Executive Summary'!$I$55, 'Executive Summary'!$I$49)/12*J8</f>
        <v>1339.95057543094</v>
      </c>
      <c r="K50" s="421" t="n">
        <f aca="false">IF('Executive Summary'!$I$55&gt;5, 'Executive Summary'!$I$55, 'Executive Summary'!$I$49)/12*K8</f>
        <v>1342.16361274682</v>
      </c>
      <c r="L50" s="421" t="n">
        <f aca="false">IF('Executive Summary'!$I$55&gt;5, 'Executive Summary'!$I$55, 'Executive Summary'!$I$49)/12*L8</f>
        <v>1344.38030507375</v>
      </c>
      <c r="M50" s="421" t="n">
        <f aca="false">IF('Executive Summary'!$I$55&gt;5, 'Executive Summary'!$I$55, 'Executive Summary'!$I$49)/12*M8</f>
        <v>1346.60065844828</v>
      </c>
      <c r="N50" s="421" t="n">
        <f aca="false">IF('Executive Summary'!$I$55&gt;5, 'Executive Summary'!$I$55, 'Executive Summary'!$I$49)/12*N8</f>
        <v>1348.82467891692</v>
      </c>
      <c r="O50" s="421" t="n">
        <f aca="false">IF('Executive Summary'!$I$55&gt;5, 'Executive Summary'!$I$55, 'Executive Summary'!$I$49)/12*O8</f>
        <v>1351.05237253619</v>
      </c>
      <c r="P50" s="421" t="n">
        <f aca="false">IF('Executive Summary'!$I$55&gt;5, 'Executive Summary'!$I$55, 'Executive Summary'!$I$49)/12*P8</f>
        <v>1353.28374537259</v>
      </c>
      <c r="Q50" s="421" t="n">
        <f aca="false">IF('Executive Summary'!$I$55&gt;5, 'Executive Summary'!$I$55, 'Executive Summary'!$I$49)/12*Q8</f>
        <v>1355.51880350264</v>
      </c>
      <c r="R50" s="421" t="n">
        <f aca="false">IF('Executive Summary'!$I$55&gt;5, 'Executive Summary'!$I$55, 'Executive Summary'!$I$49)/12*R8</f>
        <v>1357.7575530129</v>
      </c>
      <c r="S50" s="421" t="n">
        <f aca="false">IF('Executive Summary'!$I$55&gt;5, 'Executive Summary'!$I$55, 'Executive Summary'!$I$49)/12*S8</f>
        <v>1360</v>
      </c>
      <c r="T50" s="421" t="n">
        <f aca="false">IF('Executive Summary'!$I$55&gt;5, 'Executive Summary'!$I$55, 'Executive Summary'!$I$49)/12*T8</f>
        <v>1362.24615057061</v>
      </c>
      <c r="U50" s="421" t="n">
        <f aca="false">IF('Executive Summary'!$I$55&gt;5, 'Executive Summary'!$I$55, 'Executive Summary'!$I$49)/12*U8</f>
        <v>1364.49601084151</v>
      </c>
      <c r="V50" s="421" t="n">
        <f aca="false">IF('Executive Summary'!$I$55&gt;5, 'Executive Summary'!$I$55, 'Executive Summary'!$I$49)/12*V8</f>
        <v>1366.74958693956</v>
      </c>
      <c r="W50" s="421" t="n">
        <f aca="false">IF('Executive Summary'!$I$55&gt;5, 'Executive Summary'!$I$55, 'Executive Summary'!$I$49)/12*W8</f>
        <v>1369.00688500175</v>
      </c>
      <c r="X50" s="421" t="n">
        <f aca="false">IF('Executive Summary'!$I$55&gt;5, 'Executive Summary'!$I$55, 'Executive Summary'!$I$49)/12*X8</f>
        <v>1371.26791117522</v>
      </c>
      <c r="Y50" s="421" t="n">
        <f aca="false">IF('Executive Summary'!$I$55&gt;5, 'Executive Summary'!$I$55, 'Executive Summary'!$I$49)/12*Y8</f>
        <v>1373.53267161724</v>
      </c>
      <c r="Z50" s="421" t="n">
        <f aca="false">IF('Executive Summary'!$I$55&gt;5, 'Executive Summary'!$I$55, 'Executive Summary'!$I$49)/12*Z8</f>
        <v>1375.80117249526</v>
      </c>
      <c r="AA50" s="421" t="n">
        <f aca="false">IF('Executive Summary'!$I$55&gt;5, 'Executive Summary'!$I$55, 'Executive Summary'!$I$49)/12*AA8</f>
        <v>1378.07341998692</v>
      </c>
      <c r="AB50" s="421" t="n">
        <f aca="false">IF('Executive Summary'!$I$55&gt;5, 'Executive Summary'!$I$55, 'Executive Summary'!$I$49)/12*AB8</f>
        <v>1380.34942028004</v>
      </c>
      <c r="AC50" s="421" t="n">
        <f aca="false">IF('Executive Summary'!$I$55&gt;5, 'Executive Summary'!$I$55, 'Executive Summary'!$I$49)/12*AC8</f>
        <v>1382.62917957269</v>
      </c>
      <c r="AD50" s="421" t="n">
        <f aca="false">IF('Executive Summary'!$I$55&gt;5, 'Executive Summary'!$I$55, 'Executive Summary'!$I$49)/12*AD8</f>
        <v>1384.91270407316</v>
      </c>
      <c r="AE50" s="421" t="n">
        <f aca="false">IF('Executive Summary'!$I$55&gt;5, 'Executive Summary'!$I$55, 'Executive Summary'!$I$49)/12*AE8</f>
        <v>1387.2</v>
      </c>
      <c r="AF50" s="421" t="n">
        <f aca="false">IF('Executive Summary'!$I$55&gt;5, 'Executive Summary'!$I$55, 'Executive Summary'!$I$49)/12*AF8</f>
        <v>1389.49107358202</v>
      </c>
      <c r="AG50" s="421" t="n">
        <f aca="false">IF('Executive Summary'!$I$55&gt;5, 'Executive Summary'!$I$55, 'Executive Summary'!$I$49)/12*AG8</f>
        <v>1391.78593105834</v>
      </c>
      <c r="AH50" s="421" t="n">
        <f aca="false">IF('Executive Summary'!$I$55&gt;5, 'Executive Summary'!$I$55, 'Executive Summary'!$I$49)/12*AH8</f>
        <v>1394.08457867835</v>
      </c>
      <c r="AI50" s="421" t="n">
        <f aca="false">IF('Executive Summary'!$I$55&gt;5, 'Executive Summary'!$I$55, 'Executive Summary'!$I$49)/12*AI8</f>
        <v>1396.38702270179</v>
      </c>
      <c r="AJ50" s="421" t="n">
        <f aca="false">IF('Executive Summary'!$I$55&gt;5, 'Executive Summary'!$I$55, 'Executive Summary'!$I$49)/12*AJ8</f>
        <v>1398.69326939873</v>
      </c>
      <c r="AK50" s="421" t="n">
        <f aca="false">IF('Executive Summary'!$I$55&gt;5, 'Executive Summary'!$I$55, 'Executive Summary'!$I$49)/12*AK8</f>
        <v>1401.00332504959</v>
      </c>
      <c r="AL50" s="421" t="n">
        <f aca="false">IF('Executive Summary'!$I$55&gt;5, 'Executive Summary'!$I$55, 'Executive Summary'!$I$49)/12*AL8</f>
        <v>1403.31719594517</v>
      </c>
      <c r="AM50" s="421" t="n">
        <f aca="false">IF('Executive Summary'!$I$55&gt;5, 'Executive Summary'!$I$55, 'Executive Summary'!$I$49)/12*AM8</f>
        <v>1405.63488838666</v>
      </c>
      <c r="AN50" s="421" t="n">
        <f aca="false">IF('Executive Summary'!$I$55&gt;5, 'Executive Summary'!$I$55, 'Executive Summary'!$I$49)/12*AN8</f>
        <v>1407.95640868564</v>
      </c>
      <c r="AO50" s="421" t="n">
        <f aca="false">IF('Executive Summary'!$I$55&gt;5, 'Executive Summary'!$I$55, 'Executive Summary'!$I$49)/12*AO8</f>
        <v>1410.28176316414</v>
      </c>
      <c r="AP50" s="421" t="n">
        <f aca="false">IF('Executive Summary'!$I$55&gt;5, 'Executive Summary'!$I$55, 'Executive Summary'!$I$49)/12*AP8</f>
        <v>1412.61095815463</v>
      </c>
      <c r="AQ50" s="421" t="n">
        <f aca="false">IF('Executive Summary'!$I$55&gt;5, 'Executive Summary'!$I$55, 'Executive Summary'!$I$49)/12*AQ8</f>
        <v>1414.944</v>
      </c>
      <c r="AR50" s="421" t="n">
        <f aca="false">IF('Executive Summary'!$I$55&gt;5, 'Executive Summary'!$I$55, 'Executive Summary'!$I$49)/12*AR8</f>
        <v>1417.28089505367</v>
      </c>
      <c r="AS50" s="421" t="n">
        <f aca="false">IF('Executive Summary'!$I$55&gt;5, 'Executive Summary'!$I$55, 'Executive Summary'!$I$49)/12*AS8</f>
        <v>1419.62164967951</v>
      </c>
      <c r="AT50" s="421" t="n">
        <f aca="false">IF('Executive Summary'!$I$55&gt;5, 'Executive Summary'!$I$55, 'Executive Summary'!$I$49)/12*AT8</f>
        <v>1421.96627025192</v>
      </c>
      <c r="AU50" s="421" t="n">
        <f aca="false">IF('Executive Summary'!$I$55&gt;5, 'Executive Summary'!$I$55, 'Executive Summary'!$I$49)/12*AU8</f>
        <v>1424.31476315583</v>
      </c>
      <c r="AV50" s="421" t="n">
        <f aca="false">IF('Executive Summary'!$I$55&gt;5, 'Executive Summary'!$I$55, 'Executive Summary'!$I$49)/12*AV8</f>
        <v>1426.6671347867</v>
      </c>
      <c r="AW50" s="421" t="n">
        <f aca="false">IF('Executive Summary'!$I$55&gt;5, 'Executive Summary'!$I$55, 'Executive Summary'!$I$49)/12*AW8</f>
        <v>1429.02339155058</v>
      </c>
      <c r="AX50" s="421" t="n">
        <f aca="false">IF('Executive Summary'!$I$55&gt;5, 'Executive Summary'!$I$55, 'Executive Summary'!$I$49)/12*AX8</f>
        <v>1431.38353986407</v>
      </c>
      <c r="AY50" s="421" t="n">
        <f aca="false">IF('Executive Summary'!$I$55&gt;5, 'Executive Summary'!$I$55, 'Executive Summary'!$I$49)/12*AY8</f>
        <v>1433.74758615439</v>
      </c>
      <c r="AZ50" s="421" t="n">
        <f aca="false">IF('Executive Summary'!$I$55&gt;5, 'Executive Summary'!$I$55, 'Executive Summary'!$I$49)/12*AZ8</f>
        <v>1436.11553685935</v>
      </c>
      <c r="BA50" s="421" t="n">
        <f aca="false">IF('Executive Summary'!$I$55&gt;5, 'Executive Summary'!$I$55, 'Executive Summary'!$I$49)/12*BA8</f>
        <v>1438.48739842743</v>
      </c>
      <c r="BB50" s="421" t="n">
        <f aca="false">IF('Executive Summary'!$I$55&gt;5, 'Executive Summary'!$I$55, 'Executive Summary'!$I$49)/12*BB8</f>
        <v>1440.86317731772</v>
      </c>
      <c r="BC50" s="421" t="n">
        <f aca="false">IF('Executive Summary'!$I$55&gt;5, 'Executive Summary'!$I$55, 'Executive Summary'!$I$49)/12*BC8</f>
        <v>1443.24288</v>
      </c>
      <c r="BD50" s="421" t="n">
        <f aca="false">IF('Executive Summary'!$I$55&gt;5, 'Executive Summary'!$I$55, 'Executive Summary'!$I$49)/12*BD8</f>
        <v>1445.62651295474</v>
      </c>
      <c r="BE50" s="421" t="n">
        <f aca="false">IF('Executive Summary'!$I$55&gt;5, 'Executive Summary'!$I$55, 'Executive Summary'!$I$49)/12*BE8</f>
        <v>1448.0140826731</v>
      </c>
      <c r="BF50" s="421" t="n">
        <f aca="false">IF('Executive Summary'!$I$55&gt;5, 'Executive Summary'!$I$55, 'Executive Summary'!$I$49)/12*BF8</f>
        <v>1450.40559565696</v>
      </c>
      <c r="BG50" s="421" t="n">
        <f aca="false">IF('Executive Summary'!$I$55&gt;5, 'Executive Summary'!$I$55, 'Executive Summary'!$I$49)/12*BG8</f>
        <v>1452.80105841894</v>
      </c>
      <c r="BH50" s="421" t="n">
        <f aca="false">IF('Executive Summary'!$I$55&gt;5, 'Executive Summary'!$I$55, 'Executive Summary'!$I$49)/12*BH8</f>
        <v>1455.20047748244</v>
      </c>
      <c r="BI50" s="421" t="n">
        <f aca="false">IF('Executive Summary'!$I$55&gt;5, 'Executive Summary'!$I$55, 'Executive Summary'!$I$49)/12*BI8</f>
        <v>1457.60385938159</v>
      </c>
      <c r="BJ50" s="421" t="n">
        <f aca="false">IF('Executive Summary'!$I$55&gt;5, 'Executive Summary'!$I$55, 'Executive Summary'!$I$49)/12*BJ8</f>
        <v>1460.01121066136</v>
      </c>
      <c r="BK50" s="421" t="n">
        <f aca="false">IF('Executive Summary'!$I$55&gt;5, 'Executive Summary'!$I$55, 'Executive Summary'!$I$49)/12*BK8</f>
        <v>1462.42253787748</v>
      </c>
      <c r="BL50" s="421" t="n">
        <f aca="false">IF('Executive Summary'!$I$55&gt;5, 'Executive Summary'!$I$55, 'Executive Summary'!$I$49)/12*BL8</f>
        <v>1464.83784759654</v>
      </c>
      <c r="BM50" s="421" t="n">
        <f aca="false">IF('Executive Summary'!$I$55&gt;5, 'Executive Summary'!$I$55, 'Executive Summary'!$I$49)/12*BM8</f>
        <v>1467.25714639598</v>
      </c>
      <c r="BN50" s="421" t="n">
        <f aca="false">IF('Executive Summary'!$I$55&gt;5, 'Executive Summary'!$I$55, 'Executive Summary'!$I$49)/12*BN8</f>
        <v>1469.68044086407</v>
      </c>
      <c r="BO50" s="421" t="n">
        <f aca="false">IF('Executive Summary'!$I$55&gt;5, 'Executive Summary'!$I$55, 'Executive Summary'!$I$49)/12*BO8</f>
        <v>1472.1077376</v>
      </c>
      <c r="BP50" s="421" t="n">
        <f aca="false">IF('Executive Summary'!$I$55&gt;5, 'Executive Summary'!$I$55, 'Executive Summary'!$I$49)/12*BP8</f>
        <v>1474.53904321384</v>
      </c>
      <c r="BQ50" s="421" t="n">
        <f aca="false">IF('Executive Summary'!$I$55&gt;5, 'Executive Summary'!$I$55, 'Executive Summary'!$I$49)/12*BQ8</f>
        <v>1476.97436432656</v>
      </c>
      <c r="BR50" s="421" t="n">
        <f aca="false">IF('Executive Summary'!$I$55&gt;5, 'Executive Summary'!$I$55, 'Executive Summary'!$I$49)/12*BR8</f>
        <v>1479.4137075701</v>
      </c>
      <c r="BS50" s="421" t="n">
        <f aca="false">IF('Executive Summary'!$I$55&gt;5, 'Executive Summary'!$I$55, 'Executive Summary'!$I$49)/12*BS8</f>
        <v>1481.85707958732</v>
      </c>
      <c r="BT50" s="421" t="n">
        <f aca="false">IF('Executive Summary'!$I$55&gt;5, 'Executive Summary'!$I$55, 'Executive Summary'!$I$49)/12*BT8</f>
        <v>1484.30448703209</v>
      </c>
      <c r="BU50" s="421" t="n">
        <f aca="false">IF('Executive Summary'!$I$55&gt;5, 'Executive Summary'!$I$55, 'Executive Summary'!$I$49)/12*BU8</f>
        <v>1486.75593656923</v>
      </c>
      <c r="BV50" s="421" t="n">
        <f aca="false">IF('Executive Summary'!$I$55&gt;5, 'Executive Summary'!$I$55, 'Executive Summary'!$I$49)/12*BV8</f>
        <v>1489.21143487458</v>
      </c>
      <c r="BW50" s="421" t="n">
        <f aca="false">IF('Executive Summary'!$I$55&gt;5, 'Executive Summary'!$I$55, 'Executive Summary'!$I$49)/12*BW8</f>
        <v>1491.67098863503</v>
      </c>
      <c r="BX50" s="421" t="n">
        <f aca="false">IF('Executive Summary'!$I$55&gt;5, 'Executive Summary'!$I$55, 'Executive Summary'!$I$49)/12*BX8</f>
        <v>1494.13460454847</v>
      </c>
      <c r="BY50" s="421" t="n">
        <f aca="false">IF('Executive Summary'!$I$55&gt;5, 'Executive Summary'!$I$55, 'Executive Summary'!$I$49)/12*BY8</f>
        <v>1496.6022893239</v>
      </c>
      <c r="BZ50" s="421" t="n">
        <f aca="false">IF('Executive Summary'!$I$55&gt;5, 'Executive Summary'!$I$55, 'Executive Summary'!$I$49)/12*BZ8</f>
        <v>1499.07404968136</v>
      </c>
      <c r="CA50" s="421" t="n">
        <f aca="false">IF('Executive Summary'!$I$55&gt;5, 'Executive Summary'!$I$55, 'Executive Summary'!$I$49)/12*CA8</f>
        <v>1501.549892352</v>
      </c>
      <c r="CB50" s="421" t="n">
        <f aca="false">IF('Executive Summary'!$I$55&gt;5, 'Executive Summary'!$I$55, 'Executive Summary'!$I$49)/12*CB8</f>
        <v>1504.02982407811</v>
      </c>
      <c r="CC50" s="421" t="n">
        <f aca="false">IF('Executive Summary'!$I$55&gt;5, 'Executive Summary'!$I$55, 'Executive Summary'!$I$49)/12*CC8</f>
        <v>1506.51385161309</v>
      </c>
      <c r="CD50" s="421" t="n">
        <f aca="false">IF('Executive Summary'!$I$55&gt;5, 'Executive Summary'!$I$55, 'Executive Summary'!$I$49)/12*CD8</f>
        <v>1509.0019817215</v>
      </c>
      <c r="CE50" s="421" t="n">
        <f aca="false">IF('Executive Summary'!$I$55&gt;5, 'Executive Summary'!$I$55, 'Executive Summary'!$I$49)/12*CE8</f>
        <v>1511.49422117907</v>
      </c>
      <c r="CF50" s="421" t="n">
        <f aca="false">IF('Executive Summary'!$I$55&gt;5, 'Executive Summary'!$I$55, 'Executive Summary'!$I$49)/12*CF8</f>
        <v>1513.99057677273</v>
      </c>
      <c r="CG50" s="421" t="n">
        <f aca="false">IF('Executive Summary'!$I$55&gt;5, 'Executive Summary'!$I$55, 'Executive Summary'!$I$49)/12*CG8</f>
        <v>1516.49105530061</v>
      </c>
      <c r="CH50" s="421" t="n">
        <f aca="false">IF('Executive Summary'!$I$55&gt;5, 'Executive Summary'!$I$55, 'Executive Summary'!$I$49)/12*CH8</f>
        <v>1518.99566357208</v>
      </c>
      <c r="CI50" s="421" t="n">
        <f aca="false">IF('Executive Summary'!$I$55&gt;5, 'Executive Summary'!$I$55, 'Executive Summary'!$I$49)/12*CI8</f>
        <v>1521.50440840773</v>
      </c>
      <c r="CJ50" s="421" t="n">
        <f aca="false">IF('Executive Summary'!$I$55&gt;5, 'Executive Summary'!$I$55, 'Executive Summary'!$I$49)/12*CJ8</f>
        <v>1524.01729663944</v>
      </c>
      <c r="CK50" s="421" t="n">
        <f aca="false">IF('Executive Summary'!$I$55&gt;5, 'Executive Summary'!$I$55, 'Executive Summary'!$I$49)/12*CK8</f>
        <v>1526.53433511038</v>
      </c>
      <c r="CL50" s="421" t="n">
        <f aca="false">IF('Executive Summary'!$I$55&gt;5, 'Executive Summary'!$I$55, 'Executive Summary'!$I$49)/12*CL8</f>
        <v>1529.05553067499</v>
      </c>
      <c r="CM50" s="421" t="n">
        <f aca="false">IF('Executive Summary'!$I$55&gt;5, 'Executive Summary'!$I$55, 'Executive Summary'!$I$49)/12*CM8</f>
        <v>1531.58089019905</v>
      </c>
      <c r="CN50" s="421" t="n">
        <f aca="false">IF('Executive Summary'!$I$55&gt;5, 'Executive Summary'!$I$55, 'Executive Summary'!$I$49)/12*CN8</f>
        <v>1534.11042055968</v>
      </c>
      <c r="CO50" s="421" t="n">
        <f aca="false">IF('Executive Summary'!$I$55&gt;5, 'Executive Summary'!$I$55, 'Executive Summary'!$I$49)/12*CO8</f>
        <v>1536.64412864535</v>
      </c>
      <c r="CP50" s="421" t="n">
        <f aca="false">IF('Executive Summary'!$I$55&gt;5, 'Executive Summary'!$I$55, 'Executive Summary'!$I$49)/12*CP8</f>
        <v>1539.18202135593</v>
      </c>
      <c r="CQ50" s="421" t="n">
        <f aca="false">IF('Executive Summary'!$I$55&gt;5, 'Executive Summary'!$I$55, 'Executive Summary'!$I$49)/12*CQ8</f>
        <v>1541.72410560265</v>
      </c>
      <c r="CR50" s="421" t="n">
        <f aca="false">IF('Executive Summary'!$I$55&gt;5, 'Executive Summary'!$I$55, 'Executive Summary'!$I$49)/12*CR8</f>
        <v>1544.27038830819</v>
      </c>
      <c r="CS50" s="421" t="n">
        <f aca="false">IF('Executive Summary'!$I$55&gt;5, 'Executive Summary'!$I$55, 'Executive Summary'!$I$49)/12*CS8</f>
        <v>1546.82087640663</v>
      </c>
      <c r="CT50" s="421" t="n">
        <f aca="false">IF('Executive Summary'!$I$55&gt;5, 'Executive Summary'!$I$55, 'Executive Summary'!$I$49)/12*CT8</f>
        <v>1549.37557684352</v>
      </c>
      <c r="CU50" s="421" t="n">
        <f aca="false">IF('Executive Summary'!$I$55&gt;5, 'Executive Summary'!$I$55, 'Executive Summary'!$I$49)/12*CU8</f>
        <v>1551.93449657589</v>
      </c>
      <c r="CV50" s="421" t="n">
        <f aca="false">IF('Executive Summary'!$I$55&gt;5, 'Executive Summary'!$I$55, 'Executive Summary'!$I$49)/12*CV8</f>
        <v>1554.49764257224</v>
      </c>
      <c r="CW50" s="421" t="n">
        <f aca="false">IF('Executive Summary'!$I$55&gt;5, 'Executive Summary'!$I$55, 'Executive Summary'!$I$49)/12*CW8</f>
        <v>1557.06502181259</v>
      </c>
      <c r="CX50" s="421" t="n">
        <f aca="false">IF('Executive Summary'!$I$55&gt;5, 'Executive Summary'!$I$55, 'Executive Summary'!$I$49)/12*CX8</f>
        <v>1559.63664128849</v>
      </c>
      <c r="CY50" s="421" t="n">
        <f aca="false">IF('Executive Summary'!$I$55&gt;5, 'Executive Summary'!$I$55, 'Executive Summary'!$I$49)/12*CY8</f>
        <v>1562.21250800303</v>
      </c>
      <c r="CZ50" s="421" t="n">
        <f aca="false">IF('Executive Summary'!$I$55&gt;5, 'Executive Summary'!$I$55, 'Executive Summary'!$I$49)/12*CZ8</f>
        <v>1564.79262897087</v>
      </c>
      <c r="DA50" s="421" t="n">
        <f aca="false">IF('Executive Summary'!$I$55&gt;5, 'Executive Summary'!$I$55, 'Executive Summary'!$I$49)/12*DA8</f>
        <v>1567.37701121826</v>
      </c>
      <c r="DB50" s="421" t="n">
        <f aca="false">IF('Executive Summary'!$I$55&gt;5, 'Executive Summary'!$I$55, 'Executive Summary'!$I$49)/12*DB8</f>
        <v>1569.96566178305</v>
      </c>
      <c r="DC50" s="421" t="n">
        <f aca="false">IF('Executive Summary'!$I$55&gt;5, 'Executive Summary'!$I$55, 'Executive Summary'!$I$49)/12*DC8</f>
        <v>1572.55858771471</v>
      </c>
      <c r="DD50" s="421" t="n">
        <f aca="false">IF('Executive Summary'!$I$55&gt;5, 'Executive Summary'!$I$55, 'Executive Summary'!$I$49)/12*DD8</f>
        <v>1575.15579607435</v>
      </c>
      <c r="DE50" s="421" t="n">
        <f aca="false">IF('Executive Summary'!$I$55&gt;5, 'Executive Summary'!$I$55, 'Executive Summary'!$I$49)/12*DE8</f>
        <v>1577.75729393476</v>
      </c>
      <c r="DF50" s="421" t="n">
        <f aca="false">IF('Executive Summary'!$I$55&gt;5, 'Executive Summary'!$I$55, 'Executive Summary'!$I$49)/12*DF8</f>
        <v>1580.36308838039</v>
      </c>
      <c r="DG50" s="421" t="n">
        <f aca="false">IF('Executive Summary'!$I$55&gt;5, 'Executive Summary'!$I$55, 'Executive Summary'!$I$49)/12*DG8</f>
        <v>1582.9731865074</v>
      </c>
      <c r="DH50" s="421" t="n">
        <f aca="false">IF('Executive Summary'!$I$55&gt;5, 'Executive Summary'!$I$55, 'Executive Summary'!$I$49)/12*DH8</f>
        <v>1585.58759542368</v>
      </c>
      <c r="DI50" s="421" t="n">
        <f aca="false">IF('Executive Summary'!$I$55&gt;5, 'Executive Summary'!$I$55, 'Executive Summary'!$I$49)/12*DI8</f>
        <v>1588.20632224884</v>
      </c>
      <c r="DJ50" s="421" t="n">
        <f aca="false">IF('Executive Summary'!$I$55&gt;5, 'Executive Summary'!$I$55, 'Executive Summary'!$I$49)/12*DJ8</f>
        <v>1590.82937411426</v>
      </c>
      <c r="DK50" s="421" t="n">
        <f aca="false">IF('Executive Summary'!$I$55&gt;5, 'Executive Summary'!$I$55, 'Executive Summary'!$I$49)/12*DK8</f>
        <v>1593.45675816309</v>
      </c>
      <c r="DL50" s="421" t="n">
        <f aca="false">IF('Executive Summary'!$I$55&gt;5, 'Executive Summary'!$I$55, 'Executive Summary'!$I$49)/12*DL8</f>
        <v>1596.08848155029</v>
      </c>
      <c r="DM50" s="421" t="n">
        <f aca="false">IF('Executive Summary'!$I$55&gt;5, 'Executive Summary'!$I$55, 'Executive Summary'!$I$49)/12*DM8</f>
        <v>1598.72455144263</v>
      </c>
      <c r="DN50" s="421" t="n">
        <f aca="false">IF('Executive Summary'!$I$55&gt;5, 'Executive Summary'!$I$55, 'Executive Summary'!$I$49)/12*DN8</f>
        <v>1601.36497501871</v>
      </c>
      <c r="DO50" s="421" t="n">
        <f aca="false">IF('Executive Summary'!$I$55&gt;5, 'Executive Summary'!$I$55, 'Executive Summary'!$I$49)/12*DO8</f>
        <v>1604.009759469</v>
      </c>
      <c r="DP50" s="421" t="n">
        <f aca="false">IF('Executive Summary'!$I$55&gt;5, 'Executive Summary'!$I$55, 'Executive Summary'!$I$49)/12*DP8</f>
        <v>1606.65891199584</v>
      </c>
      <c r="DQ50" s="421" t="n">
        <f aca="false">IF('Executive Summary'!$I$55&gt;5, 'Executive Summary'!$I$55, 'Executive Summary'!$I$49)/12*DQ8</f>
        <v>1609.31243981346</v>
      </c>
      <c r="DR50" s="421" t="n">
        <f aca="false">IF('Executive Summary'!$I$55&gt;5, 'Executive Summary'!$I$55, 'Executive Summary'!$I$49)/12*DR8</f>
        <v>1611.970350148</v>
      </c>
      <c r="DS50" s="421" t="n">
        <f aca="false">IF('Executive Summary'!$I$55&gt;5, 'Executive Summary'!$I$55, 'Executive Summary'!$I$49)/12*DS8</f>
        <v>1614.63265023755</v>
      </c>
      <c r="DT50" s="421" t="n">
        <f aca="false">IF('Executive Summary'!$I$55&gt;5, 'Executive Summary'!$I$55, 'Executive Summary'!$I$49)/12*DT8</f>
        <v>1617.29934733216</v>
      </c>
      <c r="DU50" s="421" t="n">
        <f aca="false">IF('Executive Summary'!$I$55&gt;5, 'Executive Summary'!$I$55, 'Executive Summary'!$I$49)/12*DU8</f>
        <v>1619.97044869382</v>
      </c>
      <c r="DV50" s="421" t="n">
        <f aca="false">IF('Executive Summary'!$I$55&gt;5, 'Executive Summary'!$I$55, 'Executive Summary'!$I$49)/12*DV8</f>
        <v>1622.64596159654</v>
      </c>
      <c r="DW50" s="421" t="n">
        <f aca="false">IF('Executive Summary'!$I$55&gt;5, 'Executive Summary'!$I$55, 'Executive Summary'!$I$49)/12*DW8</f>
        <v>1625.32589332635</v>
      </c>
      <c r="DX50" s="421" t="n">
        <f aca="false">IF('Executive Summary'!$I$55&gt;5, 'Executive Summary'!$I$55, 'Executive Summary'!$I$49)/12*DX8</f>
        <v>1628.0102511813</v>
      </c>
      <c r="DY50" s="421" t="n">
        <f aca="false">IF('Executive Summary'!$I$55&gt;5, 'Executive Summary'!$I$55, 'Executive Summary'!$I$49)/12*DY8</f>
        <v>1630.69904247148</v>
      </c>
      <c r="DZ50" s="421" t="n">
        <f aca="false">IF('Executive Summary'!$I$55&gt;5, 'Executive Summary'!$I$55, 'Executive Summary'!$I$49)/12*DZ8</f>
        <v>1633.39227451909</v>
      </c>
      <c r="EA50" s="421" t="n">
        <f aca="false">IF('Executive Summary'!$I$55&gt;5, 'Executive Summary'!$I$55, 'Executive Summary'!$I$49)/12*EA8</f>
        <v>1636.08995465838</v>
      </c>
      <c r="EB50" s="421" t="n">
        <f aca="false">IF('Executive Summary'!$I$55&gt;5, 'Executive Summary'!$I$55, 'Executive Summary'!$I$49)/12*EB8</f>
        <v>1638.79209023576</v>
      </c>
      <c r="EC50" s="421" t="n">
        <f aca="false">IF('Executive Summary'!$I$55&gt;5, 'Executive Summary'!$I$55, 'Executive Summary'!$I$49)/12*EC8</f>
        <v>1641.49868860972</v>
      </c>
      <c r="ED50" s="421" t="n">
        <f aca="false">IF('Executive Summary'!$I$55&gt;5, 'Executive Summary'!$I$55, 'Executive Summary'!$I$49)/12*ED8</f>
        <v>1644.20975715096</v>
      </c>
      <c r="EE50" s="421" t="n">
        <f aca="false">IF('Executive Summary'!$I$55&gt;5, 'Executive Summary'!$I$55, 'Executive Summary'!$I$49)/12*EE8</f>
        <v>1646.9253032423</v>
      </c>
      <c r="EF50" s="421" t="n">
        <f aca="false">IF('Executive Summary'!$I$55&gt;5, 'Executive Summary'!$I$55, 'Executive Summary'!$I$49)/12*EF8</f>
        <v>1649.6453342788</v>
      </c>
      <c r="EG50" s="421" t="n">
        <f aca="false">IF('Executive Summary'!$I$55&gt;5, 'Executive Summary'!$I$55, 'Executive Summary'!$I$49)/12*EG8</f>
        <v>1652.36985766769</v>
      </c>
      <c r="EH50" s="421" t="n">
        <f aca="false">IF('Executive Summary'!$I$55&gt;5, 'Executive Summary'!$I$55, 'Executive Summary'!$I$49)/12*EH8</f>
        <v>1655.09888082847</v>
      </c>
      <c r="EI50" s="472" t="n">
        <f aca="false">IF('Executive Summary'!$I$55&gt;5, 'Executive Summary'!$I$55, 'Executive Summary'!$I$49)/12*EI8</f>
        <v>1657.83241119288</v>
      </c>
      <c r="EK50" s="513" t="n">
        <f aca="true">SUM(OFFSET($G50,0,EK$24*12-11,1,12))</f>
        <v>16172.8089338764</v>
      </c>
      <c r="EL50" s="421" t="n">
        <f aca="true">SUM(OFFSET($G50,0,EL$24*12-11,1,12))</f>
        <v>16496.265112554</v>
      </c>
      <c r="EM50" s="421" t="n">
        <f aca="true">SUM(OFFSET($G50,0,EM$24*12-11,1,12))</f>
        <v>16826.1904148051</v>
      </c>
      <c r="EN50" s="421" t="n">
        <f aca="true">SUM(OFFSET($G50,0,EN$24*12-11,1,12))</f>
        <v>17162.7142231012</v>
      </c>
      <c r="EO50" s="421" t="n">
        <f aca="true">SUM(OFFSET($G50,0,EO$24*12-11,1,12))</f>
        <v>17505.9685075632</v>
      </c>
      <c r="EP50" s="421" t="n">
        <f aca="true">SUM(OFFSET($G50,0,EP$24*12-11,1,12))</f>
        <v>17856.0878777145</v>
      </c>
      <c r="EQ50" s="421" t="n">
        <f aca="true">SUM(OFFSET($G50,0,EQ$24*12-11,1,12))</f>
        <v>18213.2096352688</v>
      </c>
      <c r="ER50" s="421" t="n">
        <f aca="true">SUM(OFFSET($G50,0,ER$24*12-11,1,12))</f>
        <v>18577.4738279742</v>
      </c>
      <c r="ES50" s="421" t="n">
        <f aca="true">SUM(OFFSET($G50,0,ES$24*12-11,1,12))</f>
        <v>18949.0233045337</v>
      </c>
      <c r="ET50" s="472" t="n">
        <f aca="true">SUM(OFFSET($G50,0,ET$24*12-11,1,12))</f>
        <v>19328.0037706243</v>
      </c>
    </row>
    <row r="51" s="522" customFormat="true" ht="13.5" hidden="false" customHeight="true" outlineLevel="0" collapsed="false">
      <c r="B51" s="513" t="s">
        <v>398</v>
      </c>
      <c r="C51" s="61"/>
      <c r="D51" s="421"/>
      <c r="E51" s="472" t="n">
        <f aca="true">SUM(OFFSET(G51,0,0,1,'Executive Summary'!$I$13+1))</f>
        <v>151698.243164794</v>
      </c>
      <c r="F51" s="421"/>
      <c r="G51" s="513" t="n">
        <v>0</v>
      </c>
      <c r="H51" s="421" t="n">
        <f aca="false">'Operating Inputs'!$P$34*'Cash Flow - Monthly'!H37</f>
        <v>2233.92072988962</v>
      </c>
      <c r="I51" s="421" t="n">
        <f aca="false">'Operating Inputs'!$P$34*'Cash Flow - Monthly'!I37</f>
        <v>2247.00134222277</v>
      </c>
      <c r="J51" s="421" t="n">
        <f aca="false">'Operating Inputs'!$P$34*'Cash Flow - Monthly'!J37</f>
        <v>2263.63628475181</v>
      </c>
      <c r="K51" s="421" t="n">
        <f aca="false">'Operating Inputs'!$P$34*'Cash Flow - Monthly'!K37</f>
        <v>2276.8873611265</v>
      </c>
      <c r="L51" s="421" t="n">
        <f aca="false">'Operating Inputs'!$P$34*'Cash Flow - Monthly'!L37</f>
        <v>2293.72540488628</v>
      </c>
      <c r="M51" s="421" t="n">
        <f aca="false">'Operating Inputs'!$P$34*'Cash Flow - Monthly'!M37</f>
        <v>2307.17587207358</v>
      </c>
      <c r="N51" s="421" t="n">
        <f aca="false">'Operating Inputs'!$P$34*'Cash Flow - Monthly'!N37</f>
        <v>2324.21724314531</v>
      </c>
      <c r="O51" s="421" t="n">
        <f aca="false">'Operating Inputs'!$P$34*'Cash Flow - Monthly'!O37</f>
        <v>2337.86732316158</v>
      </c>
      <c r="P51" s="421" t="n">
        <f aca="false">'Operating Inputs'!$P$34*'Cash Flow - Monthly'!P37</f>
        <v>2355.11224788534</v>
      </c>
      <c r="Q51" s="421" t="n">
        <f aca="false">'Operating Inputs'!$P$34*'Cash Flow - Monthly'!Q37</f>
        <v>2368.96216300135</v>
      </c>
      <c r="R51" s="421" t="n">
        <f aca="false">'Operating Inputs'!$P$34*'Cash Flow - Monthly'!R37</f>
        <v>2386.4108679764</v>
      </c>
      <c r="S51" s="421" t="n">
        <f aca="false">'Operating Inputs'!$P$34*'Cash Flow - Monthly'!S37</f>
        <v>2400.46084071764</v>
      </c>
      <c r="T51" s="421" t="n">
        <f aca="false">'Operating Inputs'!$P$34*'Cash Flow - Monthly'!T37</f>
        <v>2409.65355513245</v>
      </c>
      <c r="U51" s="421" t="n">
        <f aca="false">'Operating Inputs'!$P$34*'Cash Flow - Monthly'!U37</f>
        <v>2418.1736211697</v>
      </c>
      <c r="V51" s="421" t="n">
        <f aca="false">'Operating Inputs'!$P$34*'Cash Flow - Monthly'!V37</f>
        <v>2423.61612997322</v>
      </c>
      <c r="W51" s="421" t="n">
        <f aca="false">'Operating Inputs'!$P$34*'Cash Flow - Monthly'!W37</f>
        <v>2432.94933448177</v>
      </c>
      <c r="X51" s="421" t="n">
        <f aca="false">'Operating Inputs'!$P$34*'Cash Flow - Monthly'!X37</f>
        <v>2439.20375635117</v>
      </c>
      <c r="Y51" s="421" t="n">
        <f aca="false">'Operating Inputs'!$P$34*'Cash Flow - Monthly'!Y37</f>
        <v>2449.35529835938</v>
      </c>
      <c r="Z51" s="421" t="n">
        <f aca="false">'Operating Inputs'!$P$34*'Cash Flow - Monthly'!Z37</f>
        <v>2456.4268425048</v>
      </c>
      <c r="AA51" s="421" t="n">
        <f aca="false">'Operating Inputs'!$P$34*'Cash Flow - Monthly'!AA37</f>
        <v>2467.40194982723</v>
      </c>
      <c r="AB51" s="421" t="n">
        <f aca="false">'Operating Inputs'!$P$34*'Cash Flow - Monthly'!AB37</f>
        <v>2475.29585431799</v>
      </c>
      <c r="AC51" s="421" t="n">
        <f aca="false">'Operating Inputs'!$P$34*'Cash Flow - Monthly'!AC37</f>
        <v>2487.09978371074</v>
      </c>
      <c r="AD51" s="421" t="n">
        <f aca="false">'Operating Inputs'!$P$34*'Cash Flow - Monthly'!AD37</f>
        <v>2495.82131563104</v>
      </c>
      <c r="AE51" s="421" t="n">
        <f aca="false">'Operating Inputs'!$P$34*'Cash Flow - Monthly'!AE37</f>
        <v>2508.45935294789</v>
      </c>
      <c r="AF51" s="421" t="n">
        <f aca="false">'Operating Inputs'!$P$34*'Cash Flow - Monthly'!AF37</f>
        <v>2513.05008895295</v>
      </c>
      <c r="AG51" s="421" t="n">
        <f aca="false">'Operating Inputs'!$P$34*'Cash Flow - Monthly'!AG37</f>
        <v>2519.57283005832</v>
      </c>
      <c r="AH51" s="421" t="n">
        <f aca="false">'Operating Inputs'!$P$34*'Cash Flow - Monthly'!AH37</f>
        <v>2526.07162209616</v>
      </c>
      <c r="AI51" s="421" t="n">
        <f aca="false">'Operating Inputs'!$P$34*'Cash Flow - Monthly'!AI37</f>
        <v>2532.54629921937</v>
      </c>
      <c r="AJ51" s="421" t="n">
        <f aca="false">'Operating Inputs'!$P$34*'Cash Flow - Monthly'!AJ37</f>
        <v>2538.99669488663</v>
      </c>
      <c r="AK51" s="421" t="n">
        <f aca="false">'Operating Inputs'!$P$34*'Cash Flow - Monthly'!AK37</f>
        <v>2545.42264185991</v>
      </c>
      <c r="AL51" s="421" t="n">
        <f aca="false">'Operating Inputs'!$P$34*'Cash Flow - Monthly'!AL37</f>
        <v>2551.82397220202</v>
      </c>
      <c r="AM51" s="421" t="n">
        <f aca="false">'Operating Inputs'!$P$34*'Cash Flow - Monthly'!AM37</f>
        <v>2558.20051727407</v>
      </c>
      <c r="AN51" s="421" t="n">
        <f aca="false">'Operating Inputs'!$P$34*'Cash Flow - Monthly'!AN37</f>
        <v>2564.55210773302</v>
      </c>
      <c r="AO51" s="421" t="n">
        <f aca="false">'Operating Inputs'!$P$34*'Cash Flow - Monthly'!AO37</f>
        <v>2571.11834144376</v>
      </c>
      <c r="AP51" s="421" t="n">
        <f aca="false">'Operating Inputs'!$P$34*'Cash Flow - Monthly'!AP37</f>
        <v>2577.1797439035</v>
      </c>
      <c r="AQ51" s="421" t="n">
        <f aca="false">'Operating Inputs'!$P$34*'Cash Flow - Monthly'!AQ37</f>
        <v>2583.45544738547</v>
      </c>
      <c r="AR51" s="421" t="n">
        <f aca="false">'Operating Inputs'!$P$34*'Cash Flow - Monthly'!AR37</f>
        <v>2587.87570636778</v>
      </c>
      <c r="AS51" s="421" t="n">
        <f aca="false">'Operating Inputs'!$P$34*'Cash Flow - Monthly'!AS37</f>
        <v>2594.18162834171</v>
      </c>
      <c r="AT51" s="421" t="n">
        <f aca="false">'Operating Inputs'!$P$34*'Cash Flow - Monthly'!AT37</f>
        <v>2600.50271452055</v>
      </c>
      <c r="AU51" s="421" t="n">
        <f aca="false">'Operating Inputs'!$P$34*'Cash Flow - Monthly'!AU37</f>
        <v>2606.83900166264</v>
      </c>
      <c r="AV51" s="421" t="n">
        <f aca="false">'Operating Inputs'!$P$34*'Cash Flow - Monthly'!AV37</f>
        <v>2613.19052661597</v>
      </c>
      <c r="AW51" s="421" t="n">
        <f aca="false">'Operating Inputs'!$P$34*'Cash Flow - Monthly'!AW37</f>
        <v>2619.55732631833</v>
      </c>
      <c r="AX51" s="421" t="n">
        <f aca="false">'Operating Inputs'!$P$34*'Cash Flow - Monthly'!AX37</f>
        <v>2625.93943779753</v>
      </c>
      <c r="AY51" s="421" t="n">
        <f aca="false">'Operating Inputs'!$P$34*'Cash Flow - Monthly'!AY37</f>
        <v>2632.33689817167</v>
      </c>
      <c r="AZ51" s="421" t="n">
        <f aca="false">'Operating Inputs'!$P$34*'Cash Flow - Monthly'!AZ37</f>
        <v>2638.74974464929</v>
      </c>
      <c r="BA51" s="421" t="n">
        <f aca="false">'Operating Inputs'!$P$34*'Cash Flow - Monthly'!BA37</f>
        <v>2645.17801452965</v>
      </c>
      <c r="BB51" s="421" t="n">
        <f aca="false">'Operating Inputs'!$P$34*'Cash Flow - Monthly'!BB37</f>
        <v>2651.62174520295</v>
      </c>
      <c r="BC51" s="421" t="n">
        <f aca="false">'Operating Inputs'!$P$34*'Cash Flow - Monthly'!BC37</f>
        <v>2658.0809741505</v>
      </c>
      <c r="BD51" s="421" t="n">
        <f aca="false">'Operating Inputs'!$P$34*'Cash Flow - Monthly'!BD37</f>
        <v>2662.62908742559</v>
      </c>
      <c r="BE51" s="421" t="n">
        <f aca="false">'Operating Inputs'!$P$34*'Cash Flow - Monthly'!BE37</f>
        <v>2669.1194257313</v>
      </c>
      <c r="BF51" s="421" t="n">
        <f aca="false">'Operating Inputs'!$P$34*'Cash Flow - Monthly'!BF37</f>
        <v>2675.62537530434</v>
      </c>
      <c r="BG51" s="421" t="n">
        <f aca="false">'Operating Inputs'!$P$34*'Cash Flow - Monthly'!BG37</f>
        <v>2682.14697399284</v>
      </c>
      <c r="BH51" s="421" t="n">
        <f aca="false">'Operating Inputs'!$P$34*'Cash Flow - Monthly'!BH37</f>
        <v>2688.68425973719</v>
      </c>
      <c r="BI51" s="421" t="n">
        <f aca="false">'Operating Inputs'!$P$34*'Cash Flow - Monthly'!BI37</f>
        <v>2695.23727057028</v>
      </c>
      <c r="BJ51" s="421" t="n">
        <f aca="false">'Operating Inputs'!$P$34*'Cash Flow - Monthly'!BJ37</f>
        <v>2701.80604461774</v>
      </c>
      <c r="BK51" s="421" t="n">
        <f aca="false">'Operating Inputs'!$P$34*'Cash Flow - Monthly'!BK37</f>
        <v>2708.39062009809</v>
      </c>
      <c r="BL51" s="421" t="n">
        <f aca="false">'Operating Inputs'!$P$34*'Cash Flow - Monthly'!BL37</f>
        <v>2714.99103532308</v>
      </c>
      <c r="BM51" s="421" t="n">
        <f aca="false">'Operating Inputs'!$P$34*'Cash Flow - Monthly'!BM37</f>
        <v>2721.60732869781</v>
      </c>
      <c r="BN51" s="421" t="n">
        <f aca="false">'Operating Inputs'!$P$34*'Cash Flow - Monthly'!BN37</f>
        <v>2728.23953872103</v>
      </c>
      <c r="BO51" s="421" t="n">
        <f aca="false">'Operating Inputs'!$P$34*'Cash Flow - Monthly'!BO37</f>
        <v>2734.88770398535</v>
      </c>
      <c r="BP51" s="421" t="n">
        <f aca="false">'Operating Inputs'!$P$34*'Cash Flow - Monthly'!BP37</f>
        <v>2739.56741211247</v>
      </c>
      <c r="BQ51" s="421" t="n">
        <f aca="false">'Operating Inputs'!$P$34*'Cash Flow - Monthly'!BQ37</f>
        <v>2746.24760401337</v>
      </c>
      <c r="BR51" s="421" t="n">
        <f aca="false">'Operating Inputs'!$P$34*'Cash Flow - Monthly'!BR37</f>
        <v>2752.94386749862</v>
      </c>
      <c r="BS51" s="421" t="n">
        <f aca="false">'Operating Inputs'!$P$34*'Cash Flow - Monthly'!BS37</f>
        <v>2759.65624153854</v>
      </c>
      <c r="BT51" s="421" t="n">
        <f aca="false">'Operating Inputs'!$P$34*'Cash Flow - Monthly'!BT37</f>
        <v>2965.67476519849</v>
      </c>
      <c r="BU51" s="421" t="n">
        <f aca="false">'Operating Inputs'!$P$34*'Cash Flow - Monthly'!BU37</f>
        <v>2972.41947763905</v>
      </c>
      <c r="BV51" s="421" t="n">
        <f aca="false">'Operating Inputs'!$P$34*'Cash Flow - Monthly'!BV37</f>
        <v>2979.18041811627</v>
      </c>
      <c r="BW51" s="421" t="n">
        <f aca="false">'Operating Inputs'!$P$34*'Cash Flow - Monthly'!BW37</f>
        <v>2985.95762598194</v>
      </c>
      <c r="BX51" s="421" t="n">
        <f aca="false">'Operating Inputs'!$P$34*'Cash Flow - Monthly'!BX37</f>
        <v>2992.75114068377</v>
      </c>
      <c r="BY51" s="421" t="n">
        <f aca="false">'Operating Inputs'!$P$34*'Cash Flow - Monthly'!BY37</f>
        <v>2999.56100176565</v>
      </c>
      <c r="BZ51" s="421" t="n">
        <f aca="false">'Operating Inputs'!$P$34*'Cash Flow - Monthly'!BZ37</f>
        <v>3006.38724886789</v>
      </c>
      <c r="CA51" s="421" t="n">
        <f aca="false">'Operating Inputs'!$P$34*'Cash Flow - Monthly'!CA37</f>
        <v>3013.22992172745</v>
      </c>
      <c r="CB51" s="421" t="n">
        <f aca="false">'Operating Inputs'!$P$34*'Cash Flow - Monthly'!CB37</f>
        <v>2818.75507558124</v>
      </c>
      <c r="CC51" s="421" t="n">
        <f aca="false">'Operating Inputs'!$P$34*'Cash Flow - Monthly'!CC37</f>
        <v>2825.6307195541</v>
      </c>
      <c r="CD51" s="421" t="n">
        <f aca="false">'Operating Inputs'!$P$34*'Cash Flow - Monthly'!CD37</f>
        <v>2832.52290907742</v>
      </c>
      <c r="CE51" s="421" t="n">
        <f aca="false">'Operating Inputs'!$P$34*'Cash Flow - Monthly'!CE37</f>
        <v>2839.43168427714</v>
      </c>
      <c r="CF51" s="421" t="n">
        <f aca="false">'Operating Inputs'!$P$34*'Cash Flow - Monthly'!CF37</f>
        <v>2846.35708537702</v>
      </c>
      <c r="CG51" s="421" t="n">
        <f aca="false">'Operating Inputs'!$P$34*'Cash Flow - Monthly'!CG37</f>
        <v>2853.2991526989</v>
      </c>
      <c r="CH51" s="421" t="n">
        <f aca="false">'Operating Inputs'!$P$34*'Cash Flow - Monthly'!CH37</f>
        <v>2860.25792666296</v>
      </c>
      <c r="CI51" s="421" t="n">
        <f aca="false">'Operating Inputs'!$P$34*'Cash Flow - Monthly'!CI37</f>
        <v>2867.23344778792</v>
      </c>
      <c r="CJ51" s="421" t="n">
        <f aca="false">'Operating Inputs'!$P$34*'Cash Flow - Monthly'!CJ37</f>
        <v>2874.2257566913</v>
      </c>
      <c r="CK51" s="421" t="n">
        <f aca="false">'Operating Inputs'!$P$34*'Cash Flow - Monthly'!CK37</f>
        <v>2881.23489408966</v>
      </c>
      <c r="CL51" s="421" t="n">
        <f aca="false">'Operating Inputs'!$P$34*'Cash Flow - Monthly'!CL37</f>
        <v>2888.26090079886</v>
      </c>
      <c r="CM51" s="421" t="n">
        <f aca="false">'Operating Inputs'!$P$34*'Cash Flow - Monthly'!CM37</f>
        <v>2895.30381773426</v>
      </c>
      <c r="CN51" s="421" t="n">
        <f aca="false">'Operating Inputs'!$P$34*'Cash Flow - Monthly'!CN37</f>
        <v>2900.25838177618</v>
      </c>
      <c r="CO51" s="421" t="n">
        <f aca="false">'Operating Inputs'!$P$34*'Cash Flow - Monthly'!CO37</f>
        <v>2907.33524230946</v>
      </c>
      <c r="CP51" s="421" t="n">
        <f aca="false">'Operating Inputs'!$P$34*'Cash Flow - Monthly'!CP37</f>
        <v>2914.42913641467</v>
      </c>
      <c r="CQ51" s="421" t="n">
        <f aca="false">'Operating Inputs'!$P$34*'Cash Flow - Monthly'!CQ37</f>
        <v>2921.54010540774</v>
      </c>
      <c r="CR51" s="421" t="n">
        <f aca="false">'Operating Inputs'!$P$34*'Cash Flow - Monthly'!CR37</f>
        <v>2928.66819070535</v>
      </c>
      <c r="CS51" s="421" t="n">
        <f aca="false">'Operating Inputs'!$P$34*'Cash Flow - Monthly'!CS37</f>
        <v>2935.81343382517</v>
      </c>
      <c r="CT51" s="421" t="n">
        <f aca="false">'Operating Inputs'!$P$34*'Cash Flow - Monthly'!CT37</f>
        <v>2942.97587638612</v>
      </c>
      <c r="CU51" s="421" t="n">
        <f aca="false">'Operating Inputs'!$P$34*'Cash Flow - Monthly'!CU37</f>
        <v>2950.15556010861</v>
      </c>
      <c r="CV51" s="421" t="n">
        <f aca="false">'Operating Inputs'!$P$34*'Cash Flow - Monthly'!CV37</f>
        <v>2957.3525268148</v>
      </c>
      <c r="CW51" s="421" t="n">
        <f aca="false">'Operating Inputs'!$P$34*'Cash Flow - Monthly'!CW37</f>
        <v>2964.56681842882</v>
      </c>
      <c r="CX51" s="421" t="n">
        <f aca="false">'Operating Inputs'!$P$34*'Cash Flow - Monthly'!CX37</f>
        <v>2971.79847697706</v>
      </c>
      <c r="CY51" s="421" t="n">
        <f aca="false">'Operating Inputs'!$P$34*'Cash Flow - Monthly'!CY37</f>
        <v>2979.04754458838</v>
      </c>
      <c r="CZ51" s="421" t="n">
        <f aca="false">'Operating Inputs'!$P$34*'Cash Flow - Monthly'!CZ37</f>
        <v>2984.14560023553</v>
      </c>
      <c r="DA51" s="421" t="n">
        <f aca="false">'Operating Inputs'!$P$34*'Cash Flow - Monthly'!DA37</f>
        <v>2991.42961277085</v>
      </c>
      <c r="DB51" s="421" t="n">
        <f aca="false">'Operating Inputs'!$P$34*'Cash Flow - Monthly'!DB37</f>
        <v>2998.73116137333</v>
      </c>
      <c r="DC51" s="421" t="n">
        <f aca="false">'Operating Inputs'!$P$34*'Cash Flow - Monthly'!DC37</f>
        <v>3006.05028858431</v>
      </c>
      <c r="DD51" s="421" t="n">
        <f aca="false">'Operating Inputs'!$P$34*'Cash Flow - Monthly'!DD37</f>
        <v>3013.38703704887</v>
      </c>
      <c r="DE51" s="421" t="n">
        <f aca="false">'Operating Inputs'!$P$34*'Cash Flow - Monthly'!DE37</f>
        <v>3020.74144951613</v>
      </c>
      <c r="DF51" s="421" t="n">
        <f aca="false">'Operating Inputs'!$P$34*'Cash Flow - Monthly'!DF37</f>
        <v>3028.11356883944</v>
      </c>
      <c r="DG51" s="421" t="n">
        <f aca="false">'Operating Inputs'!$P$34*'Cash Flow - Monthly'!DG37</f>
        <v>3035.50343797667</v>
      </c>
      <c r="DH51" s="421" t="n">
        <f aca="false">'Operating Inputs'!$P$34*'Cash Flow - Monthly'!DH37</f>
        <v>3042.91109999046</v>
      </c>
      <c r="DI51" s="421" t="n">
        <f aca="false">'Operating Inputs'!$P$34*'Cash Flow - Monthly'!DI37</f>
        <v>3050.33659804848</v>
      </c>
      <c r="DJ51" s="421" t="n">
        <f aca="false">'Operating Inputs'!$P$34*'Cash Flow - Monthly'!DJ37</f>
        <v>3057.77997542369</v>
      </c>
      <c r="DK51" s="421" t="n">
        <f aca="false">'Operating Inputs'!$P$34*'Cash Flow - Monthly'!DK37</f>
        <v>3065.24127549457</v>
      </c>
      <c r="DL51" s="421" t="n">
        <f aca="false">'Operating Inputs'!$P$34*'Cash Flow - Monthly'!DL37</f>
        <v>3070.48702458877</v>
      </c>
      <c r="DM51" s="421" t="n">
        <f aca="false">'Operating Inputs'!$P$34*'Cash Flow - Monthly'!DM37</f>
        <v>3077.98430060993</v>
      </c>
      <c r="DN51" s="421" t="n">
        <f aca="false">'Operating Inputs'!$P$34*'Cash Flow - Monthly'!DN37</f>
        <v>3085.49963009808</v>
      </c>
      <c r="DO51" s="421" t="n">
        <f aca="false">'Operating Inputs'!$P$34*'Cash Flow - Monthly'!DO37</f>
        <v>3093.03305685646</v>
      </c>
      <c r="DP51" s="421" t="n">
        <f aca="false">'Operating Inputs'!$P$34*'Cash Flow - Monthly'!DP37</f>
        <v>3100.58462479515</v>
      </c>
      <c r="DQ51" s="421" t="n">
        <f aca="false">'Operating Inputs'!$P$34*'Cash Flow - Monthly'!DQ37</f>
        <v>3108.15437793135</v>
      </c>
      <c r="DR51" s="421" t="n">
        <f aca="false">'Operating Inputs'!$P$34*'Cash Flow - Monthly'!DR37</f>
        <v>3115.74236038959</v>
      </c>
      <c r="DS51" s="421" t="n">
        <f aca="false">'Operating Inputs'!$P$34*'Cash Flow - Monthly'!DS37</f>
        <v>3123.34861640206</v>
      </c>
      <c r="DT51" s="421" t="n">
        <f aca="false">'Operating Inputs'!$P$34*'Cash Flow - Monthly'!DT37</f>
        <v>3130.97319030881</v>
      </c>
      <c r="DU51" s="421" t="n">
        <f aca="false">'Operating Inputs'!$P$34*'Cash Flow - Monthly'!DU37</f>
        <v>3138.61612655807</v>
      </c>
      <c r="DV51" s="421" t="n">
        <f aca="false">'Operating Inputs'!$P$34*'Cash Flow - Monthly'!DV37</f>
        <v>3146.27746970646</v>
      </c>
      <c r="DW51" s="421" t="n">
        <f aca="false">'Operating Inputs'!$P$34*'Cash Flow - Monthly'!DW37</f>
        <v>3153.95726441931</v>
      </c>
      <c r="DX51" s="421" t="n">
        <f aca="false">'Operating Inputs'!$P$34*'Cash Flow - Monthly'!DX37</f>
        <v>3159.35503279953</v>
      </c>
      <c r="DY51" s="421" t="n">
        <f aca="false">'Operating Inputs'!$P$34*'Cash Flow - Monthly'!DY37</f>
        <v>3167.0718650733</v>
      </c>
      <c r="DZ51" s="421" t="n">
        <f aca="false">'Operating Inputs'!$P$34*'Cash Flow - Monthly'!DZ37</f>
        <v>3174.80728356224</v>
      </c>
      <c r="EA51" s="421" t="n">
        <f aca="false">'Operating Inputs'!$P$34*'Cash Flow - Monthly'!EA37</f>
        <v>3182.56133336906</v>
      </c>
      <c r="EB51" s="421" t="n">
        <f aca="false">'Operating Inputs'!$P$34*'Cash Flow - Monthly'!EB37</f>
        <v>3190.33405970651</v>
      </c>
      <c r="EC51" s="421" t="n">
        <f aca="false">'Operating Inputs'!$P$34*'Cash Flow - Monthly'!EC37</f>
        <v>3198.12550789761</v>
      </c>
      <c r="ED51" s="421" t="n">
        <f aca="false">'Operating Inputs'!$P$34*'Cash Flow - Monthly'!ED37</f>
        <v>3205.93572337595</v>
      </c>
      <c r="EE51" s="421" t="n">
        <f aca="false">'Operating Inputs'!$P$34*'Cash Flow - Monthly'!EE37</f>
        <v>3213.76475168593</v>
      </c>
      <c r="EF51" s="421" t="n">
        <f aca="false">'Operating Inputs'!$P$34*'Cash Flow - Monthly'!EF37</f>
        <v>3221.61263848309</v>
      </c>
      <c r="EG51" s="421" t="n">
        <f aca="false">'Operating Inputs'!$P$34*'Cash Flow - Monthly'!EG37</f>
        <v>3229.47942953431</v>
      </c>
      <c r="EH51" s="421" t="n">
        <f aca="false">'Operating Inputs'!$P$34*'Cash Flow - Monthly'!EH37</f>
        <v>3237.36517071812</v>
      </c>
      <c r="EI51" s="472" t="n">
        <f aca="false">'Operating Inputs'!$P$34*'Cash Flow - Monthly'!EI37</f>
        <v>3245.26990802499</v>
      </c>
      <c r="EK51" s="513" t="n">
        <f aca="true">SUM(OFFSET($G51,0,EK$24*12-11,1,12))</f>
        <v>27795.3776808382</v>
      </c>
      <c r="EL51" s="421" t="n">
        <f aca="true">SUM(OFFSET($G51,0,EL$24*12-11,1,12))</f>
        <v>29463.4567944074</v>
      </c>
      <c r="EM51" s="421" t="n">
        <f aca="true">SUM(OFFSET($G51,0,EM$24*12-11,1,12))</f>
        <v>30581.9903070152</v>
      </c>
      <c r="EN51" s="421" t="n">
        <f aca="true">SUM(OFFSET($G51,0,EN$24*12-11,1,12))</f>
        <v>31474.0537183286</v>
      </c>
      <c r="EO51" s="421" t="n">
        <f aca="true">SUM(OFFSET($G51,0,EO$24*12-11,1,12))</f>
        <v>32383.3646642046</v>
      </c>
      <c r="EP51" s="421" t="n">
        <f aca="true">SUM(OFFSET($G51,0,EP$24*12-11,1,12))</f>
        <v>34913.5767251435</v>
      </c>
      <c r="EQ51" s="421" t="n">
        <f aca="true">SUM(OFFSET($G51,0,EQ$24*12-11,1,12))</f>
        <v>34282.5133703308</v>
      </c>
      <c r="ER51" s="421" t="n">
        <f aca="true">SUM(OFFSET($G51,0,ER$24*12-11,1,12))</f>
        <v>35273.9412937424</v>
      </c>
      <c r="ES51" s="421" t="n">
        <f aca="true">SUM(OFFSET($G51,0,ES$24*12-11,1,12))</f>
        <v>36294.3711053023</v>
      </c>
      <c r="ET51" s="472" t="n">
        <f aca="true">SUM(OFFSET($G51,0,ET$24*12-11,1,12))</f>
        <v>37344.658042664</v>
      </c>
    </row>
    <row r="52" s="550" customFormat="true" ht="13.5" hidden="false" customHeight="true" outlineLevel="0" collapsed="false">
      <c r="B52" s="560" t="s">
        <v>399</v>
      </c>
      <c r="C52" s="86"/>
      <c r="D52" s="561"/>
      <c r="E52" s="562" t="n">
        <f aca="true">SUM(OFFSET(G52,0,0,1,'Executive Summary'!$I$13+1))</f>
        <v>574809.846510197</v>
      </c>
      <c r="F52" s="473"/>
      <c r="G52" s="560" t="n">
        <f aca="false">SUM(G49:G51)</f>
        <v>0</v>
      </c>
      <c r="H52" s="561" t="n">
        <f aca="false">SUM(H49:H51)</f>
        <v>8590.27645838395</v>
      </c>
      <c r="I52" s="561" t="n">
        <f aca="false">SUM(I49:I51)</f>
        <v>8613.85510898663</v>
      </c>
      <c r="J52" s="561" t="n">
        <f aca="false">SUM(J49:J51)</f>
        <v>8641.00542814891</v>
      </c>
      <c r="K52" s="561" t="n">
        <f aca="false">SUM(K49:K51)</f>
        <v>8664.78924815628</v>
      </c>
      <c r="L52" s="561" t="n">
        <f aca="false">SUM(L49:L51)</f>
        <v>8692.17743123118</v>
      </c>
      <c r="M52" s="561" t="n">
        <f aca="false">SUM(M49:M51)</f>
        <v>8716.19546214643</v>
      </c>
      <c r="N52" s="561" t="n">
        <f aca="false">SUM(N49:N51)</f>
        <v>8743.82185013676</v>
      </c>
      <c r="O52" s="561" t="n">
        <f aca="false">SUM(O49:O51)</f>
        <v>8768.07442908766</v>
      </c>
      <c r="P52" s="561" t="n">
        <f aca="false">SUM(P49:P51)</f>
        <v>8795.93936363505</v>
      </c>
      <c r="Q52" s="561" t="n">
        <f aca="false">SUM(Q49:Q51)</f>
        <v>8820.42682838432</v>
      </c>
      <c r="R52" s="561" t="n">
        <f aca="false">SUM(R49:R51)</f>
        <v>8848.53065177072</v>
      </c>
      <c r="S52" s="561" t="n">
        <f aca="false">SUM(S49:S51)</f>
        <v>8873.25334071765</v>
      </c>
      <c r="T52" s="561" t="n">
        <f aca="false">SUM(T49:T51)</f>
        <v>9344.76356730302</v>
      </c>
      <c r="U52" s="561" t="n">
        <f aca="false">SUM(U49:U51)</f>
        <v>9364.73753136313</v>
      </c>
      <c r="V52" s="561" t="n">
        <f aca="false">SUM(V49:V51)</f>
        <v>9381.65285523332</v>
      </c>
      <c r="W52" s="561" t="n">
        <f aca="false">SUM(W49:W51)</f>
        <v>9402.47782309539</v>
      </c>
      <c r="X52" s="561" t="n">
        <f aca="false">SUM(X49:X51)</f>
        <v>9420.24298789978</v>
      </c>
      <c r="Y52" s="561" t="n">
        <f aca="false">SUM(Y49:Y51)</f>
        <v>9441.92428377079</v>
      </c>
      <c r="Z52" s="561" t="n">
        <f aca="false">SUM(Z49:Z51)</f>
        <v>9460.5446241049</v>
      </c>
      <c r="AA52" s="561" t="n">
        <f aca="false">SUM(AA49:AA51)</f>
        <v>9483.08760139187</v>
      </c>
      <c r="AB52" s="561" t="n">
        <f aca="false">SUM(AB49:AB51)</f>
        <v>9502.5684811249</v>
      </c>
      <c r="AC52" s="561" t="n">
        <f aca="false">SUM(AC49:AC51)</f>
        <v>9525.97852259159</v>
      </c>
      <c r="AD52" s="561" t="n">
        <f aca="false">SUM(AD49:AD51)</f>
        <v>9546.32533502351</v>
      </c>
      <c r="AE52" s="561" t="n">
        <f aca="false">SUM(AE49:AE51)</f>
        <v>9570.60785294789</v>
      </c>
      <c r="AF52" s="561" t="n">
        <f aca="false">SUM(AF49:AF51)</f>
        <v>9586.86230136694</v>
      </c>
      <c r="AG52" s="561" t="n">
        <f aca="false">SUM(AG49:AG51)</f>
        <v>9605.06801845563</v>
      </c>
      <c r="AH52" s="561" t="n">
        <f aca="false">SUM(AH49:AH51)</f>
        <v>9623.26908186147</v>
      </c>
      <c r="AI52" s="561" t="n">
        <f aca="false">SUM(AI49:AI51)</f>
        <v>9641.46535760526</v>
      </c>
      <c r="AJ52" s="561" t="n">
        <f aca="false">SUM(AJ49:AJ51)</f>
        <v>9659.65671106622</v>
      </c>
      <c r="AK52" s="561" t="n">
        <f aca="false">SUM(AK49:AK51)</f>
        <v>9677.84300697955</v>
      </c>
      <c r="AL52" s="561" t="n">
        <f aca="false">SUM(AL49:AL51)</f>
        <v>9696.02410943413</v>
      </c>
      <c r="AM52" s="561" t="n">
        <f aca="false">SUM(AM49:AM51)</f>
        <v>9714.19988187001</v>
      </c>
      <c r="AN52" s="561" t="n">
        <f aca="false">SUM(AN49:AN51)</f>
        <v>9732.37018707607</v>
      </c>
      <c r="AO52" s="561" t="n">
        <f aca="false">SUM(AO49:AO51)</f>
        <v>9750.77465510222</v>
      </c>
      <c r="AP52" s="561" t="n">
        <f aca="false">SUM(AP49:AP51)</f>
        <v>9768.69384368382</v>
      </c>
      <c r="AQ52" s="561" t="n">
        <f aca="false">SUM(AQ49:AQ51)</f>
        <v>9786.84691738548</v>
      </c>
      <c r="AR52" s="561" t="n">
        <f aca="false">SUM(AR49:AR51)</f>
        <v>9803.16416303005</v>
      </c>
      <c r="AS52" s="561" t="n">
        <f aca="false">SUM(AS49:AS51)</f>
        <v>9821.38672050697</v>
      </c>
      <c r="AT52" s="561" t="n">
        <f aca="false">SUM(AT49:AT51)</f>
        <v>9839.64412348117</v>
      </c>
      <c r="AU52" s="561" t="n">
        <f aca="false">SUM(AU49:AU51)</f>
        <v>9857.93644121626</v>
      </c>
      <c r="AV52" s="561" t="n">
        <f aca="false">SUM(AV49:AV51)</f>
        <v>9876.26374311916</v>
      </c>
      <c r="AW52" s="561" t="n">
        <f aca="false">SUM(AW49:AW51)</f>
        <v>9894.62609874037</v>
      </c>
      <c r="AX52" s="561" t="n">
        <f aca="false">SUM(AX49:AX51)</f>
        <v>9913.02357777429</v>
      </c>
      <c r="AY52" s="561" t="n">
        <f aca="false">SUM(AY49:AY51)</f>
        <v>9931.45625005953</v>
      </c>
      <c r="AZ52" s="561" t="n">
        <f aca="false">SUM(AZ49:AZ51)</f>
        <v>9949.92418557921</v>
      </c>
      <c r="BA52" s="561" t="n">
        <f aca="false">SUM(BA49:BA51)</f>
        <v>9968.42745446129</v>
      </c>
      <c r="BB52" s="561" t="n">
        <f aca="false">SUM(BB49:BB51)</f>
        <v>9986.96612697888</v>
      </c>
      <c r="BC52" s="561" t="n">
        <f aca="false">SUM(BC49:BC51)</f>
        <v>10005.5402735505</v>
      </c>
      <c r="BD52" s="561" t="n">
        <f aca="false">SUM(BD49:BD51)</f>
        <v>10022.2233132211</v>
      </c>
      <c r="BE52" s="561" t="n">
        <f aca="false">SUM(BE49:BE51)</f>
        <v>10040.8686197399</v>
      </c>
      <c r="BF52" s="561" t="n">
        <f aca="false">SUM(BF49:BF51)</f>
        <v>10059.5496124442</v>
      </c>
      <c r="BG52" s="561" t="n">
        <f aca="false">SUM(BG49:BG51)</f>
        <v>10078.2663623375</v>
      </c>
      <c r="BH52" s="561" t="n">
        <f aca="false">SUM(BH49:BH51)</f>
        <v>10097.0189405704</v>
      </c>
      <c r="BI52" s="561" t="n">
        <f aca="false">SUM(BI49:BI51)</f>
        <v>10115.8074184408</v>
      </c>
      <c r="BJ52" s="561" t="n">
        <f aca="false">SUM(BJ49:BJ51)</f>
        <v>10134.631867394</v>
      </c>
      <c r="BK52" s="561" t="n">
        <f aca="false">SUM(BK49:BK51)</f>
        <v>10153.4923590237</v>
      </c>
      <c r="BL52" s="561" t="n">
        <f aca="false">SUM(BL49:BL51)</f>
        <v>10172.3889650716</v>
      </c>
      <c r="BM52" s="561" t="n">
        <f aca="false">SUM(BM49:BM51)</f>
        <v>10191.3217574281</v>
      </c>
      <c r="BN52" s="561" t="n">
        <f aca="false">SUM(BN49:BN51)</f>
        <v>10210.2908081325</v>
      </c>
      <c r="BO52" s="561" t="n">
        <f aca="false">SUM(BO49:BO51)</f>
        <v>10229.2961893734</v>
      </c>
      <c r="BP52" s="561" t="n">
        <f aca="false">SUM(BP49:BP51)</f>
        <v>10246.3535224239</v>
      </c>
      <c r="BQ52" s="561" t="n">
        <f aca="false">SUM(BQ49:BQ51)</f>
        <v>10265.4317819021</v>
      </c>
      <c r="BR52" s="561" t="n">
        <f aca="false">SUM(BR49:BR51)</f>
        <v>10284.5465893813</v>
      </c>
      <c r="BS52" s="561" t="n">
        <f aca="false">SUM(BS49:BS51)</f>
        <v>10303.6980176501</v>
      </c>
      <c r="BT52" s="561" t="n">
        <f aca="false">SUM(BT49:BT51)</f>
        <v>10522.1761396484</v>
      </c>
      <c r="BU52" s="561" t="n">
        <f aca="false">SUM(BU49:BU51)</f>
        <v>10541.4010284669</v>
      </c>
      <c r="BV52" s="561" t="n">
        <f aca="false">SUM(BV49:BV51)</f>
        <v>10560.6627573481</v>
      </c>
      <c r="BW52" s="561" t="n">
        <f aca="false">SUM(BW49:BW51)</f>
        <v>10579.9613996861</v>
      </c>
      <c r="BX52" s="561" t="n">
        <f aca="false">SUM(BX49:BX51)</f>
        <v>10599.2970290273</v>
      </c>
      <c r="BY52" s="561" t="n">
        <f aca="false">SUM(BY49:BY51)</f>
        <v>10618.6697190705</v>
      </c>
      <c r="BZ52" s="561" t="n">
        <f aca="false">SUM(BZ49:BZ51)</f>
        <v>10638.0795436676</v>
      </c>
      <c r="CA52" s="561" t="n">
        <f aca="false">SUM(CA49:CA51)</f>
        <v>10657.5265768232</v>
      </c>
      <c r="CB52" s="561" t="n">
        <f aca="false">SUM(CB49:CB51)</f>
        <v>10475.6769080989</v>
      </c>
      <c r="CC52" s="561" t="n">
        <f aca="false">SUM(CC49:CC51)</f>
        <v>10495.1985810006</v>
      </c>
      <c r="CD52" s="561" t="n">
        <f aca="false">SUM(CD49:CD51)</f>
        <v>10514.7576853977</v>
      </c>
      <c r="CE52" s="561" t="n">
        <f aca="false">SUM(CE49:CE51)</f>
        <v>10534.354295911</v>
      </c>
      <c r="CF52" s="561" t="n">
        <f aca="false">SUM(CF49:CF51)</f>
        <v>10553.9884873159</v>
      </c>
      <c r="CG52" s="561" t="n">
        <f aca="false">SUM(CG49:CG51)</f>
        <v>10573.6603345434</v>
      </c>
      <c r="CH52" s="561" t="n">
        <f aca="false">SUM(CH49:CH51)</f>
        <v>10593.3699126794</v>
      </c>
      <c r="CI52" s="561" t="n">
        <f aca="false">SUM(CI49:CI51)</f>
        <v>10613.1172969661</v>
      </c>
      <c r="CJ52" s="561" t="n">
        <f aca="false">SUM(CJ49:CJ51)</f>
        <v>10632.9025628017</v>
      </c>
      <c r="CK52" s="561" t="n">
        <f aca="false">SUM(CK49:CK51)</f>
        <v>10652.7257857407</v>
      </c>
      <c r="CL52" s="561" t="n">
        <f aca="false">SUM(CL49:CL51)</f>
        <v>10672.5870414945</v>
      </c>
      <c r="CM52" s="561" t="n">
        <f aca="false">SUM(CM49:CM51)</f>
        <v>10692.486405932</v>
      </c>
      <c r="CN52" s="561" t="n">
        <f aca="false">SUM(CN49:CN51)</f>
        <v>10710.3186509442</v>
      </c>
      <c r="CO52" s="561" t="n">
        <f aca="false">SUM(CO49:CO51)</f>
        <v>10730.2944609849</v>
      </c>
      <c r="CP52" s="561" t="n">
        <f aca="false">SUM(CP49:CP51)</f>
        <v>10750.3086082614</v>
      </c>
      <c r="CQ52" s="561" t="n">
        <f aca="false">SUM(CQ49:CQ51)</f>
        <v>10770.3611692742</v>
      </c>
      <c r="CR52" s="561" t="n">
        <f aca="false">SUM(CR49:CR51)</f>
        <v>10790.4522206831</v>
      </c>
      <c r="CS52" s="561" t="n">
        <f aca="false">SUM(CS49:CS51)</f>
        <v>10810.5818393065</v>
      </c>
      <c r="CT52" s="561" t="n">
        <f aca="false">SUM(CT49:CT51)</f>
        <v>10830.7501021229</v>
      </c>
      <c r="CU52" s="561" t="n">
        <f aca="false">SUM(CU49:CU51)</f>
        <v>10850.9570862704</v>
      </c>
      <c r="CV52" s="561" t="n">
        <f aca="false">SUM(CV49:CV51)</f>
        <v>10871.2028690474</v>
      </c>
      <c r="CW52" s="561" t="n">
        <f aca="false">SUM(CW49:CW51)</f>
        <v>10891.4875279128</v>
      </c>
      <c r="CX52" s="561" t="n">
        <f aca="false">SUM(CX49:CX51)</f>
        <v>10911.8111404867</v>
      </c>
      <c r="CY52" s="561" t="n">
        <f aca="false">SUM(CY49:CY51)</f>
        <v>10932.17378455</v>
      </c>
      <c r="CZ52" s="561" t="n">
        <f aca="false">SUM(CZ49:CZ51)</f>
        <v>10950.4070747869</v>
      </c>
      <c r="DA52" s="561" t="n">
        <f aca="false">SUM(DA49:DA51)</f>
        <v>10970.8480158198</v>
      </c>
      <c r="DB52" s="561" t="n">
        <f aca="false">SUM(DB49:DB51)</f>
        <v>10991.328222657</v>
      </c>
      <c r="DC52" s="561" t="n">
        <f aca="false">SUM(DC49:DC51)</f>
        <v>11011.8477737282</v>
      </c>
      <c r="DD52" s="561" t="n">
        <f aca="false">SUM(DD49:DD51)</f>
        <v>11032.4067476261</v>
      </c>
      <c r="DE52" s="561" t="n">
        <f aca="false">SUM(DE49:DE51)</f>
        <v>11053.0052231071</v>
      </c>
      <c r="DF52" s="561" t="n">
        <f aca="false">SUM(DF49:DF51)</f>
        <v>11073.643279091</v>
      </c>
      <c r="DG52" s="561" t="n">
        <f aca="false">SUM(DG49:DG51)</f>
        <v>11094.3209946617</v>
      </c>
      <c r="DH52" s="561" t="n">
        <f aca="false">SUM(DH49:DH51)</f>
        <v>11115.0384490677</v>
      </c>
      <c r="DI52" s="561" t="n">
        <f aca="false">SUM(DI49:DI51)</f>
        <v>11135.7957217222</v>
      </c>
      <c r="DJ52" s="561" t="n">
        <f aca="false">SUM(DJ49:DJ51)</f>
        <v>11156.5928922035</v>
      </c>
      <c r="DK52" s="561" t="n">
        <f aca="false">SUM(DK49:DK51)</f>
        <v>11177.4300402555</v>
      </c>
      <c r="DL52" s="561" t="n">
        <f aca="false">SUM(DL49:DL51)</f>
        <v>11196.0737286312</v>
      </c>
      <c r="DM52" s="561" t="n">
        <f aca="false">SUM(DM49:DM51)</f>
        <v>11216.9910717199</v>
      </c>
      <c r="DN52" s="561" t="n">
        <f aca="false">SUM(DN49:DN51)</f>
        <v>11237.9486326074</v>
      </c>
      <c r="DO52" s="561" t="n">
        <f aca="false">SUM(DO49:DO51)</f>
        <v>11258.9464917032</v>
      </c>
      <c r="DP52" s="561" t="n">
        <f aca="false">SUM(DP49:DP51)</f>
        <v>11279.984729584</v>
      </c>
      <c r="DQ52" s="561" t="n">
        <f aca="false">SUM(DQ49:DQ51)</f>
        <v>11301.0634269942</v>
      </c>
      <c r="DR52" s="561" t="n">
        <f aca="false">SUM(DR49:DR51)</f>
        <v>11322.1826648462</v>
      </c>
      <c r="DS52" s="561" t="n">
        <f aca="false">SUM(DS49:DS51)</f>
        <v>11343.3425242208</v>
      </c>
      <c r="DT52" s="561" t="n">
        <f aca="false">SUM(DT49:DT51)</f>
        <v>11364.5430863676</v>
      </c>
      <c r="DU52" s="561" t="n">
        <f aca="false">SUM(DU49:DU51)</f>
        <v>11385.7844327052</v>
      </c>
      <c r="DV52" s="561" t="n">
        <f aca="false">SUM(DV49:DV51)</f>
        <v>11407.0666448219</v>
      </c>
      <c r="DW52" s="561" t="n">
        <f aca="false">SUM(DW49:DW51)</f>
        <v>11428.3898044754</v>
      </c>
      <c r="DX52" s="561" t="n">
        <f aca="false">SUM(DX49:DX51)</f>
        <v>11447.4534709228</v>
      </c>
      <c r="DY52" s="561" t="n">
        <f aca="false">SUM(DY49:DY51)</f>
        <v>11468.8587716055</v>
      </c>
      <c r="DZ52" s="561" t="n">
        <f aca="false">SUM(DZ49:DZ51)</f>
        <v>11490.3052661218</v>
      </c>
      <c r="EA52" s="561" t="n">
        <f aca="false">SUM(EA49:EA51)</f>
        <v>11511.7930369127</v>
      </c>
      <c r="EB52" s="561" t="n">
        <f aca="false">SUM(EB49:EB51)</f>
        <v>11533.3221665911</v>
      </c>
      <c r="EC52" s="561" t="n">
        <f aca="false">SUM(EC49:EC51)</f>
        <v>11554.8927379417</v>
      </c>
      <c r="ED52" s="561" t="n">
        <f aca="false">SUM(ED49:ED51)</f>
        <v>11576.5048339217</v>
      </c>
      <c r="EE52" s="561" t="n">
        <f aca="false">SUM(EE49:EE51)</f>
        <v>11598.1585376611</v>
      </c>
      <c r="EF52" s="561" t="n">
        <f aca="false">SUM(EF49:EF51)</f>
        <v>11619.8539324631</v>
      </c>
      <c r="EG52" s="561" t="n">
        <f aca="false">SUM(EG49:EG51)</f>
        <v>11641.5911018044</v>
      </c>
      <c r="EH52" s="561" t="n">
        <f aca="false">SUM(EH49:EH51)</f>
        <v>11663.3701293358</v>
      </c>
      <c r="EI52" s="562" t="n">
        <f aca="false">SUM(EI49:EI51)</f>
        <v>11685.1910988822</v>
      </c>
      <c r="EK52" s="560" t="n">
        <f aca="true">SUM(OFFSET($G52,0,EK$24*12-11,1,12))</f>
        <v>104768.345600786</v>
      </c>
      <c r="EL52" s="561" t="n">
        <f aca="true">SUM(OFFSET($G52,0,EL$24*12-11,1,12))</f>
        <v>113444.91146585</v>
      </c>
      <c r="EM52" s="561" t="n">
        <f aca="true">SUM(OFFSET($G52,0,EM$24*12-11,1,12))</f>
        <v>116243.074071887</v>
      </c>
      <c r="EN52" s="561" t="n">
        <f aca="true">SUM(OFFSET($G52,0,EN$24*12-11,1,12))</f>
        <v>118848.359158498</v>
      </c>
      <c r="EO52" s="561" t="n">
        <f aca="true">SUM(OFFSET($G52,0,EO$24*12-11,1,12))</f>
        <v>121505.156213177</v>
      </c>
      <c r="EP52" s="561" t="n">
        <f aca="true">SUM(OFFSET($G52,0,EP$24*12-11,1,12))</f>
        <v>125817.804105096</v>
      </c>
      <c r="EQ52" s="561" t="n">
        <f aca="true">SUM(OFFSET($G52,0,EQ$24*12-11,1,12))</f>
        <v>127004.825297882</v>
      </c>
      <c r="ER52" s="561" t="n">
        <f aca="true">SUM(OFFSET($G52,0,ER$24*12-11,1,12))</f>
        <v>129850.699459845</v>
      </c>
      <c r="ES52" s="561" t="n">
        <f aca="true">SUM(OFFSET($G52,0,ES$24*12-11,1,12))</f>
        <v>132762.664434727</v>
      </c>
      <c r="ET52" s="562" t="n">
        <f aca="true">SUM(OFFSET($G52,0,ET$24*12-11,1,12))</f>
        <v>135742.317238677</v>
      </c>
    </row>
    <row r="53" s="550" customFormat="true" ht="13.5" hidden="false" customHeight="true" outlineLevel="0" collapsed="false">
      <c r="B53" s="543" t="s">
        <v>400</v>
      </c>
      <c r="C53" s="552"/>
      <c r="D53" s="473"/>
      <c r="E53" s="553" t="n">
        <f aca="true">SUM(OFFSET(G53,0,0,1,'Executive Summary'!$I$13+1))</f>
        <v>1824644.46230991</v>
      </c>
      <c r="F53" s="473"/>
      <c r="G53" s="543" t="n">
        <f aca="false">SUM(G47,G52)</f>
        <v>0</v>
      </c>
      <c r="H53" s="473" t="n">
        <f aca="false">SUM(H47,H52)</f>
        <v>28422.977768162</v>
      </c>
      <c r="I53" s="473" t="n">
        <f aca="false">SUM(I47,I52)</f>
        <v>28479.3117374144</v>
      </c>
      <c r="J53" s="473" t="n">
        <f aca="false">SUM(J47,J52)</f>
        <v>28539.2714732984</v>
      </c>
      <c r="K53" s="473" t="n">
        <f aca="false">SUM(K47,K52)</f>
        <v>28595.9188974465</v>
      </c>
      <c r="L53" s="473" t="n">
        <f aca="false">SUM(L47,L52)</f>
        <v>28656.2249615763</v>
      </c>
      <c r="M53" s="473" t="n">
        <f aca="false">SUM(M47,M52)</f>
        <v>28713.2152401033</v>
      </c>
      <c r="N53" s="473" t="n">
        <f aca="false">SUM(N47,N52)</f>
        <v>28773.8683320531</v>
      </c>
      <c r="O53" s="473" t="n">
        <f aca="false">SUM(O47,O52)</f>
        <v>28831.2021612501</v>
      </c>
      <c r="P53" s="473" t="n">
        <f aca="false">SUM(P47,P52)</f>
        <v>28892.202982418</v>
      </c>
      <c r="Q53" s="473" t="n">
        <f aca="false">SUM(Q47,Q52)</f>
        <v>28949.8810603985</v>
      </c>
      <c r="R53" s="473" t="n">
        <f aca="false">SUM(R47,R52)</f>
        <v>29011.2303140123</v>
      </c>
      <c r="S53" s="473" t="n">
        <f aca="false">SUM(S47,S52)</f>
        <v>29069.2533407177</v>
      </c>
      <c r="T53" s="473" t="n">
        <f aca="false">SUM(T47,T52)</f>
        <v>29574.1189032766</v>
      </c>
      <c r="U53" s="473" t="n">
        <f aca="false">SUM(U47,U52)</f>
        <v>29627.5032923595</v>
      </c>
      <c r="V53" s="473" t="n">
        <f aca="false">SUM(V47,V52)</f>
        <v>29677.8842212858</v>
      </c>
      <c r="W53" s="473" t="n">
        <f aca="false">SUM(W47,W52)</f>
        <v>29732.2300653714</v>
      </c>
      <c r="X53" s="473" t="n">
        <f aca="false">SUM(X47,X52)</f>
        <v>29783.5714688518</v>
      </c>
      <c r="Y53" s="473" t="n">
        <f aca="false">SUM(Y47,Y52)</f>
        <v>29838.8844572869</v>
      </c>
      <c r="Z53" s="473" t="n">
        <f aca="false">SUM(Z47,Z52)</f>
        <v>29891.1920356596</v>
      </c>
      <c r="AA53" s="473" t="n">
        <f aca="false">SUM(AA47,AA52)</f>
        <v>29947.4778881976</v>
      </c>
      <c r="AB53" s="473" t="n">
        <f aca="false">SUM(AB47,AB52)</f>
        <v>30000.7573722835</v>
      </c>
      <c r="AC53" s="473" t="n">
        <f aca="false">SUM(AC47,AC52)</f>
        <v>30058.021839246</v>
      </c>
      <c r="AD53" s="473" t="n">
        <f aca="false">SUM(AD47,AD52)</f>
        <v>30112.27899051</v>
      </c>
      <c r="AE53" s="473" t="n">
        <f aca="false">SUM(AE47,AE52)</f>
        <v>30170.5278529479</v>
      </c>
      <c r="AF53" s="473" t="n">
        <f aca="false">SUM(AF47,AF52)</f>
        <v>30220.80474406</v>
      </c>
      <c r="AG53" s="473" t="n">
        <f aca="false">SUM(AG47,AG52)</f>
        <v>30273.0890946719</v>
      </c>
      <c r="AH53" s="473" t="n">
        <f aca="false">SUM(AH47,AH52)</f>
        <v>30325.425075235</v>
      </c>
      <c r="AI53" s="473" t="n">
        <f aca="false">SUM(AI47,AI52)</f>
        <v>30377.8126447268</v>
      </c>
      <c r="AJ53" s="473" t="n">
        <f aca="false">SUM(AJ47,AJ52)</f>
        <v>30430.2517616373</v>
      </c>
      <c r="AK53" s="473" t="n">
        <f aca="false">SUM(AK47,AK52)</f>
        <v>30482.7423839659</v>
      </c>
      <c r="AL53" s="473" t="n">
        <f aca="false">SUM(AL47,AL52)</f>
        <v>30535.2844692199</v>
      </c>
      <c r="AM53" s="473" t="n">
        <f aca="false">SUM(AM47,AM52)</f>
        <v>30587.8779744118</v>
      </c>
      <c r="AN53" s="473" t="n">
        <f aca="false">SUM(AN47,AN52)</f>
        <v>30640.5228560578</v>
      </c>
      <c r="AO53" s="473" t="n">
        <f aca="false">SUM(AO47,AO52)</f>
        <v>30693.4588380898</v>
      </c>
      <c r="AP53" s="473" t="n">
        <f aca="false">SUM(AP47,AP52)</f>
        <v>30745.96657228</v>
      </c>
      <c r="AQ53" s="473" t="n">
        <f aca="false">SUM(AQ47,AQ52)</f>
        <v>30798.7653173855</v>
      </c>
      <c r="AR53" s="473" t="n">
        <f aca="false">SUM(AR47,AR52)</f>
        <v>30849.785454577</v>
      </c>
      <c r="AS53" s="473" t="n">
        <f aca="false">SUM(AS47,AS52)</f>
        <v>30902.7682182476</v>
      </c>
      <c r="AT53" s="473" t="n">
        <f aca="false">SUM(AT47,AT52)</f>
        <v>30955.8432367221</v>
      </c>
      <c r="AU53" s="473" t="n">
        <f aca="false">SUM(AU47,AU52)</f>
        <v>31009.0106740803</v>
      </c>
      <c r="AV53" s="473" t="n">
        <f aca="false">SUM(AV47,AV52)</f>
        <v>31062.2706947017</v>
      </c>
      <c r="AW53" s="473" t="n">
        <f aca="false">SUM(AW47,AW52)</f>
        <v>31115.6234632665</v>
      </c>
      <c r="AX53" s="473" t="n">
        <f aca="false">SUM(AX47,AX52)</f>
        <v>31169.0691447558</v>
      </c>
      <c r="AY53" s="473" t="n">
        <f aca="false">SUM(AY47,AY52)</f>
        <v>31222.6079044522</v>
      </c>
      <c r="AZ53" s="473" t="n">
        <f aca="false">SUM(AZ47,AZ52)</f>
        <v>31276.2399079406</v>
      </c>
      <c r="BA53" s="473" t="n">
        <f aca="false">SUM(BA47,BA52)</f>
        <v>31329.9653211086</v>
      </c>
      <c r="BB53" s="473" t="n">
        <f aca="false">SUM(BB47,BB52)</f>
        <v>31383.784310147</v>
      </c>
      <c r="BC53" s="473" t="n">
        <f aca="false">SUM(BC47,BC52)</f>
        <v>31437.6970415506</v>
      </c>
      <c r="BD53" s="473" t="n">
        <f aca="false">SUM(BD47,BD52)</f>
        <v>31489.777030599</v>
      </c>
      <c r="BE53" s="473" t="n">
        <f aca="false">SUM(BE47,BE52)</f>
        <v>31543.8777474354</v>
      </c>
      <c r="BF53" s="473" t="n">
        <f aca="false">SUM(BF47,BF52)</f>
        <v>31598.07270795</v>
      </c>
      <c r="BG53" s="473" t="n">
        <f aca="false">SUM(BG47,BG52)</f>
        <v>31652.3620798588</v>
      </c>
      <c r="BH53" s="473" t="n">
        <f aca="false">SUM(BH47,BH52)</f>
        <v>31706.7460311847</v>
      </c>
      <c r="BI53" s="473" t="n">
        <f aca="false">SUM(BI47,BI52)</f>
        <v>31761.2247302574</v>
      </c>
      <c r="BJ53" s="473" t="n">
        <f aca="false">SUM(BJ47,BJ52)</f>
        <v>31815.7983457152</v>
      </c>
      <c r="BK53" s="473" t="n">
        <f aca="false">SUM(BK47,BK52)</f>
        <v>31870.4670465043</v>
      </c>
      <c r="BL53" s="473" t="n">
        <f aca="false">SUM(BL47,BL52)</f>
        <v>31925.2310018803</v>
      </c>
      <c r="BM53" s="473" t="n">
        <f aca="false">SUM(BM47,BM52)</f>
        <v>31980.0903814084</v>
      </c>
      <c r="BN53" s="473" t="n">
        <f aca="false">SUM(BN47,BN52)</f>
        <v>32035.045354964</v>
      </c>
      <c r="BO53" s="473" t="n">
        <f aca="false">SUM(BO47,BO52)</f>
        <v>32090.0960927334</v>
      </c>
      <c r="BP53" s="473" t="n">
        <f aca="false">SUM(BP47,BP52)</f>
        <v>32143.2583141494</v>
      </c>
      <c r="BQ53" s="473" t="n">
        <f aca="false">SUM(BQ47,BQ52)</f>
        <v>32198.5010921515</v>
      </c>
      <c r="BR53" s="473" t="n">
        <f aca="false">SUM(BR47,BR52)</f>
        <v>32253.8401467972</v>
      </c>
      <c r="BS53" s="473" t="n">
        <f aca="false">SUM(BS47,BS52)</f>
        <v>32309.2756495219</v>
      </c>
      <c r="BT53" s="473" t="n">
        <f aca="false">SUM(BT47,BT52)</f>
        <v>32564.0977720749</v>
      </c>
      <c r="BU53" s="473" t="n">
        <f aca="false">SUM(BU47,BU52)</f>
        <v>32619.72668652</v>
      </c>
      <c r="BV53" s="473" t="n">
        <f aca="false">SUM(BV47,BV52)</f>
        <v>32675.4525652357</v>
      </c>
      <c r="BW53" s="473" t="n">
        <f aca="false">SUM(BW47,BW52)</f>
        <v>32731.2755809162</v>
      </c>
      <c r="BX53" s="473" t="n">
        <f aca="false">SUM(BX47,BX52)</f>
        <v>32787.1959065721</v>
      </c>
      <c r="BY53" s="473" t="n">
        <f aca="false">SUM(BY47,BY52)</f>
        <v>32843.2137155304</v>
      </c>
      <c r="BZ53" s="473" t="n">
        <f aca="false">SUM(BZ47,BZ52)</f>
        <v>32899.3291814357</v>
      </c>
      <c r="CA53" s="473" t="n">
        <f aca="false">SUM(CA47,CA52)</f>
        <v>32955.5424782505</v>
      </c>
      <c r="CB53" s="473" t="n">
        <f aca="false">SUM(CB47,CB52)</f>
        <v>32810.5197956589</v>
      </c>
      <c r="CC53" s="473" t="n">
        <f aca="false">SUM(CC47,CC52)</f>
        <v>32866.929277455</v>
      </c>
      <c r="CD53" s="473" t="n">
        <f aca="false">SUM(CD47,CD52)</f>
        <v>32923.437113962</v>
      </c>
      <c r="CE53" s="473" t="n">
        <f aca="false">SUM(CE47,CE52)</f>
        <v>32980.0434804202</v>
      </c>
      <c r="CF53" s="473" t="n">
        <f aca="false">SUM(CF47,CF52)</f>
        <v>33036.748552391</v>
      </c>
      <c r="CG53" s="473" t="n">
        <f aca="false">SUM(CG47,CG52)</f>
        <v>33093.5525057575</v>
      </c>
      <c r="CH53" s="473" t="n">
        <f aca="false">SUM(CH47,CH52)</f>
        <v>33150.4555167248</v>
      </c>
      <c r="CI53" s="473" t="n">
        <f aca="false">SUM(CI47,CI52)</f>
        <v>33207.4577618209</v>
      </c>
      <c r="CJ53" s="473" t="n">
        <f aca="false">SUM(CJ47,CJ52)</f>
        <v>33264.5594178974</v>
      </c>
      <c r="CK53" s="473" t="n">
        <f aca="false">SUM(CK47,CK52)</f>
        <v>33321.7606621298</v>
      </c>
      <c r="CL53" s="473" t="n">
        <f aca="false">SUM(CL47,CL52)</f>
        <v>33379.0616720181</v>
      </c>
      <c r="CM53" s="473" t="n">
        <f aca="false">SUM(CM47,CM52)</f>
        <v>33436.4626253878</v>
      </c>
      <c r="CN53" s="473" t="n">
        <f aca="false">SUM(CN47,CN52)</f>
        <v>33491.8583962554</v>
      </c>
      <c r="CO53" s="473" t="n">
        <f aca="false">SUM(CO47,CO52)</f>
        <v>33549.4597713684</v>
      </c>
      <c r="CP53" s="473" t="n">
        <f aca="false">SUM(CP47,CP52)</f>
        <v>33607.1616253969</v>
      </c>
      <c r="CQ53" s="473" t="n">
        <f aca="false">SUM(CQ47,CQ52)</f>
        <v>33664.9641374737</v>
      </c>
      <c r="CR53" s="473" t="n">
        <f aca="false">SUM(CR47,CR52)</f>
        <v>33722.8674870596</v>
      </c>
      <c r="CS53" s="473" t="n">
        <f aca="false">SUM(CS47,CS52)</f>
        <v>33780.8718539449</v>
      </c>
      <c r="CT53" s="473" t="n">
        <f aca="false">SUM(CT47,CT52)</f>
        <v>33838.9774182492</v>
      </c>
      <c r="CU53" s="473" t="n">
        <f aca="false">SUM(CU47,CU52)</f>
        <v>33897.1843604223</v>
      </c>
      <c r="CV53" s="473" t="n">
        <f aca="false">SUM(CV47,CV52)</f>
        <v>33955.4928612451</v>
      </c>
      <c r="CW53" s="473" t="n">
        <f aca="false">SUM(CW47,CW52)</f>
        <v>34013.9031018297</v>
      </c>
      <c r="CX53" s="473" t="n">
        <f aca="false">SUM(CX47,CX52)</f>
        <v>34072.4152636207</v>
      </c>
      <c r="CY53" s="473" t="n">
        <f aca="false">SUM(CY47,CY52)</f>
        <v>34131.029528395</v>
      </c>
      <c r="CZ53" s="473" t="n">
        <f aca="false">SUM(CZ47,CZ52)</f>
        <v>34187.5776150044</v>
      </c>
      <c r="DA53" s="473" t="n">
        <f aca="false">SUM(DA47,DA52)</f>
        <v>34246.396632411</v>
      </c>
      <c r="DB53" s="473" t="n">
        <f aca="false">SUM(DB47,DB52)</f>
        <v>34305.3183001353</v>
      </c>
      <c r="DC53" s="473" t="n">
        <f aca="false">SUM(DC47,DC52)</f>
        <v>34364.3428012916</v>
      </c>
      <c r="DD53" s="473" t="n">
        <f aca="false">SUM(DD47,DD52)</f>
        <v>34423.4703193303</v>
      </c>
      <c r="DE53" s="473" t="n">
        <f aca="false">SUM(DE47,DE52)</f>
        <v>34482.7010380383</v>
      </c>
      <c r="DF53" s="473" t="n">
        <f aca="false">SUM(DF47,DF52)</f>
        <v>34542.0351415398</v>
      </c>
      <c r="DG53" s="473" t="n">
        <f aca="false">SUM(DG47,DG52)</f>
        <v>34601.4728142967</v>
      </c>
      <c r="DH53" s="473" t="n">
        <f aca="false">SUM(DH47,DH52)</f>
        <v>34661.0142411094</v>
      </c>
      <c r="DI53" s="473" t="n">
        <f aca="false">SUM(DI47,DI52)</f>
        <v>34720.6596071174</v>
      </c>
      <c r="DJ53" s="473" t="n">
        <f aca="false">SUM(DJ47,DJ52)</f>
        <v>34780.4090978002</v>
      </c>
      <c r="DK53" s="473" t="n">
        <f aca="false">SUM(DK47,DK52)</f>
        <v>34840.2628989773</v>
      </c>
      <c r="DL53" s="473" t="n">
        <f aca="false">SUM(DL47,DL52)</f>
        <v>34897.987679653</v>
      </c>
      <c r="DM53" s="473" t="n">
        <f aca="false">SUM(DM47,DM52)</f>
        <v>34958.0506606429</v>
      </c>
      <c r="DN53" s="473" t="n">
        <f aca="false">SUM(DN47,DN52)</f>
        <v>35018.2185116353</v>
      </c>
      <c r="DO53" s="473" t="n">
        <f aca="false">SUM(DO47,DO52)</f>
        <v>35078.4914198179</v>
      </c>
      <c r="DP53" s="473" t="n">
        <f aca="false">SUM(DP47,DP52)</f>
        <v>35138.8695727222</v>
      </c>
      <c r="DQ53" s="473" t="n">
        <f aca="false">SUM(DQ47,DQ52)</f>
        <v>35199.353158224</v>
      </c>
      <c r="DR53" s="473" t="n">
        <f aca="false">SUM(DR47,DR52)</f>
        <v>35259.9423645439</v>
      </c>
      <c r="DS53" s="473" t="n">
        <f aca="false">SUM(DS47,DS52)</f>
        <v>35320.6373802485</v>
      </c>
      <c r="DT53" s="473" t="n">
        <f aca="false">SUM(DT47,DT52)</f>
        <v>35381.4383942501</v>
      </c>
      <c r="DU53" s="473" t="n">
        <f aca="false">SUM(DU47,DU52)</f>
        <v>35442.3455958084</v>
      </c>
      <c r="DV53" s="473" t="n">
        <f aca="false">SUM(DV47,DV52)</f>
        <v>35503.3591745305</v>
      </c>
      <c r="DW53" s="473" t="n">
        <f aca="false">SUM(DW47,DW52)</f>
        <v>35564.4793203718</v>
      </c>
      <c r="DX53" s="473" t="n">
        <f aca="false">SUM(DX47,DX52)</f>
        <v>35623.4057009651</v>
      </c>
      <c r="DY53" s="473" t="n">
        <f aca="false">SUM(DY47,DY52)</f>
        <v>35684.739552307</v>
      </c>
      <c r="DZ53" s="473" t="n">
        <f aca="false">SUM(DZ47,DZ52)</f>
        <v>35746.1805427302</v>
      </c>
      <c r="EA53" s="473" t="n">
        <f aca="false">SUM(EA47,EA52)</f>
        <v>35807.7288635897</v>
      </c>
      <c r="EB53" s="473" t="n">
        <f aca="false">SUM(EB47,EB52)</f>
        <v>35869.3847065921</v>
      </c>
      <c r="EC53" s="473" t="n">
        <f aca="false">SUM(EC47,EC52)</f>
        <v>35931.1482637961</v>
      </c>
      <c r="ED53" s="473" t="n">
        <f aca="false">SUM(ED47,ED52)</f>
        <v>35993.0197276134</v>
      </c>
      <c r="EE53" s="473" t="n">
        <f aca="false">SUM(EE47,EE52)</f>
        <v>36054.9992908093</v>
      </c>
      <c r="EF53" s="473" t="n">
        <f aca="false">SUM(EF47,EF52)</f>
        <v>36117.0871465032</v>
      </c>
      <c r="EG53" s="473" t="n">
        <f aca="false">SUM(EG47,EG52)</f>
        <v>36179.2834881697</v>
      </c>
      <c r="EH53" s="473" t="n">
        <f aca="false">SUM(EH47,EH52)</f>
        <v>36241.5885096387</v>
      </c>
      <c r="EI53" s="553" t="n">
        <f aca="false">SUM(EI47,EI52)</f>
        <v>36304.0024050965</v>
      </c>
      <c r="EK53" s="543" t="n">
        <f aca="true">SUM(OFFSET($G53,0,EK$24*12-11,1,12))</f>
        <v>344934.558268851</v>
      </c>
      <c r="EL53" s="473" t="n">
        <f aca="true">SUM(OFFSET($G53,0,EL$24*12-11,1,12))</f>
        <v>358414.448387277</v>
      </c>
      <c r="EM53" s="473" t="n">
        <f aca="true">SUM(OFFSET($G53,0,EM$24*12-11,1,12))</f>
        <v>366112.001731742</v>
      </c>
      <c r="EN53" s="473" t="n">
        <f aca="true">SUM(OFFSET($G53,0,EN$24*12-11,1,12))</f>
        <v>373714.66537155</v>
      </c>
      <c r="EO53" s="473" t="n">
        <f aca="true">SUM(OFFSET($G53,0,EO$24*12-11,1,12))</f>
        <v>381468.788550491</v>
      </c>
      <c r="EP53" s="473" t="n">
        <f aca="true">SUM(OFFSET($G53,0,EP$24*12-11,1,12))</f>
        <v>390980.709089156</v>
      </c>
      <c r="EQ53" s="473" t="n">
        <f aca="true">SUM(OFFSET($G53,0,EQ$24*12-11,1,12))</f>
        <v>397470.988381623</v>
      </c>
      <c r="ER53" s="473" t="n">
        <f aca="true">SUM(OFFSET($G53,0,ER$24*12-11,1,12))</f>
        <v>405726.185805261</v>
      </c>
      <c r="ES53" s="473" t="n">
        <f aca="true">SUM(OFFSET($G53,0,ES$24*12-11,1,12))</f>
        <v>414155.660507052</v>
      </c>
      <c r="ET53" s="553" t="n">
        <f aca="true">SUM(OFFSET($G53,0,ET$24*12-11,1,12))</f>
        <v>422763.173232448</v>
      </c>
    </row>
    <row r="54" s="522" customFormat="true" ht="13.5" hidden="false" customHeight="true" outlineLevel="0" collapsed="false">
      <c r="B54" s="549"/>
      <c r="C54" s="79"/>
      <c r="D54" s="478"/>
      <c r="E54" s="479"/>
      <c r="F54" s="421"/>
      <c r="G54" s="549"/>
      <c r="H54" s="478"/>
      <c r="I54" s="478"/>
      <c r="J54" s="478"/>
      <c r="K54" s="478"/>
      <c r="L54" s="478"/>
      <c r="M54" s="478"/>
      <c r="N54" s="478"/>
      <c r="O54" s="478"/>
      <c r="P54" s="478"/>
      <c r="Q54" s="478"/>
      <c r="R54" s="478"/>
      <c r="S54" s="478"/>
      <c r="T54" s="478"/>
      <c r="U54" s="478"/>
      <c r="V54" s="478"/>
      <c r="W54" s="478"/>
      <c r="X54" s="478"/>
      <c r="Y54" s="478"/>
      <c r="Z54" s="478"/>
      <c r="AA54" s="478"/>
      <c r="AB54" s="478"/>
      <c r="AC54" s="478"/>
      <c r="AD54" s="478"/>
      <c r="AE54" s="478"/>
      <c r="AF54" s="478"/>
      <c r="AG54" s="478"/>
      <c r="AH54" s="478"/>
      <c r="AI54" s="478"/>
      <c r="AJ54" s="478"/>
      <c r="AK54" s="478"/>
      <c r="AL54" s="478"/>
      <c r="AM54" s="478"/>
      <c r="AN54" s="478"/>
      <c r="AO54" s="478"/>
      <c r="AP54" s="478"/>
      <c r="AQ54" s="478"/>
      <c r="AR54" s="478"/>
      <c r="AS54" s="478"/>
      <c r="AT54" s="478"/>
      <c r="AU54" s="478"/>
      <c r="AV54" s="478"/>
      <c r="AW54" s="478"/>
      <c r="AX54" s="478"/>
      <c r="AY54" s="478"/>
      <c r="AZ54" s="478"/>
      <c r="BA54" s="478"/>
      <c r="BB54" s="478"/>
      <c r="BC54" s="478"/>
      <c r="BD54" s="478"/>
      <c r="BE54" s="478"/>
      <c r="BF54" s="478"/>
      <c r="BG54" s="478"/>
      <c r="BH54" s="478"/>
      <c r="BI54" s="478"/>
      <c r="BJ54" s="478"/>
      <c r="BK54" s="478"/>
      <c r="BL54" s="478"/>
      <c r="BM54" s="478"/>
      <c r="BN54" s="478"/>
      <c r="BO54" s="478"/>
      <c r="BP54" s="478"/>
      <c r="BQ54" s="478"/>
      <c r="BR54" s="478"/>
      <c r="BS54" s="478"/>
      <c r="BT54" s="478"/>
      <c r="BU54" s="478"/>
      <c r="BV54" s="478"/>
      <c r="BW54" s="478"/>
      <c r="BX54" s="478"/>
      <c r="BY54" s="478"/>
      <c r="BZ54" s="478"/>
      <c r="CA54" s="478"/>
      <c r="CB54" s="478"/>
      <c r="CC54" s="478"/>
      <c r="CD54" s="478"/>
      <c r="CE54" s="478"/>
      <c r="CF54" s="478"/>
      <c r="CG54" s="478"/>
      <c r="CH54" s="478"/>
      <c r="CI54" s="478"/>
      <c r="CJ54" s="478"/>
      <c r="CK54" s="478"/>
      <c r="CL54" s="478"/>
      <c r="CM54" s="478"/>
      <c r="CN54" s="478"/>
      <c r="CO54" s="478"/>
      <c r="CP54" s="478"/>
      <c r="CQ54" s="478"/>
      <c r="CR54" s="478"/>
      <c r="CS54" s="478"/>
      <c r="CT54" s="478"/>
      <c r="CU54" s="478"/>
      <c r="CV54" s="478"/>
      <c r="CW54" s="478"/>
      <c r="CX54" s="478"/>
      <c r="CY54" s="478"/>
      <c r="CZ54" s="478"/>
      <c r="DA54" s="478"/>
      <c r="DB54" s="478"/>
      <c r="DC54" s="478"/>
      <c r="DD54" s="478"/>
      <c r="DE54" s="478"/>
      <c r="DF54" s="478"/>
      <c r="DG54" s="478"/>
      <c r="DH54" s="478"/>
      <c r="DI54" s="478"/>
      <c r="DJ54" s="478"/>
      <c r="DK54" s="478"/>
      <c r="DL54" s="478"/>
      <c r="DM54" s="478"/>
      <c r="DN54" s="478"/>
      <c r="DO54" s="478"/>
      <c r="DP54" s="478"/>
      <c r="DQ54" s="478"/>
      <c r="DR54" s="478"/>
      <c r="DS54" s="478"/>
      <c r="DT54" s="478"/>
      <c r="DU54" s="478"/>
      <c r="DV54" s="478"/>
      <c r="DW54" s="478"/>
      <c r="DX54" s="478"/>
      <c r="DY54" s="478"/>
      <c r="DZ54" s="478"/>
      <c r="EA54" s="478"/>
      <c r="EB54" s="478"/>
      <c r="EC54" s="478"/>
      <c r="ED54" s="478"/>
      <c r="EE54" s="478"/>
      <c r="EF54" s="478"/>
      <c r="EG54" s="478"/>
      <c r="EH54" s="478"/>
      <c r="EI54" s="479"/>
      <c r="EK54" s="549"/>
      <c r="EL54" s="478"/>
      <c r="EM54" s="478"/>
      <c r="EN54" s="478"/>
      <c r="EO54" s="478"/>
      <c r="EP54" s="478"/>
      <c r="EQ54" s="478"/>
      <c r="ER54" s="478"/>
      <c r="ES54" s="478"/>
      <c r="ET54" s="479"/>
    </row>
    <row r="55" s="550" customFormat="true" ht="13.5" hidden="false" customHeight="true" outlineLevel="0" collapsed="false">
      <c r="B55" s="543" t="s">
        <v>401</v>
      </c>
      <c r="C55" s="552"/>
      <c r="D55" s="473"/>
      <c r="E55" s="553" t="n">
        <f aca="true">SUM(OFFSET(G55,0,0,1,'Executive Summary'!$I$13+1))</f>
        <v>2509591.0566842</v>
      </c>
      <c r="F55" s="473"/>
      <c r="G55" s="543" t="n">
        <f aca="false">G37-G53</f>
        <v>0</v>
      </c>
      <c r="H55" s="473" t="n">
        <f aca="false">H37-H53</f>
        <v>35403.328800113</v>
      </c>
      <c r="I55" s="473" t="n">
        <f aca="false">I37-I53</f>
        <v>35720.7266118076</v>
      </c>
      <c r="J55" s="473" t="n">
        <f aca="false">J37-J53</f>
        <v>36136.0509481819</v>
      </c>
      <c r="K55" s="473" t="n">
        <f aca="false">K37-K53</f>
        <v>36458.0057061678</v>
      </c>
      <c r="L55" s="473" t="n">
        <f aca="false">L37-L53</f>
        <v>36878.786606603</v>
      </c>
      <c r="M55" s="473" t="n">
        <f aca="false">M37-M53</f>
        <v>37206.0953905703</v>
      </c>
      <c r="N55" s="473" t="n">
        <f aca="false">N37-N53</f>
        <v>37632.3386149558</v>
      </c>
      <c r="O55" s="473" t="n">
        <f aca="false">O37-O53</f>
        <v>37965.0070719378</v>
      </c>
      <c r="P55" s="473" t="n">
        <f aca="false">P37-P53</f>
        <v>38396.7183857347</v>
      </c>
      <c r="Q55" s="473" t="n">
        <f aca="false">Q37-Q53</f>
        <v>38734.7521682114</v>
      </c>
      <c r="R55" s="473" t="n">
        <f aca="false">R37-R53</f>
        <v>39171.9373424562</v>
      </c>
      <c r="S55" s="473" t="n">
        <f aca="false">S37-S53</f>
        <v>39515.3421083579</v>
      </c>
      <c r="T55" s="473" t="n">
        <f aca="false">T37-T53</f>
        <v>39273.1255290791</v>
      </c>
      <c r="U55" s="473" t="n">
        <f aca="false">U37-U53</f>
        <v>39463.1715982032</v>
      </c>
      <c r="V55" s="473" t="n">
        <f aca="false">V37-V53</f>
        <v>39568.2909208062</v>
      </c>
      <c r="W55" s="473" t="n">
        <f aca="false">W37-W53</f>
        <v>39780.6080626793</v>
      </c>
      <c r="X55" s="473" t="n">
        <f aca="false">X37-X53</f>
        <v>39907.9644268959</v>
      </c>
      <c r="Y55" s="473" t="n">
        <f aca="false">Y37-Y53</f>
        <v>40142.6954958384</v>
      </c>
      <c r="Z55" s="473" t="n">
        <f aca="false">Z37-Z53</f>
        <v>40292.4320359061</v>
      </c>
      <c r="AA55" s="473" t="n">
        <f aca="false">AA37-AA53</f>
        <v>40549.7206782948</v>
      </c>
      <c r="AB55" s="473" t="n">
        <f aca="false">AB37-AB53</f>
        <v>40721.9813225162</v>
      </c>
      <c r="AC55" s="473" t="n">
        <f aca="false">AC37-AC53</f>
        <v>41001.9719810609</v>
      </c>
      <c r="AD55" s="473" t="n">
        <f aca="false">AD37-AD53</f>
        <v>41196.9014560913</v>
      </c>
      <c r="AE55" s="473" t="n">
        <f aca="false">AE37-AE53</f>
        <v>41499.7393741345</v>
      </c>
      <c r="AF55" s="473" t="n">
        <f aca="false">AF37-AF53</f>
        <v>41580.6263688813</v>
      </c>
      <c r="AG55" s="473" t="n">
        <f aca="false">AG37-AG53</f>
        <v>41714.7060498515</v>
      </c>
      <c r="AH55" s="473" t="n">
        <f aca="false">AH37-AH53</f>
        <v>41848.0498417982</v>
      </c>
      <c r="AI55" s="473" t="n">
        <f aca="false">AI37-AI53</f>
        <v>41980.6530472552</v>
      </c>
      <c r="AJ55" s="473" t="n">
        <f aca="false">AJ37-AJ53</f>
        <v>42112.5109494092</v>
      </c>
      <c r="AK55" s="473" t="n">
        <f aca="false">AK37-AK53</f>
        <v>42243.6188120315</v>
      </c>
      <c r="AL55" s="473" t="n">
        <f aca="false">AL37-AL53</f>
        <v>42373.9718794092</v>
      </c>
      <c r="AM55" s="473" t="n">
        <f aca="false">AM37-AM53</f>
        <v>42503.5653762759</v>
      </c>
      <c r="AN55" s="473" t="n">
        <f aca="false">AN37-AN53</f>
        <v>42632.3945077427</v>
      </c>
      <c r="AO55" s="473" t="n">
        <f aca="false">AO37-AO53</f>
        <v>42767.0652031604</v>
      </c>
      <c r="AP55" s="473" t="n">
        <f aca="false">AP37-AP53</f>
        <v>42887.7403963914</v>
      </c>
      <c r="AQ55" s="473" t="n">
        <f aca="false">AQ37-AQ53</f>
        <v>43014.2474650564</v>
      </c>
      <c r="AR55" s="473" t="n">
        <f aca="false">AR37-AR53</f>
        <v>43089.5204416452</v>
      </c>
      <c r="AS55" s="473" t="n">
        <f aca="false">AS37-AS53</f>
        <v>43216.7068772299</v>
      </c>
      <c r="AT55" s="473" t="n">
        <f aca="false">AT37-AT53</f>
        <v>43344.2343210077</v>
      </c>
      <c r="AU55" s="473" t="n">
        <f aca="false">AU37-AU53</f>
        <v>43472.1036591381</v>
      </c>
      <c r="AV55" s="473" t="n">
        <f aca="false">AV37-AV53</f>
        <v>43600.3157800404</v>
      </c>
      <c r="AW55" s="473" t="n">
        <f aca="false">AW37-AW53</f>
        <v>43728.8715744001</v>
      </c>
      <c r="AX55" s="473" t="n">
        <f aca="false">AX37-AX53</f>
        <v>43857.7719351738</v>
      </c>
      <c r="AY55" s="473" t="n">
        <f aca="false">AY37-AY53</f>
        <v>43987.0177575954</v>
      </c>
      <c r="AZ55" s="473" t="n">
        <f aca="false">AZ37-AZ53</f>
        <v>44116.6099391818</v>
      </c>
      <c r="BA55" s="473" t="n">
        <f aca="false">BA37-BA53</f>
        <v>44246.5493797386</v>
      </c>
      <c r="BB55" s="473" t="n">
        <f aca="false">BB37-BB53</f>
        <v>44376.8369813658</v>
      </c>
      <c r="BC55" s="473" t="n">
        <f aca="false">BC37-BC53</f>
        <v>44507.4736484636</v>
      </c>
      <c r="BD55" s="473" t="n">
        <f aca="false">BD37-BD53</f>
        <v>44585.3397529892</v>
      </c>
      <c r="BE55" s="473" t="n">
        <f aca="false">BE37-BE53</f>
        <v>44716.6772734591</v>
      </c>
      <c r="BF55" s="473" t="n">
        <f aca="false">BF37-BF53</f>
        <v>44848.3665864598</v>
      </c>
      <c r="BG55" s="473" t="n">
        <f aca="false">BG37-BG53</f>
        <v>44980.4086056507</v>
      </c>
      <c r="BH55" s="473" t="n">
        <f aca="false">BH37-BH53</f>
        <v>45112.8042470207</v>
      </c>
      <c r="BI55" s="473" t="n">
        <f aca="false">BI37-BI53</f>
        <v>45245.5544288935</v>
      </c>
      <c r="BJ55" s="473" t="n">
        <f aca="false">BJ37-BJ53</f>
        <v>45378.6600719345</v>
      </c>
      <c r="BK55" s="473" t="n">
        <f aca="false">BK37-BK53</f>
        <v>45512.1220991556</v>
      </c>
      <c r="BL55" s="473" t="n">
        <f aca="false">BL37-BL53</f>
        <v>45645.9414359219</v>
      </c>
      <c r="BM55" s="473" t="n">
        <f aca="false">BM37-BM53</f>
        <v>45780.1190099575</v>
      </c>
      <c r="BN55" s="473" t="n">
        <f aca="false">BN37-BN53</f>
        <v>45914.655751351</v>
      </c>
      <c r="BO55" s="473" t="n">
        <f aca="false">BO37-BO53</f>
        <v>46049.5525925622</v>
      </c>
      <c r="BP55" s="473" t="n">
        <f aca="false">BP37-BP53</f>
        <v>46130.0963176355</v>
      </c>
      <c r="BQ55" s="473" t="n">
        <f aca="false">BQ37-BQ53</f>
        <v>46265.7161653733</v>
      </c>
      <c r="BR55" s="473" t="n">
        <f aca="false">BR37-BR53</f>
        <v>46401.6989245918</v>
      </c>
      <c r="BS55" s="473" t="n">
        <f aca="false">BS37-BS53</f>
        <v>46538.0455372936</v>
      </c>
      <c r="BT55" s="473" t="n">
        <f aca="false">BT37-BT53</f>
        <v>52169.4669478819</v>
      </c>
      <c r="BU55" s="473" t="n">
        <f aca="false">BU37-BU53</f>
        <v>52306.544103167</v>
      </c>
      <c r="BV55" s="473" t="n">
        <f aca="false">BV37-BV53</f>
        <v>52443.9879523721</v>
      </c>
      <c r="BW55" s="473" t="n">
        <f aca="false">BW37-BW53</f>
        <v>52581.7994471392</v>
      </c>
      <c r="BX55" s="473" t="n">
        <f aca="false">BX37-BX53</f>
        <v>52719.9795415356</v>
      </c>
      <c r="BY55" s="473" t="n">
        <f aca="false">BY37-BY53</f>
        <v>52858.5291920595</v>
      </c>
      <c r="BZ55" s="473" t="n">
        <f aca="false">BZ37-BZ53</f>
        <v>52997.4493576468</v>
      </c>
      <c r="CA55" s="473" t="n">
        <f aca="false">CA37-CA53</f>
        <v>53136.7409996765</v>
      </c>
      <c r="CB55" s="473" t="n">
        <f aca="false">CB37-CB53</f>
        <v>47725.3395066623</v>
      </c>
      <c r="CC55" s="473" t="n">
        <f aca="false">CC37-CC53</f>
        <v>47865.3769955192</v>
      </c>
      <c r="CD55" s="473" t="n">
        <f aca="false">CD37-CD53</f>
        <v>48005.7888596786</v>
      </c>
      <c r="CE55" s="473" t="n">
        <f aca="false">CE37-CE53</f>
        <v>48146.5760703552</v>
      </c>
      <c r="CF55" s="473" t="n">
        <f aca="false">CF37-CF53</f>
        <v>48287.739601238</v>
      </c>
      <c r="CG55" s="473" t="n">
        <f aca="false">CG37-CG53</f>
        <v>48429.2804284969</v>
      </c>
      <c r="CH55" s="473" t="n">
        <f aca="false">CH37-CH53</f>
        <v>48571.1995307885</v>
      </c>
      <c r="CI55" s="473" t="n">
        <f aca="false">CI37-CI53</f>
        <v>48713.4978892626</v>
      </c>
      <c r="CJ55" s="473" t="n">
        <f aca="false">CJ37-CJ53</f>
        <v>48856.1764875683</v>
      </c>
      <c r="CK55" s="473" t="n">
        <f aca="false">CK37-CK53</f>
        <v>48999.2363118606</v>
      </c>
      <c r="CL55" s="473" t="n">
        <f aca="false">CL37-CL53</f>
        <v>49142.6783508064</v>
      </c>
      <c r="CM55" s="473" t="n">
        <f aca="false">CM37-CM53</f>
        <v>49286.5035955911</v>
      </c>
      <c r="CN55" s="473" t="n">
        <f aca="false">CN37-CN53</f>
        <v>49372.6667973498</v>
      </c>
      <c r="CO55" s="473" t="n">
        <f aca="false">CO37-CO53</f>
        <v>49517.2614374732</v>
      </c>
      <c r="CP55" s="473" t="n">
        <f aca="false">CP37-CP53</f>
        <v>49662.242272165</v>
      </c>
      <c r="CQ55" s="473" t="n">
        <f aca="false">CQ37-CQ53</f>
        <v>49807.6103027474</v>
      </c>
      <c r="CR55" s="473" t="n">
        <f aca="false">CR37-CR53</f>
        <v>49953.3665330932</v>
      </c>
      <c r="CS55" s="473" t="n">
        <f aca="false">CS37-CS53</f>
        <v>50099.5119696313</v>
      </c>
      <c r="CT55" s="473" t="n">
        <f aca="false">CT37-CT53</f>
        <v>50246.0476213543</v>
      </c>
      <c r="CU55" s="473" t="n">
        <f aca="false">CU37-CU53</f>
        <v>50392.9744998238</v>
      </c>
      <c r="CV55" s="473" t="n">
        <f aca="false">CV37-CV53</f>
        <v>50540.2936191778</v>
      </c>
      <c r="CW55" s="473" t="n">
        <f aca="false">CW37-CW53</f>
        <v>50688.0059961366</v>
      </c>
      <c r="CX55" s="473" t="n">
        <f aca="false">CX37-CX53</f>
        <v>50836.1126500096</v>
      </c>
      <c r="CY55" s="473" t="n">
        <f aca="false">CY37-CY53</f>
        <v>50984.6146027016</v>
      </c>
      <c r="CZ55" s="473" t="n">
        <f aca="false">CZ37-CZ53</f>
        <v>51073.7252488678</v>
      </c>
      <c r="DA55" s="473" t="n">
        <f aca="false">DA37-DA53</f>
        <v>51223.0208753276</v>
      </c>
      <c r="DB55" s="473" t="n">
        <f aca="false">DB37-DB53</f>
        <v>51372.7148819599</v>
      </c>
      <c r="DC55" s="473" t="n">
        <f aca="false">DC37-DC53</f>
        <v>51522.8083011172</v>
      </c>
      <c r="DD55" s="473" t="n">
        <f aca="false">DD37-DD53</f>
        <v>51673.3021677804</v>
      </c>
      <c r="DE55" s="473" t="n">
        <f aca="false">DE37-DE53</f>
        <v>51824.1975195655</v>
      </c>
      <c r="DF55" s="473" t="n">
        <f aca="false">DF37-DF53</f>
        <v>51975.4953967299</v>
      </c>
      <c r="DG55" s="473" t="n">
        <f aca="false">DG37-DG53</f>
        <v>52127.1968421796</v>
      </c>
      <c r="DH55" s="473" t="n">
        <f aca="false">DH37-DH53</f>
        <v>52279.3029014752</v>
      </c>
      <c r="DI55" s="473" t="n">
        <f aca="false">DI37-DI53</f>
        <v>52431.8146228392</v>
      </c>
      <c r="DJ55" s="473" t="n">
        <f aca="false">DJ37-DJ53</f>
        <v>52584.7330571623</v>
      </c>
      <c r="DK55" s="473" t="n">
        <f aca="false">DK37-DK53</f>
        <v>52738.0592580104</v>
      </c>
      <c r="DL55" s="473" t="n">
        <f aca="false">DL37-DL53</f>
        <v>52830.2130228832</v>
      </c>
      <c r="DM55" s="473" t="n">
        <f aca="false">DM37-DM53</f>
        <v>52984.3579282122</v>
      </c>
      <c r="DN55" s="473" t="n">
        <f aca="false">DN37-DN53</f>
        <v>53138.9137768813</v>
      </c>
      <c r="DO55" s="473" t="n">
        <f aca="false">DO37-DO53</f>
        <v>53293.8816332238</v>
      </c>
      <c r="DP55" s="473" t="n">
        <f aca="false">DP37-DP53</f>
        <v>53449.2625642821</v>
      </c>
      <c r="DQ55" s="473" t="n">
        <f aca="false">DQ37-DQ53</f>
        <v>53605.0576398145</v>
      </c>
      <c r="DR55" s="473" t="n">
        <f aca="false">DR37-DR53</f>
        <v>53761.2679323015</v>
      </c>
      <c r="DS55" s="473" t="n">
        <f aca="false">DS37-DS53</f>
        <v>53917.8945169532</v>
      </c>
      <c r="DT55" s="473" t="n">
        <f aca="false">DT37-DT53</f>
        <v>54074.938471716</v>
      </c>
      <c r="DU55" s="473" t="n">
        <f aca="false">DU37-DU53</f>
        <v>54232.4008772793</v>
      </c>
      <c r="DV55" s="473" t="n">
        <f aca="false">DV37-DV53</f>
        <v>54390.2828170827</v>
      </c>
      <c r="DW55" s="473" t="n">
        <f aca="false">DW37-DW53</f>
        <v>54548.5853773228</v>
      </c>
      <c r="DX55" s="473" t="n">
        <f aca="false">DX37-DX53</f>
        <v>54643.8809504501</v>
      </c>
      <c r="DY55" s="473" t="n">
        <f aca="false">DY37-DY53</f>
        <v>54803.0280212159</v>
      </c>
      <c r="DZ55" s="473" t="n">
        <f aca="false">DZ37-DZ53</f>
        <v>54962.5989876195</v>
      </c>
      <c r="EA55" s="473" t="n">
        <f aca="false">EA37-EA53</f>
        <v>55122.594946955</v>
      </c>
      <c r="EB55" s="473" t="n">
        <f aca="false">EB37-EB53</f>
        <v>55283.0169993083</v>
      </c>
      <c r="EC55" s="473" t="n">
        <f aca="false">EC37-EC53</f>
        <v>55443.8662475642</v>
      </c>
      <c r="ED55" s="473" t="n">
        <f aca="false">ED37-ED53</f>
        <v>55605.1437974136</v>
      </c>
      <c r="EE55" s="473" t="n">
        <f aca="false">EE37-EE53</f>
        <v>55766.8507573602</v>
      </c>
      <c r="EF55" s="473" t="n">
        <f aca="false">EF37-EF53</f>
        <v>55928.9882387279</v>
      </c>
      <c r="EG55" s="473" t="n">
        <f aca="false">EG37-EG53</f>
        <v>56091.5573556677</v>
      </c>
      <c r="EH55" s="473" t="n">
        <f aca="false">EH37-EH53</f>
        <v>56254.5592251648</v>
      </c>
      <c r="EI55" s="553" t="n">
        <f aca="false">EI37-EI53</f>
        <v>56417.9949670461</v>
      </c>
      <c r="EK55" s="543" t="n">
        <f aca="true">SUM(OFFSET($G55,0,EK$24*12-11,1,12))</f>
        <v>449219.089755097</v>
      </c>
      <c r="EL55" s="473" t="n">
        <f aca="true">SUM(OFFSET($G55,0,EL$24*12-11,1,12))</f>
        <v>483398.602881506</v>
      </c>
      <c r="EM55" s="473" t="n">
        <f aca="true">SUM(OFFSET($G55,0,EM$24*12-11,1,12))</f>
        <v>507659.149897263</v>
      </c>
      <c r="EN55" s="473" t="n">
        <f aca="true">SUM(OFFSET($G55,0,EN$24*12-11,1,12))</f>
        <v>525544.01229498</v>
      </c>
      <c r="EO55" s="473" t="n">
        <f aca="true">SUM(OFFSET($G55,0,EO$24*12-11,1,12))</f>
        <v>543770.201855356</v>
      </c>
      <c r="EP55" s="473" t="n">
        <f aca="true">SUM(OFFSET($G55,0,EP$24*12-11,1,12))</f>
        <v>606550.054486373</v>
      </c>
      <c r="EQ55" s="473" t="n">
        <f aca="true">SUM(OFFSET($G55,0,EQ$24*12-11,1,12))</f>
        <v>582029.393627828</v>
      </c>
      <c r="ER55" s="473" t="n">
        <f aca="true">SUM(OFFSET($G55,0,ER$24*12-11,1,12))</f>
        <v>602100.708301664</v>
      </c>
      <c r="ES55" s="473" t="n">
        <f aca="true">SUM(OFFSET($G55,0,ES$24*12-11,1,12))</f>
        <v>622826.371073015</v>
      </c>
      <c r="ET55" s="553" t="n">
        <f aca="true">SUM(OFFSET($G55,0,ET$24*12-11,1,12))</f>
        <v>644227.056557953</v>
      </c>
    </row>
    <row r="56" s="563" customFormat="true" ht="13.5" hidden="false" customHeight="true" outlineLevel="0" collapsed="false">
      <c r="B56" s="564" t="s">
        <v>402</v>
      </c>
      <c r="C56" s="565"/>
      <c r="D56" s="566"/>
      <c r="E56" s="567" t="n">
        <f aca="true">AVERAGE(OFFSET(G56,0,0,1,'Executive Summary'!$I$13+1))*12</f>
        <v>0.0757612394470702</v>
      </c>
      <c r="F56" s="566"/>
      <c r="G56" s="568"/>
      <c r="H56" s="569" t="n">
        <f aca="false">H55/'Executive Summary'!$C$30</f>
        <v>0.00534389868680951</v>
      </c>
      <c r="I56" s="569" t="n">
        <f aca="false">I55/'Executive Summary'!$C$30</f>
        <v>0.00539180779046152</v>
      </c>
      <c r="J56" s="569" t="n">
        <f aca="false">J55/'Executive Summary'!$C$30</f>
        <v>0.00545449825632934</v>
      </c>
      <c r="K56" s="569" t="n">
        <f aca="false">K55/'Executive Summary'!$C$30</f>
        <v>0.00550309520093099</v>
      </c>
      <c r="L56" s="569" t="n">
        <f aca="false">L55/'Executive Summary'!$C$30</f>
        <v>0.00556660929910989</v>
      </c>
      <c r="M56" s="569" t="n">
        <f aca="false">M55/'Executive Summary'!$C$30</f>
        <v>0.00561601439857665</v>
      </c>
      <c r="N56" s="569" t="n">
        <f aca="false">N55/'Executive Summary'!$C$30</f>
        <v>0.0056803529984839</v>
      </c>
      <c r="O56" s="569" t="n">
        <f aca="false">O55/'Executive Summary'!$C$30</f>
        <v>0.00573056710519815</v>
      </c>
      <c r="P56" s="569" t="n">
        <f aca="false">P55/'Executive Summary'!$C$30</f>
        <v>0.00579573107709203</v>
      </c>
      <c r="Q56" s="569" t="n">
        <f aca="false">Q55/'Executive Summary'!$C$30</f>
        <v>0.00584675504425832</v>
      </c>
      <c r="R56" s="569" t="n">
        <f aca="false">R55/'Executive Summary'!$C$30</f>
        <v>0.00591274525923868</v>
      </c>
      <c r="S56" s="569" t="n">
        <f aca="false">S55/'Executive Summary'!$C$30</f>
        <v>0.00596457994088421</v>
      </c>
      <c r="T56" s="569" t="n">
        <f aca="false">T55/'Executive Summary'!$C$30</f>
        <v>0.00592801894778552</v>
      </c>
      <c r="U56" s="569" t="n">
        <f aca="false">U55/'Executive Summary'!$C$30</f>
        <v>0.00595670514689859</v>
      </c>
      <c r="V56" s="569" t="n">
        <f aca="false">V55/'Executive Summary'!$C$30</f>
        <v>0.00597257221446131</v>
      </c>
      <c r="W56" s="569" t="n">
        <f aca="false">W55/'Executive Summary'!$C$30</f>
        <v>0.00600462008493272</v>
      </c>
      <c r="X56" s="569" t="n">
        <f aca="false">X55/'Executive Summary'!$C$30</f>
        <v>0.00602384368707862</v>
      </c>
      <c r="Y56" s="569" t="n">
        <f aca="false">Y55/'Executive Summary'!$C$30</f>
        <v>0.00605927479182466</v>
      </c>
      <c r="Z56" s="569" t="n">
        <f aca="false">Z55/'Executive Summary'!$C$30</f>
        <v>0.00608187653372168</v>
      </c>
      <c r="AA56" s="569" t="n">
        <f aca="false">AA55/'Executive Summary'!$C$30</f>
        <v>0.00612071255521431</v>
      </c>
      <c r="AB56" s="569" t="n">
        <f aca="false">AB55/'Executive Summary'!$C$30</f>
        <v>0.00614671416188923</v>
      </c>
      <c r="AC56" s="569" t="n">
        <f aca="false">AC55/'Executive Summary'!$C$30</f>
        <v>0.00618897690280165</v>
      </c>
      <c r="AD56" s="569" t="n">
        <f aca="false">AD55/'Executive Summary'!$C$30</f>
        <v>0.00621840021978736</v>
      </c>
      <c r="AE56" s="569" t="n">
        <f aca="false">AE55/'Executive Summary'!$C$30</f>
        <v>0.00626411160364295</v>
      </c>
      <c r="AF56" s="569" t="n">
        <f aca="false">AF55/'Executive Summary'!$C$30</f>
        <v>0.00627632096134057</v>
      </c>
      <c r="AG56" s="569" t="n">
        <f aca="false">AG55/'Executive Summary'!$C$30</f>
        <v>0.00629655940375117</v>
      </c>
      <c r="AH56" s="569" t="n">
        <f aca="false">AH55/'Executive Summary'!$C$30</f>
        <v>0.00631668676857332</v>
      </c>
      <c r="AI56" s="569" t="n">
        <f aca="false">AI55/'Executive Summary'!$C$30</f>
        <v>0.0063367023467555</v>
      </c>
      <c r="AJ56" s="569" t="n">
        <f aca="false">AJ55/'Executive Summary'!$C$30</f>
        <v>0.00635660542632591</v>
      </c>
      <c r="AK56" s="569" t="n">
        <f aca="false">AK55/'Executive Summary'!$C$30</f>
        <v>0.00637639529238211</v>
      </c>
      <c r="AL56" s="569" t="n">
        <f aca="false">AL55/'Executive Summary'!$C$30</f>
        <v>0.00639607122708063</v>
      </c>
      <c r="AM56" s="569" t="n">
        <f aca="false">AM55/'Executive Summary'!$C$30</f>
        <v>0.00641563250962654</v>
      </c>
      <c r="AN56" s="569" t="n">
        <f aca="false">AN55/'Executive Summary'!$C$30</f>
        <v>0.00643507841626305</v>
      </c>
      <c r="AO56" s="569" t="n">
        <f aca="false">AO55/'Executive Summary'!$C$30</f>
        <v>0.00645540606840157</v>
      </c>
      <c r="AP56" s="569" t="n">
        <f aca="false">AP55/'Executive Summary'!$C$30</f>
        <v>0.00647362119190814</v>
      </c>
      <c r="AQ56" s="569" t="n">
        <f aca="false">AQ55/'Executive Summary'!$C$30</f>
        <v>0.00649271659849908</v>
      </c>
      <c r="AR56" s="569" t="n">
        <f aca="false">AR55/'Executive Summary'!$C$30</f>
        <v>0.00650407855722946</v>
      </c>
      <c r="AS56" s="569" t="n">
        <f aca="false">AS55/'Executive Summary'!$C$30</f>
        <v>0.00652327650977055</v>
      </c>
      <c r="AT56" s="569" t="n">
        <f aca="false">AT55/'Executive Summary'!$C$30</f>
        <v>0.00654252593524645</v>
      </c>
      <c r="AU56" s="569" t="n">
        <f aca="false">AU55/'Executive Summary'!$C$30</f>
        <v>0.00656182696741706</v>
      </c>
      <c r="AV56" s="569" t="n">
        <f aca="false">AV55/'Executive Summary'!$C$30</f>
        <v>0.00658117974038346</v>
      </c>
      <c r="AW56" s="569" t="n">
        <f aca="false">AW55/'Executive Summary'!$C$30</f>
        <v>0.00660058438858869</v>
      </c>
      <c r="AX56" s="569" t="n">
        <f aca="false">AX55/'Executive Summary'!$C$30</f>
        <v>0.00662004104681868</v>
      </c>
      <c r="AY56" s="569" t="n">
        <f aca="false">AY55/'Executive Summary'!$C$30</f>
        <v>0.00663954985020308</v>
      </c>
      <c r="AZ56" s="569" t="n">
        <f aca="false">AZ55/'Executive Summary'!$C$30</f>
        <v>0.00665911093421613</v>
      </c>
      <c r="BA56" s="569" t="n">
        <f aca="false">BA55/'Executive Summary'!$C$30</f>
        <v>0.00667872443467753</v>
      </c>
      <c r="BB56" s="569" t="n">
        <f aca="false">BB55/'Executive Summary'!$C$30</f>
        <v>0.00669839048775333</v>
      </c>
      <c r="BC56" s="569" t="n">
        <f aca="false">BC55/'Executive Summary'!$C$30</f>
        <v>0.00671810922995677</v>
      </c>
      <c r="BD56" s="569" t="n">
        <f aca="false">BD55/'Executive Summary'!$C$30</f>
        <v>0.00672986260422479</v>
      </c>
      <c r="BE56" s="569" t="n">
        <f aca="false">BE55/'Executive Summary'!$C$30</f>
        <v>0.00674968713561646</v>
      </c>
      <c r="BF56" s="569" t="n">
        <f aca="false">BF55/'Executive Summary'!$C$30</f>
        <v>0.00676956476776751</v>
      </c>
      <c r="BG56" s="569" t="n">
        <f aca="false">BG55/'Executive Summary'!$C$30</f>
        <v>0.00678949563858879</v>
      </c>
      <c r="BH56" s="569" t="n">
        <f aca="false">BH55/'Executive Summary'!$C$30</f>
        <v>0.00680947988634274</v>
      </c>
      <c r="BI56" s="569" t="n">
        <f aca="false">BI55/'Executive Summary'!$C$30</f>
        <v>0.00682951764964431</v>
      </c>
      <c r="BJ56" s="569" t="n">
        <f aca="false">BJ55/'Executive Summary'!$C$30</f>
        <v>0.00684960906746181</v>
      </c>
      <c r="BK56" s="569" t="n">
        <f aca="false">BK55/'Executive Summary'!$C$30</f>
        <v>0.00686975427911782</v>
      </c>
      <c r="BL56" s="569" t="n">
        <f aca="false">BL55/'Executive Summary'!$C$30</f>
        <v>0.0068899534242901</v>
      </c>
      <c r="BM56" s="569" t="n">
        <f aca="false">BM55/'Executive Summary'!$C$30</f>
        <v>0.00691020664301246</v>
      </c>
      <c r="BN56" s="569" t="n">
        <f aca="false">BN55/'Executive Summary'!$C$30</f>
        <v>0.00693051407567563</v>
      </c>
      <c r="BO56" s="569" t="n">
        <f aca="false">BO55/'Executive Summary'!$C$30</f>
        <v>0.00695087586302825</v>
      </c>
      <c r="BP56" s="569" t="n">
        <f aca="false">BP55/'Executive Summary'!$C$30</f>
        <v>0.00696303340643554</v>
      </c>
      <c r="BQ56" s="569" t="n">
        <f aca="false">BQ55/'Executive Summary'!$C$30</f>
        <v>0.0069835043268488</v>
      </c>
      <c r="BR56" s="569" t="n">
        <f aca="false">BR55/'Executive Summary'!$C$30</f>
        <v>0.00700403002635348</v>
      </c>
      <c r="BS56" s="569" t="n">
        <f aca="false">BS55/'Executive Summary'!$C$30</f>
        <v>0.00702461064713865</v>
      </c>
      <c r="BT56" s="569" t="n">
        <f aca="false">BT55/'Executive Summary'!$C$30</f>
        <v>0.00787463652043501</v>
      </c>
      <c r="BU56" s="569" t="n">
        <f aca="false">BU55/'Executive Summary'!$C$30</f>
        <v>0.0078953274117988</v>
      </c>
      <c r="BV56" s="569" t="n">
        <f aca="false">BV55/'Executive Summary'!$C$30</f>
        <v>0.00791607365318824</v>
      </c>
      <c r="BW56" s="569" t="n">
        <f aca="false">BW55/'Executive Summary'!$C$30</f>
        <v>0.00793687538824743</v>
      </c>
      <c r="BX56" s="569" t="n">
        <f aca="false">BX55/'Executive Summary'!$C$30</f>
        <v>0.0079577327609865</v>
      </c>
      <c r="BY56" s="569" t="n">
        <f aca="false">BY55/'Executive Summary'!$C$30</f>
        <v>0.00797864591578257</v>
      </c>
      <c r="BZ56" s="569" t="n">
        <f aca="false">BZ55/'Executive Summary'!$C$30</f>
        <v>0.00799961499738065</v>
      </c>
      <c r="CA56" s="569" t="n">
        <f aca="false">CA55/'Executive Summary'!$C$30</f>
        <v>0.00802064015089457</v>
      </c>
      <c r="CB56" s="569" t="n">
        <f aca="false">CB55/'Executive Summary'!$C$30</f>
        <v>0.0072038248311943</v>
      </c>
      <c r="CC56" s="569" t="n">
        <f aca="false">CC55/'Executive Summary'!$C$30</f>
        <v>0.00722496256536139</v>
      </c>
      <c r="CD56" s="569" t="n">
        <f aca="false">CD55/'Executive Summary'!$C$30</f>
        <v>0.00724615680900809</v>
      </c>
      <c r="CE56" s="569" t="n">
        <f aca="false">CE55/'Executive Summary'!$C$30</f>
        <v>0.00726740770873286</v>
      </c>
      <c r="CF56" s="569" t="n">
        <f aca="false">CF55/'Executive Summary'!$C$30</f>
        <v>0.00728871541150762</v>
      </c>
      <c r="CG56" s="569" t="n">
        <f aca="false">CG55/'Executive Summary'!$C$30</f>
        <v>0.00731008006467878</v>
      </c>
      <c r="CH56" s="569" t="n">
        <f aca="false">CH55/'Executive Summary'!$C$30</f>
        <v>0.00733150181596807</v>
      </c>
      <c r="CI56" s="569" t="n">
        <f aca="false">CI55/'Executive Summary'!$C$30</f>
        <v>0.0073529808134736</v>
      </c>
      <c r="CJ56" s="569" t="n">
        <f aca="false">CJ55/'Executive Summary'!$C$30</f>
        <v>0.00737451720567069</v>
      </c>
      <c r="CK56" s="569" t="n">
        <f aca="false">CK55/'Executive Summary'!$C$30</f>
        <v>0.00739611114141292</v>
      </c>
      <c r="CL56" s="569" t="n">
        <f aca="false">CL55/'Executive Summary'!$C$30</f>
        <v>0.00741776276993305</v>
      </c>
      <c r="CM56" s="569" t="n">
        <f aca="false">CM55/'Executive Summary'!$C$30</f>
        <v>0.00743947224084394</v>
      </c>
      <c r="CN56" s="569" t="n">
        <f aca="false">CN55/'Executive Summary'!$C$30</f>
        <v>0.00745247800714714</v>
      </c>
      <c r="CO56" s="569" t="n">
        <f aca="false">CO55/'Executive Summary'!$C$30</f>
        <v>0.0074743036132035</v>
      </c>
      <c r="CP56" s="569" t="n">
        <f aca="false">CP55/'Executive Summary'!$C$30</f>
        <v>0.00749618751277962</v>
      </c>
      <c r="CQ56" s="569" t="n">
        <f aca="false">CQ55/'Executive Summary'!$C$30</f>
        <v>0.00751812985701848</v>
      </c>
      <c r="CR56" s="569" t="n">
        <f aca="false">CR55/'Executive Summary'!$C$30</f>
        <v>0.00754013079744803</v>
      </c>
      <c r="CS56" s="569" t="n">
        <f aca="false">CS55/'Executive Summary'!$C$30</f>
        <v>0.00756219048598209</v>
      </c>
      <c r="CT56" s="569" t="n">
        <f aca="false">CT55/'Executive Summary'!$C$30</f>
        <v>0.0075843090749214</v>
      </c>
      <c r="CU56" s="569" t="n">
        <f aca="false">CU55/'Executive Summary'!$C$30</f>
        <v>0.00760648671695454</v>
      </c>
      <c r="CV56" s="569" t="n">
        <f aca="false">CV55/'Executive Summary'!$C$30</f>
        <v>0.00762872356515891</v>
      </c>
      <c r="CW56" s="569" t="n">
        <f aca="false">CW55/'Executive Summary'!$C$30</f>
        <v>0.00765101977300174</v>
      </c>
      <c r="CX56" s="569" t="n">
        <f aca="false">CX55/'Executive Summary'!$C$30</f>
        <v>0.00767337549434106</v>
      </c>
      <c r="CY56" s="569" t="n">
        <f aca="false">CY55/'Executive Summary'!$C$30</f>
        <v>0.00769579088342666</v>
      </c>
      <c r="CZ56" s="569" t="n">
        <f aca="false">CZ55/'Executive Summary'!$C$30</f>
        <v>0.00770924154699891</v>
      </c>
      <c r="DA56" s="569" t="n">
        <f aca="false">DA55/'Executive Summary'!$C$30</f>
        <v>0.00773177673589851</v>
      </c>
      <c r="DB56" s="569" t="n">
        <f aca="false">DB55/'Executive Summary'!$C$30</f>
        <v>0.00775437205765432</v>
      </c>
      <c r="DC56" s="569" t="n">
        <f aca="false">DC55/'Executive Summary'!$C$30</f>
        <v>0.00777702766809316</v>
      </c>
      <c r="DD56" s="569" t="n">
        <f aca="false">DD55/'Executive Summary'!$C$30</f>
        <v>0.00779974372343855</v>
      </c>
      <c r="DE56" s="569" t="n">
        <f aca="false">DE55/'Executive Summary'!$C$30</f>
        <v>0.00782252038031177</v>
      </c>
      <c r="DF56" s="569" t="n">
        <f aca="false">DF55/'Executive Summary'!$C$30</f>
        <v>0.00784535779573282</v>
      </c>
      <c r="DG56" s="569" t="n">
        <f aca="false">DG55/'Executive Summary'!$C$30</f>
        <v>0.00786825612712144</v>
      </c>
      <c r="DH56" s="569" t="n">
        <f aca="false">DH55/'Executive Summary'!$C$30</f>
        <v>0.00789121553229814</v>
      </c>
      <c r="DI56" s="569" t="n">
        <f aca="false">DI55/'Executive Summary'!$C$30</f>
        <v>0.00791423616948516</v>
      </c>
      <c r="DJ56" s="569" t="n">
        <f aca="false">DJ55/'Executive Summary'!$C$30</f>
        <v>0.00793731819730752</v>
      </c>
      <c r="DK56" s="569" t="n">
        <f aca="false">DK55/'Executive Summary'!$C$30</f>
        <v>0.00796046177479401</v>
      </c>
      <c r="DL56" s="569" t="n">
        <f aca="false">DL55/'Executive Summary'!$C$30</f>
        <v>0.00797437177703898</v>
      </c>
      <c r="DM56" s="569" t="n">
        <f aca="false">DM55/'Executive Summary'!$C$30</f>
        <v>0.00799763893256034</v>
      </c>
      <c r="DN56" s="569" t="n">
        <f aca="false">DN55/'Executive Summary'!$C$30</f>
        <v>0.0080209681172651</v>
      </c>
      <c r="DO56" s="569" t="n">
        <f aca="false">DO55/'Executive Summary'!$C$30</f>
        <v>0.00804435949180736</v>
      </c>
      <c r="DP56" s="569" t="n">
        <f aca="false">DP55/'Executive Summary'!$C$30</f>
        <v>0.00806781321725013</v>
      </c>
      <c r="DQ56" s="569" t="n">
        <f aca="false">DQ55/'Executive Summary'!$C$30</f>
        <v>0.00809132945506633</v>
      </c>
      <c r="DR56" s="569" t="n">
        <f aca="false">DR55/'Executive Summary'!$C$30</f>
        <v>0.00811490836713984</v>
      </c>
      <c r="DS56" s="569" t="n">
        <f aca="false">DS55/'Executive Summary'!$C$30</f>
        <v>0.00813855011576652</v>
      </c>
      <c r="DT56" s="569" t="n">
        <f aca="false">DT55/'Executive Summary'!$C$30</f>
        <v>0.00816225486365524</v>
      </c>
      <c r="DU56" s="569" t="n">
        <f aca="false">DU55/'Executive Summary'!$C$30</f>
        <v>0.00818602277392895</v>
      </c>
      <c r="DV56" s="569" t="n">
        <f aca="false">DV55/'Executive Summary'!$C$30</f>
        <v>0.00820985401012569</v>
      </c>
      <c r="DW56" s="569" t="n">
        <f aca="false">DW55/'Executive Summary'!$C$30</f>
        <v>0.00823374873619968</v>
      </c>
      <c r="DX56" s="569" t="n">
        <f aca="false">DX55/'Executive Summary'!$C$30</f>
        <v>0.00824813297365284</v>
      </c>
      <c r="DY56" s="569" t="n">
        <f aca="false">DY55/'Executive Summary'!$C$30</f>
        <v>0.00827215517301372</v>
      </c>
      <c r="DZ56" s="569" t="n">
        <f aca="false">DZ55/'Executive Summary'!$C$30</f>
        <v>0.00829624135662181</v>
      </c>
      <c r="EA56" s="569" t="n">
        <f aca="false">EA55/'Executive Summary'!$C$30</f>
        <v>0.00832039169010641</v>
      </c>
      <c r="EB56" s="569" t="n">
        <f aca="false">EB55/'Executive Summary'!$C$30</f>
        <v>0.00834460633951823</v>
      </c>
      <c r="EC56" s="569" t="n">
        <f aca="false">EC55/'Executive Summary'!$C$30</f>
        <v>0.00836888547133045</v>
      </c>
      <c r="ED56" s="569" t="n">
        <f aca="false">ED55/'Executive Summary'!$C$30</f>
        <v>0.00839322925243979</v>
      </c>
      <c r="EE56" s="569" t="n">
        <f aca="false">EE55/'Executive Summary'!$C$30</f>
        <v>0.00841763785016758</v>
      </c>
      <c r="EF56" s="569" t="n">
        <f aca="false">EF55/'Executive Summary'!$C$30</f>
        <v>0.00844211143226082</v>
      </c>
      <c r="EG56" s="569" t="n">
        <f aca="false">EG55/'Executive Summary'!$C$30</f>
        <v>0.00846665016689324</v>
      </c>
      <c r="EH56" s="569" t="n">
        <f aca="false">EH55/'Executive Summary'!$C$30</f>
        <v>0.00849125422266639</v>
      </c>
      <c r="EI56" s="567" t="n">
        <f aca="false">EI55/'Executive Summary'!$C$30</f>
        <v>0.00851592376861074</v>
      </c>
      <c r="EK56" s="568" t="n">
        <f aca="false">EK55/'Executive Summary'!$C$30</f>
        <v>0.0678066550573732</v>
      </c>
      <c r="EL56" s="569" t="n">
        <f aca="false">EL55/'Executive Summary'!$C$30</f>
        <v>0.0729658268500386</v>
      </c>
      <c r="EM56" s="569" t="n">
        <f aca="false">EM55/'Executive Summary'!$C$30</f>
        <v>0.0766277962109076</v>
      </c>
      <c r="EN56" s="569" t="n">
        <f aca="false">EN55/'Executive Summary'!$C$30</f>
        <v>0.0793273980822612</v>
      </c>
      <c r="EO56" s="569" t="n">
        <f aca="false">EO55/'Executive Summary'!$C$30</f>
        <v>0.0820785210347707</v>
      </c>
      <c r="EP56" s="569" t="n">
        <f aca="false">EP55/'Executive Summary'!$C$30</f>
        <v>0.0915547252054902</v>
      </c>
      <c r="EQ56" s="569" t="n">
        <f aca="false">EQ55/'Executive Summary'!$C$30</f>
        <v>0.0878534933777853</v>
      </c>
      <c r="ER56" s="569" t="n">
        <f aca="false">ER55/'Executive Summary'!$C$30</f>
        <v>0.0908831257813832</v>
      </c>
      <c r="ES56" s="569" t="n">
        <f aca="false">ES55/'Executive Summary'!$C$30</f>
        <v>0.0940115277091343</v>
      </c>
      <c r="ET56" s="567" t="n">
        <f aca="false">ET55/'Executive Summary'!$C$30</f>
        <v>0.0972418198578042</v>
      </c>
    </row>
    <row r="57" s="563" customFormat="true" ht="13.5" hidden="false" customHeight="true" outlineLevel="0" collapsed="false">
      <c r="B57" s="564" t="s">
        <v>403</v>
      </c>
      <c r="C57" s="565"/>
      <c r="D57" s="566"/>
      <c r="E57" s="567" t="n">
        <f aca="true">AVERAGE(OFFSET(G57,0,0,1,'Executive Summary'!$I$13+1))*12</f>
        <v>0.0716181944617901</v>
      </c>
      <c r="F57" s="566"/>
      <c r="G57" s="568"/>
      <c r="H57" s="569" t="n">
        <f aca="false">H55/'Executive Summary'!$I$23</f>
        <v>0.00505166465239011</v>
      </c>
      <c r="I57" s="569" t="n">
        <f aca="false">I55/'Executive Summary'!$I$23</f>
        <v>0.00509695382039847</v>
      </c>
      <c r="J57" s="569" t="n">
        <f aca="false">J55/'Executive Summary'!$I$23</f>
        <v>0.00515621602371232</v>
      </c>
      <c r="K57" s="569" t="n">
        <f aca="false">K55/'Executive Summary'!$I$23</f>
        <v>0.00520215541771024</v>
      </c>
      <c r="L57" s="569" t="n">
        <f aca="false">L55/'Executive Summary'!$I$23</f>
        <v>0.00526219621254993</v>
      </c>
      <c r="M57" s="569" t="n">
        <f aca="false">M55/'Executive Summary'!$I$23</f>
        <v>0.00530889956702034</v>
      </c>
      <c r="N57" s="569" t="n">
        <f aca="false">N55/'Executive Summary'!$I$23</f>
        <v>0.00536971977525856</v>
      </c>
      <c r="O57" s="569" t="n">
        <f aca="false">O55/'Executive Summary'!$I$23</f>
        <v>0.00541718789597086</v>
      </c>
      <c r="P57" s="569" t="n">
        <f aca="false">P55/'Executive Summary'!$I$23</f>
        <v>0.00547878834027535</v>
      </c>
      <c r="Q57" s="569" t="n">
        <f aca="false">Q55/'Executive Summary'!$I$23</f>
        <v>0.00552702203377611</v>
      </c>
      <c r="R57" s="569" t="n">
        <f aca="false">R55/'Executive Summary'!$I$23</f>
        <v>0.00558940353761014</v>
      </c>
      <c r="S57" s="569" t="n">
        <f aca="false">S55/'Executive Summary'!$I$23</f>
        <v>0.00563840361122361</v>
      </c>
      <c r="T57" s="569" t="n">
        <f aca="false">T55/'Executive Summary'!$I$23</f>
        <v>0.00560384197611088</v>
      </c>
      <c r="U57" s="569" t="n">
        <f aca="false">U55/'Executive Summary'!$I$23</f>
        <v>0.00563095945467174</v>
      </c>
      <c r="V57" s="569" t="n">
        <f aca="false">V55/'Executive Summary'!$I$23</f>
        <v>0.005645958822931</v>
      </c>
      <c r="W57" s="569" t="n">
        <f aca="false">W55/'Executive Summary'!$I$23</f>
        <v>0.00567625413800582</v>
      </c>
      <c r="X57" s="569" t="n">
        <f aca="false">X55/'Executive Summary'!$I$23</f>
        <v>0.00569442648691127</v>
      </c>
      <c r="Y57" s="569" t="n">
        <f aca="false">Y55/'Executive Summary'!$I$23</f>
        <v>0.00572792002223642</v>
      </c>
      <c r="Z57" s="569" t="n">
        <f aca="false">Z55/'Executive Summary'!$I$23</f>
        <v>0.0057492857754655</v>
      </c>
      <c r="AA57" s="569" t="n">
        <f aca="false">AA55/'Executive Summary'!$I$23</f>
        <v>0.00578599802779507</v>
      </c>
      <c r="AB57" s="569" t="n">
        <f aca="false">AB55/'Executive Summary'!$I$23</f>
        <v>0.00581057772232956</v>
      </c>
      <c r="AC57" s="569" t="n">
        <f aca="false">AC55/'Executive Summary'!$I$23</f>
        <v>0.00585052930204558</v>
      </c>
      <c r="AD57" s="569" t="n">
        <f aca="false">AD55/'Executive Summary'!$I$23</f>
        <v>0.0058783435887834</v>
      </c>
      <c r="AE57" s="569" t="n">
        <f aca="false">AE55/'Executive Summary'!$I$23</f>
        <v>0.00592155522050933</v>
      </c>
      <c r="AF57" s="569" t="n">
        <f aca="false">AF55/'Executive Summary'!$I$23</f>
        <v>0.0059330969027762</v>
      </c>
      <c r="AG57" s="569" t="n">
        <f aca="false">AG55/'Executive Summary'!$I$23</f>
        <v>0.00595222859484915</v>
      </c>
      <c r="AH57" s="569" t="n">
        <f aca="false">AH55/'Executive Summary'!$I$23</f>
        <v>0.00597125528367256</v>
      </c>
      <c r="AI57" s="569" t="n">
        <f aca="false">AI55/'Executive Summary'!$I$23</f>
        <v>0.00599017629896981</v>
      </c>
      <c r="AJ57" s="569" t="n">
        <f aca="false">AJ55/'Executive Summary'!$I$23</f>
        <v>0.00600899096770366</v>
      </c>
      <c r="AK57" s="569" t="n">
        <f aca="false">AK55/'Executive Summary'!$I$23</f>
        <v>0.00602769861406649</v>
      </c>
      <c r="AL57" s="569" t="n">
        <f aca="false">AL55/'Executive Summary'!$I$23</f>
        <v>0.00604629855947051</v>
      </c>
      <c r="AM57" s="569" t="n">
        <f aca="false">AM55/'Executive Summary'!$I$23</f>
        <v>0.00606479012253785</v>
      </c>
      <c r="AN57" s="569" t="n">
        <f aca="false">AN55/'Executive Summary'!$I$23</f>
        <v>0.00608317261909074</v>
      </c>
      <c r="AO57" s="569" t="n">
        <f aca="false">AO55/'Executive Summary'!$I$23</f>
        <v>0.00610238864240864</v>
      </c>
      <c r="AP57" s="569" t="n">
        <f aca="false">AP55/'Executive Summary'!$I$23</f>
        <v>0.00611960766188298</v>
      </c>
      <c r="AQ57" s="569" t="n">
        <f aca="false">AQ55/'Executive Summary'!$I$23</f>
        <v>0.00613765882567779</v>
      </c>
      <c r="AR57" s="569" t="n">
        <f aca="false">AR55/'Executive Summary'!$I$23</f>
        <v>0.00614839944945531</v>
      </c>
      <c r="AS57" s="569" t="n">
        <f aca="false">AS55/'Executive Summary'!$I$23</f>
        <v>0.00616654755141867</v>
      </c>
      <c r="AT57" s="569" t="n">
        <f aca="false">AT55/'Executive Summary'!$I$23</f>
        <v>0.00618474431149113</v>
      </c>
      <c r="AU57" s="569" t="n">
        <f aca="false">AU55/'Executive Summary'!$I$23</f>
        <v>0.00620298985611787</v>
      </c>
      <c r="AV57" s="569" t="n">
        <f aca="false">AV55/'Executive Summary'!$I$23</f>
        <v>0.00622128431206655</v>
      </c>
      <c r="AW57" s="569" t="n">
        <f aca="false">AW55/'Executive Summary'!$I$23</f>
        <v>0.00623962780642815</v>
      </c>
      <c r="AX57" s="569" t="n">
        <f aca="false">AX55/'Executive Summary'!$I$23</f>
        <v>0.00625802046661774</v>
      </c>
      <c r="AY57" s="569" t="n">
        <f aca="false">AY55/'Executive Summary'!$I$23</f>
        <v>0.00627646242037533</v>
      </c>
      <c r="AZ57" s="569" t="n">
        <f aca="false">AZ55/'Executive Summary'!$I$23</f>
        <v>0.00629495379576668</v>
      </c>
      <c r="BA57" s="569" t="n">
        <f aca="false">BA55/'Executive Summary'!$I$23</f>
        <v>0.00631349472118412</v>
      </c>
      <c r="BB57" s="569" t="n">
        <f aca="false">BB55/'Executive Summary'!$I$23</f>
        <v>0.00633208532534738</v>
      </c>
      <c r="BC57" s="569" t="n">
        <f aca="false">BC55/'Executive Summary'!$I$23</f>
        <v>0.00635072573730441</v>
      </c>
      <c r="BD57" s="569" t="n">
        <f aca="false">BD55/'Executive Summary'!$I$23</f>
        <v>0.00636183637184593</v>
      </c>
      <c r="BE57" s="569" t="n">
        <f aca="false">BE55/'Executive Summary'!$I$23</f>
        <v>0.00638057678785133</v>
      </c>
      <c r="BF57" s="569" t="n">
        <f aca="false">BF55/'Executive Summary'!$I$23</f>
        <v>0.00639936740077191</v>
      </c>
      <c r="BG57" s="569" t="n">
        <f aca="false">BG55/'Executive Summary'!$I$23</f>
        <v>0.00641820834097681</v>
      </c>
      <c r="BH57" s="569" t="n">
        <f aca="false">BH55/'Executive Summary'!$I$23</f>
        <v>0.00643709973916751</v>
      </c>
      <c r="BI57" s="569" t="n">
        <f aca="false">BI55/'Executive Summary'!$I$23</f>
        <v>0.0064560417263787</v>
      </c>
      <c r="BJ57" s="569" t="n">
        <f aca="false">BJ55/'Executive Summary'!$I$23</f>
        <v>0.00647503443397916</v>
      </c>
      <c r="BK57" s="569" t="n">
        <f aca="false">BK55/'Executive Summary'!$I$23</f>
        <v>0.00649407799367254</v>
      </c>
      <c r="BL57" s="569" t="n">
        <f aca="false">BL55/'Executive Summary'!$I$23</f>
        <v>0.00651317253749822</v>
      </c>
      <c r="BM57" s="569" t="n">
        <f aca="false">BM55/'Executive Summary'!$I$23</f>
        <v>0.0065323181978322</v>
      </c>
      <c r="BN57" s="569" t="n">
        <f aca="false">BN55/'Executive Summary'!$I$23</f>
        <v>0.00655151510738787</v>
      </c>
      <c r="BO57" s="569" t="n">
        <f aca="false">BO55/'Executive Summary'!$I$23</f>
        <v>0.00657076339921694</v>
      </c>
      <c r="BP57" s="569" t="n">
        <f aca="false">BP55/'Executive Summary'!$I$23</f>
        <v>0.0065822561006864</v>
      </c>
      <c r="BQ57" s="569" t="n">
        <f aca="false">BQ55/'Executive Summary'!$I$23</f>
        <v>0.00660160755757476</v>
      </c>
      <c r="BR57" s="569" t="n">
        <f aca="false">BR55/'Executive Summary'!$I$23</f>
        <v>0.00662101079792984</v>
      </c>
      <c r="BS57" s="569" t="n">
        <f aca="false">BS55/'Executive Summary'!$I$23</f>
        <v>0.00664046595616503</v>
      </c>
      <c r="BT57" s="569" t="n">
        <f aca="false">BT55/'Executive Summary'!$I$23</f>
        <v>0.0074440076977679</v>
      </c>
      <c r="BU57" s="569" t="n">
        <f aca="false">BU55/'Executive Summary'!$I$23</f>
        <v>0.00746356709637456</v>
      </c>
      <c r="BV57" s="569" t="n">
        <f aca="false">BV55/'Executive Summary'!$I$23</f>
        <v>0.00748317881816033</v>
      </c>
      <c r="BW57" s="569" t="n">
        <f aca="false">BW55/'Executive Summary'!$I$23</f>
        <v>0.00750284299891403</v>
      </c>
      <c r="BX57" s="569" t="n">
        <f aca="false">BX55/'Executive Summary'!$I$23</f>
        <v>0.00752255977477053</v>
      </c>
      <c r="BY57" s="569" t="n">
        <f aca="false">BY55/'Executive Summary'!$I$23</f>
        <v>0.00754232928221161</v>
      </c>
      <c r="BZ57" s="569" t="n">
        <f aca="false">BZ55/'Executive Summary'!$I$23</f>
        <v>0.00756215165806682</v>
      </c>
      <c r="CA57" s="569" t="n">
        <f aca="false">CA55/'Executive Summary'!$I$23</f>
        <v>0.00758202703951436</v>
      </c>
      <c r="CB57" s="569" t="n">
        <f aca="false">CB55/'Executive Summary'!$I$23</f>
        <v>0.00680987971414579</v>
      </c>
      <c r="CC57" s="569" t="n">
        <f aca="false">CC55/'Executive Summary'!$I$23</f>
        <v>0.00682986151971166</v>
      </c>
      <c r="CD57" s="569" t="n">
        <f aca="false">CD55/'Executive Summary'!$I$23</f>
        <v>0.00684989674450521</v>
      </c>
      <c r="CE57" s="569" t="n">
        <f aca="false">CE55/'Executive Summary'!$I$23</f>
        <v>0.00686998552710808</v>
      </c>
      <c r="CF57" s="569" t="n">
        <f aca="false">CF55/'Executive Summary'!$I$23</f>
        <v>0.00689012800645497</v>
      </c>
      <c r="CG57" s="569" t="n">
        <f aca="false">CG55/'Executive Summary'!$I$23</f>
        <v>0.00691032432183454</v>
      </c>
      <c r="CH57" s="569" t="n">
        <f aca="false">CH55/'Executive Summary'!$I$23</f>
        <v>0.00693057461289031</v>
      </c>
      <c r="CI57" s="569" t="n">
        <f aca="false">CI55/'Executive Summary'!$I$23</f>
        <v>0.00695087901962153</v>
      </c>
      <c r="CJ57" s="569" t="n">
        <f aca="false">CJ55/'Executive Summary'!$I$23</f>
        <v>0.00697123768238409</v>
      </c>
      <c r="CK57" s="569" t="n">
        <f aca="false">CK55/'Executive Summary'!$I$23</f>
        <v>0.00699165074189143</v>
      </c>
      <c r="CL57" s="569" t="n">
        <f aca="false">CL55/'Executive Summary'!$I$23</f>
        <v>0.00701211833921542</v>
      </c>
      <c r="CM57" s="569" t="n">
        <f aca="false">CM55/'Executive Summary'!$I$23</f>
        <v>0.00703264061578727</v>
      </c>
      <c r="CN57" s="569" t="n">
        <f aca="false">CN55/'Executive Summary'!$I$23</f>
        <v>0.00704493515461775</v>
      </c>
      <c r="CO57" s="569" t="n">
        <f aca="false">CO55/'Executive Summary'!$I$23</f>
        <v>0.00706556721542085</v>
      </c>
      <c r="CP57" s="569" t="n">
        <f aca="false">CP55/'Executive Summary'!$I$23</f>
        <v>0.00708625438193057</v>
      </c>
      <c r="CQ57" s="569" t="n">
        <f aca="false">CQ55/'Executive Summary'!$I$23</f>
        <v>0.00710699679702457</v>
      </c>
      <c r="CR57" s="569" t="n">
        <f aca="false">CR55/'Executive Summary'!$I$23</f>
        <v>0.00712779460394438</v>
      </c>
      <c r="CS57" s="569" t="n">
        <f aca="false">CS55/'Executive Summary'!$I$23</f>
        <v>0.00714864794629634</v>
      </c>
      <c r="CT57" s="569" t="n">
        <f aca="false">CT55/'Executive Summary'!$I$23</f>
        <v>0.00716955696805255</v>
      </c>
      <c r="CU57" s="569" t="n">
        <f aca="false">CU55/'Executive Summary'!$I$23</f>
        <v>0.00719052181355172</v>
      </c>
      <c r="CV57" s="569" t="n">
        <f aca="false">CV55/'Executive Summary'!$I$23</f>
        <v>0.00721154262750013</v>
      </c>
      <c r="CW57" s="569" t="n">
        <f aca="false">CW55/'Executive Summary'!$I$23</f>
        <v>0.00723261955497258</v>
      </c>
      <c r="CX57" s="569" t="n">
        <f aca="false">CX55/'Executive Summary'!$I$23</f>
        <v>0.00725375274141327</v>
      </c>
      <c r="CY57" s="569" t="n">
        <f aca="false">CY55/'Executive Summary'!$I$23</f>
        <v>0.00727494233263677</v>
      </c>
      <c r="CZ57" s="569" t="n">
        <f aca="false">CZ55/'Executive Summary'!$I$23</f>
        <v>0.00728765743928481</v>
      </c>
      <c r="DA57" s="569" t="n">
        <f aca="false">DA55/'Executive Summary'!$I$23</f>
        <v>0.00730896027900369</v>
      </c>
      <c r="DB57" s="569" t="n">
        <f aca="false">DB55/'Executive Summary'!$I$23</f>
        <v>0.00733031996318052</v>
      </c>
      <c r="DC57" s="569" t="n">
        <f aca="false">DC55/'Executive Summary'!$I$23</f>
        <v>0.00735173663912063</v>
      </c>
      <c r="DD57" s="569" t="n">
        <f aca="false">DD55/'Executive Summary'!$I$23</f>
        <v>0.00737321045450439</v>
      </c>
      <c r="DE57" s="569" t="n">
        <f aca="false">DE55/'Executive Summary'!$I$23</f>
        <v>0.00739474155738815</v>
      </c>
      <c r="DF57" s="569" t="n">
        <f aca="false">DF55/'Executive Summary'!$I$23</f>
        <v>0.00741633009620517</v>
      </c>
      <c r="DG57" s="569" t="n">
        <f aca="false">DG55/'Executive Summary'!$I$23</f>
        <v>0.00743797621976664</v>
      </c>
      <c r="DH57" s="569" t="n">
        <f aca="false">DH55/'Executive Summary'!$I$23</f>
        <v>0.00745968007726254</v>
      </c>
      <c r="DI57" s="569" t="n">
        <f aca="false">DI55/'Executive Summary'!$I$23</f>
        <v>0.00748144181826265</v>
      </c>
      <c r="DJ57" s="569" t="n">
        <f aca="false">DJ55/'Executive Summary'!$I$23</f>
        <v>0.00750326159271749</v>
      </c>
      <c r="DK57" s="569" t="n">
        <f aca="false">DK55/'Executive Summary'!$I$23</f>
        <v>0.00752513955095928</v>
      </c>
      <c r="DL57" s="569" t="n">
        <f aca="false">DL55/'Executive Summary'!$I$23</f>
        <v>0.00753828887709246</v>
      </c>
      <c r="DM57" s="569" t="n">
        <f aca="false">DM55/'Executive Summary'!$I$23</f>
        <v>0.00756028365543641</v>
      </c>
      <c r="DN57" s="569" t="n">
        <f aca="false">DN55/'Executive Summary'!$I$23</f>
        <v>0.00758233707086381</v>
      </c>
      <c r="DO57" s="569" t="n">
        <f aca="false">DO55/'Executive Summary'!$I$23</f>
        <v>0.00760444927524329</v>
      </c>
      <c r="DP57" s="569" t="n">
        <f aca="false">DP55/'Executive Summary'!$I$23</f>
        <v>0.00762662042083004</v>
      </c>
      <c r="DQ57" s="569" t="n">
        <f aca="false">DQ55/'Executive Summary'!$I$23</f>
        <v>0.00764885066026675</v>
      </c>
      <c r="DR57" s="569" t="n">
        <f aca="false">DR55/'Executive Summary'!$I$23</f>
        <v>0.00767114014658459</v>
      </c>
      <c r="DS57" s="569" t="n">
        <f aca="false">DS55/'Executive Summary'!$I$23</f>
        <v>0.00769348903320418</v>
      </c>
      <c r="DT57" s="569" t="n">
        <f aca="false">DT55/'Executive Summary'!$I$23</f>
        <v>0.00771589747393657</v>
      </c>
      <c r="DU57" s="569" t="n">
        <f aca="false">DU55/'Executive Summary'!$I$23</f>
        <v>0.00773836562298424</v>
      </c>
      <c r="DV57" s="569" t="n">
        <f aca="false">DV55/'Executive Summary'!$I$23</f>
        <v>0.00776089363494206</v>
      </c>
      <c r="DW57" s="569" t="n">
        <f aca="false">DW55/'Executive Summary'!$I$23</f>
        <v>0.00778348166479832</v>
      </c>
      <c r="DX57" s="569" t="n">
        <f aca="false">DX55/'Executive Summary'!$I$23</f>
        <v>0.00779707929232691</v>
      </c>
      <c r="DY57" s="569" t="n">
        <f aca="false">DY55/'Executive Summary'!$I$23</f>
        <v>0.00781978782452337</v>
      </c>
      <c r="DZ57" s="569" t="n">
        <f aca="false">DZ55/'Executive Summary'!$I$23</f>
        <v>0.00784255684195334</v>
      </c>
      <c r="EA57" s="569" t="n">
        <f aca="false">EA55/'Executive Summary'!$I$23</f>
        <v>0.0078653865011886</v>
      </c>
      <c r="EB57" s="569" t="n">
        <f aca="false">EB55/'Executive Summary'!$I$23</f>
        <v>0.00788827695919927</v>
      </c>
      <c r="EC57" s="569" t="n">
        <f aca="false">EC55/'Executive Summary'!$I$23</f>
        <v>0.00791122837335486</v>
      </c>
      <c r="ED57" s="569" t="n">
        <f aca="false">ED55/'Executive Summary'!$I$23</f>
        <v>0.00793424090142527</v>
      </c>
      <c r="EE57" s="569" t="n">
        <f aca="false">EE55/'Executive Summary'!$I$23</f>
        <v>0.00795731470158174</v>
      </c>
      <c r="EF57" s="569" t="n">
        <f aca="false">EF55/'Executive Summary'!$I$23</f>
        <v>0.00798044993239795</v>
      </c>
      <c r="EG57" s="569" t="n">
        <f aca="false">EG55/'Executive Summary'!$I$23</f>
        <v>0.00800364675285095</v>
      </c>
      <c r="EH57" s="569" t="n">
        <f aca="false">EH55/'Executive Summary'!$I$23</f>
        <v>0.00802690532232224</v>
      </c>
      <c r="EI57" s="567" t="n">
        <f aca="false">EI55/'Executive Summary'!$I$23</f>
        <v>0.00805022580059874</v>
      </c>
      <c r="EK57" s="568" t="n">
        <f aca="false">EK55/'Executive Summary'!$I$23</f>
        <v>0.064098610887896</v>
      </c>
      <c r="EL57" s="569" t="n">
        <f aca="false">EL55/'Executive Summary'!$I$23</f>
        <v>0.0689756505377956</v>
      </c>
      <c r="EM57" s="569" t="n">
        <f aca="false">EM55/'Executive Summary'!$I$23</f>
        <v>0.0724373630931064</v>
      </c>
      <c r="EN57" s="569" t="n">
        <f aca="false">EN55/'Executive Summary'!$I$23</f>
        <v>0.0749893357535733</v>
      </c>
      <c r="EO57" s="569" t="n">
        <f aca="false">EO55/'Executive Summary'!$I$23</f>
        <v>0.0775900120365791</v>
      </c>
      <c r="EP57" s="569" t="n">
        <f aca="false">EP55/'Executive Summary'!$I$23</f>
        <v>0.0865480047781362</v>
      </c>
      <c r="EQ57" s="569" t="n">
        <f aca="false">EQ55/'Executive Summary'!$I$23</f>
        <v>0.0830491768455503</v>
      </c>
      <c r="ER57" s="569" t="n">
        <f aca="false">ER55/'Executive Summary'!$I$23</f>
        <v>0.0859131321373615</v>
      </c>
      <c r="ES57" s="569" t="n">
        <f aca="false">ES55/'Executive Summary'!$I$23</f>
        <v>0.088870455687656</v>
      </c>
      <c r="ET57" s="567" t="n">
        <f aca="false">ET55/'Executive Summary'!$I$23</f>
        <v>0.0919240975361827</v>
      </c>
    </row>
    <row r="58" s="570" customFormat="true" ht="13.5" hidden="false" customHeight="true" outlineLevel="0" collapsed="false">
      <c r="B58" s="145" t="s">
        <v>575</v>
      </c>
      <c r="C58" s="571"/>
      <c r="D58" s="572"/>
      <c r="E58" s="573"/>
      <c r="F58" s="572"/>
      <c r="G58" s="145"/>
      <c r="H58" s="572"/>
      <c r="I58" s="572"/>
      <c r="J58" s="572"/>
      <c r="K58" s="572"/>
      <c r="L58" s="572"/>
      <c r="M58" s="572"/>
      <c r="N58" s="572"/>
      <c r="O58" s="572"/>
      <c r="P58" s="572"/>
      <c r="Q58" s="572"/>
      <c r="R58" s="572"/>
      <c r="S58" s="572"/>
      <c r="T58" s="572"/>
      <c r="U58" s="572"/>
      <c r="V58" s="572"/>
      <c r="W58" s="572"/>
      <c r="X58" s="572"/>
      <c r="Y58" s="572"/>
      <c r="Z58" s="572"/>
      <c r="AA58" s="572"/>
      <c r="AB58" s="572"/>
      <c r="AC58" s="572"/>
      <c r="AD58" s="572"/>
      <c r="AE58" s="572"/>
      <c r="AF58" s="572"/>
      <c r="AG58" s="572"/>
      <c r="AH58" s="572"/>
      <c r="AI58" s="572"/>
      <c r="AJ58" s="572"/>
      <c r="AK58" s="572"/>
      <c r="AL58" s="572"/>
      <c r="AM58" s="572"/>
      <c r="AN58" s="572"/>
      <c r="AO58" s="572"/>
      <c r="AP58" s="572"/>
      <c r="AQ58" s="572"/>
      <c r="AR58" s="572"/>
      <c r="AS58" s="572"/>
      <c r="AT58" s="572"/>
      <c r="AU58" s="572"/>
      <c r="AV58" s="572"/>
      <c r="AW58" s="572"/>
      <c r="AX58" s="572"/>
      <c r="AY58" s="572"/>
      <c r="AZ58" s="572"/>
      <c r="BA58" s="572"/>
      <c r="BB58" s="572"/>
      <c r="BC58" s="572"/>
      <c r="BD58" s="572"/>
      <c r="BE58" s="572"/>
      <c r="BF58" s="572"/>
      <c r="BG58" s="572"/>
      <c r="BH58" s="572"/>
      <c r="BI58" s="572"/>
      <c r="BJ58" s="572"/>
      <c r="BK58" s="572"/>
      <c r="BL58" s="572"/>
      <c r="BM58" s="572"/>
      <c r="BN58" s="572"/>
      <c r="BO58" s="572"/>
      <c r="BP58" s="572"/>
      <c r="BQ58" s="572"/>
      <c r="BR58" s="572"/>
      <c r="BS58" s="572"/>
      <c r="BT58" s="572"/>
      <c r="BU58" s="572"/>
      <c r="BV58" s="572"/>
      <c r="BW58" s="572"/>
      <c r="BX58" s="572"/>
      <c r="BY58" s="572"/>
      <c r="BZ58" s="572"/>
      <c r="CA58" s="572"/>
      <c r="CB58" s="572"/>
      <c r="CC58" s="572"/>
      <c r="CD58" s="572"/>
      <c r="CE58" s="572"/>
      <c r="CF58" s="572"/>
      <c r="CG58" s="572"/>
      <c r="CH58" s="572"/>
      <c r="CI58" s="572"/>
      <c r="CJ58" s="572"/>
      <c r="CK58" s="572"/>
      <c r="CL58" s="572"/>
      <c r="CM58" s="572"/>
      <c r="CN58" s="572"/>
      <c r="CO58" s="572"/>
      <c r="CP58" s="572"/>
      <c r="CQ58" s="572"/>
      <c r="CR58" s="572"/>
      <c r="CS58" s="572"/>
      <c r="CT58" s="572"/>
      <c r="CU58" s="572"/>
      <c r="CV58" s="572"/>
      <c r="CW58" s="572"/>
      <c r="CX58" s="572"/>
      <c r="CY58" s="572"/>
      <c r="CZ58" s="572"/>
      <c r="DA58" s="572"/>
      <c r="DB58" s="572"/>
      <c r="DC58" s="572"/>
      <c r="DD58" s="572"/>
      <c r="DE58" s="572"/>
      <c r="DF58" s="572"/>
      <c r="DG58" s="572"/>
      <c r="DH58" s="572"/>
      <c r="DI58" s="572"/>
      <c r="DJ58" s="572"/>
      <c r="DK58" s="572"/>
      <c r="DL58" s="572"/>
      <c r="DM58" s="572"/>
      <c r="DN58" s="572"/>
      <c r="DO58" s="572"/>
      <c r="DP58" s="572"/>
      <c r="DQ58" s="572"/>
      <c r="DR58" s="572"/>
      <c r="DS58" s="572"/>
      <c r="DT58" s="572"/>
      <c r="DU58" s="572"/>
      <c r="DV58" s="572"/>
      <c r="DW58" s="572"/>
      <c r="DX58" s="572"/>
      <c r="DY58" s="572"/>
      <c r="DZ58" s="572"/>
      <c r="EA58" s="572"/>
      <c r="EB58" s="572"/>
      <c r="EC58" s="572"/>
      <c r="ED58" s="572"/>
      <c r="EE58" s="572"/>
      <c r="EF58" s="572"/>
      <c r="EG58" s="572"/>
      <c r="EH58" s="572"/>
      <c r="EI58" s="573"/>
      <c r="EK58" s="574" t="n">
        <f aca="false">EK55/7.25%</f>
        <v>6196125.37593238</v>
      </c>
      <c r="EL58" s="512" t="n">
        <f aca="false">EL55/7.25%</f>
        <v>6667566.93629663</v>
      </c>
      <c r="EM58" s="512" t="n">
        <f aca="false">EM55/7.25%</f>
        <v>7002195.17099673</v>
      </c>
      <c r="EN58" s="512" t="n">
        <f aca="false">EN55/7.25%</f>
        <v>7248882.92820663</v>
      </c>
      <c r="EO58" s="512" t="n">
        <f aca="false">EO55/7.25%</f>
        <v>7500278.64628077</v>
      </c>
      <c r="EP58" s="512" t="n">
        <f aca="false">EP55/7.25%</f>
        <v>8366207.6480879</v>
      </c>
      <c r="EQ58" s="512" t="n">
        <f aca="false">EQ55/7.25%</f>
        <v>8027991.6362459</v>
      </c>
      <c r="ER58" s="512" t="n">
        <f aca="false">ER55/7.25%</f>
        <v>8304837.35588502</v>
      </c>
      <c r="ES58" s="512" t="n">
        <f aca="false">ES55/7.25%</f>
        <v>8590708.56652434</v>
      </c>
      <c r="ET58" s="575" t="n">
        <f aca="false">ET55/7.25%</f>
        <v>8885890.43528211</v>
      </c>
    </row>
    <row r="59" s="576" customFormat="true" ht="13.5" hidden="false" customHeight="true" outlineLevel="0" collapsed="false">
      <c r="B59" s="577" t="s">
        <v>62</v>
      </c>
      <c r="C59" s="578"/>
      <c r="D59" s="512"/>
      <c r="E59" s="575" t="n">
        <f aca="true">SUM(OFFSET(G59,0,0,1,'Executive Summary'!$I$13+1))</f>
        <v>606550.054486373</v>
      </c>
      <c r="F59" s="512"/>
      <c r="G59" s="574" t="n">
        <f aca="false">SUM(H55:S55)*(G$4='Executive Summary'!$I$13)</f>
        <v>0</v>
      </c>
      <c r="H59" s="512" t="n">
        <f aca="false">SUM(I55:T55)*(H$4='Executive Summary'!$I$13)</f>
        <v>0</v>
      </c>
      <c r="I59" s="512" t="n">
        <f aca="false">SUM(J55:U55)*(I$4='Executive Summary'!$I$13)</f>
        <v>0</v>
      </c>
      <c r="J59" s="512" t="n">
        <f aca="false">SUM(K55:V55)*(J$4='Executive Summary'!$I$13)</f>
        <v>0</v>
      </c>
      <c r="K59" s="512" t="n">
        <f aca="false">SUM(L55:W55)*(K$4='Executive Summary'!$I$13)</f>
        <v>0</v>
      </c>
      <c r="L59" s="512" t="n">
        <f aca="false">SUM(M55:X55)*(L$4='Executive Summary'!$I$13)</f>
        <v>0</v>
      </c>
      <c r="M59" s="512" t="n">
        <f aca="false">SUM(N55:Y55)*(M$4='Executive Summary'!$I$13)</f>
        <v>0</v>
      </c>
      <c r="N59" s="512" t="n">
        <f aca="false">SUM(O55:Z55)*(N$4='Executive Summary'!$I$13)</f>
        <v>0</v>
      </c>
      <c r="O59" s="512" t="n">
        <f aca="false">SUM(P55:AA55)*(O$4='Executive Summary'!$I$13)</f>
        <v>0</v>
      </c>
      <c r="P59" s="512" t="n">
        <f aca="false">SUM(Q55:AB55)*(P$4='Executive Summary'!$I$13)</f>
        <v>0</v>
      </c>
      <c r="Q59" s="512" t="n">
        <f aca="false">SUM(R55:AC55)*(Q$4='Executive Summary'!$I$13)</f>
        <v>0</v>
      </c>
      <c r="R59" s="512" t="n">
        <f aca="false">SUM(S55:AD55)*(R$4='Executive Summary'!$I$13)</f>
        <v>0</v>
      </c>
      <c r="S59" s="512" t="n">
        <f aca="false">SUM(T55:AE55)*(S$4='Executive Summary'!$I$13)</f>
        <v>0</v>
      </c>
      <c r="T59" s="512" t="n">
        <f aca="false">SUM(U55:AF55)*(T$4='Executive Summary'!$I$13)</f>
        <v>0</v>
      </c>
      <c r="U59" s="512" t="n">
        <f aca="false">SUM(V55:AG55)*(U$4='Executive Summary'!$I$13)</f>
        <v>0</v>
      </c>
      <c r="V59" s="512" t="n">
        <f aca="false">SUM(W55:AH55)*(V$4='Executive Summary'!$I$13)</f>
        <v>0</v>
      </c>
      <c r="W59" s="512" t="n">
        <f aca="false">SUM(X55:AI55)*(W$4='Executive Summary'!$I$13)</f>
        <v>0</v>
      </c>
      <c r="X59" s="512" t="n">
        <f aca="false">SUM(Y55:AJ55)*(X$4='Executive Summary'!$I$13)</f>
        <v>0</v>
      </c>
      <c r="Y59" s="512" t="n">
        <f aca="false">SUM(Z55:AK55)*(Y$4='Executive Summary'!$I$13)</f>
        <v>0</v>
      </c>
      <c r="Z59" s="512" t="n">
        <f aca="false">SUM(AA55:AL55)*(Z$4='Executive Summary'!$I$13)</f>
        <v>0</v>
      </c>
      <c r="AA59" s="512" t="n">
        <f aca="false">SUM(AB55:AM55)*(AA$4='Executive Summary'!$I$13)</f>
        <v>0</v>
      </c>
      <c r="AB59" s="512" t="n">
        <f aca="false">SUM(AC55:AN55)*(AB$4='Executive Summary'!$I$13)</f>
        <v>0</v>
      </c>
      <c r="AC59" s="512" t="n">
        <f aca="false">SUM(AD55:AO55)*(AC$4='Executive Summary'!$I$13)</f>
        <v>0</v>
      </c>
      <c r="AD59" s="512" t="n">
        <f aca="false">SUM(AE55:AP55)*(AD$4='Executive Summary'!$I$13)</f>
        <v>0</v>
      </c>
      <c r="AE59" s="512" t="n">
        <f aca="false">SUM(AF55:AQ55)*(AE$4='Executive Summary'!$I$13)</f>
        <v>0</v>
      </c>
      <c r="AF59" s="512" t="n">
        <f aca="false">SUM(AG55:AR55)*(AF$4='Executive Summary'!$I$13)</f>
        <v>0</v>
      </c>
      <c r="AG59" s="512" t="n">
        <f aca="false">SUM(AH55:AS55)*(AG$4='Executive Summary'!$I$13)</f>
        <v>0</v>
      </c>
      <c r="AH59" s="512" t="n">
        <f aca="false">SUM(AI55:AT55)*(AH$4='Executive Summary'!$I$13)</f>
        <v>0</v>
      </c>
      <c r="AI59" s="512" t="n">
        <f aca="false">SUM(AJ55:AU55)*(AI$4='Executive Summary'!$I$13)</f>
        <v>0</v>
      </c>
      <c r="AJ59" s="512" t="n">
        <f aca="false">SUM(AK55:AV55)*(AJ$4='Executive Summary'!$I$13)</f>
        <v>0</v>
      </c>
      <c r="AK59" s="512" t="n">
        <f aca="false">SUM(AL55:AW55)*(AK$4='Executive Summary'!$I$13)</f>
        <v>0</v>
      </c>
      <c r="AL59" s="512" t="n">
        <f aca="false">SUM(AM55:AX55)*(AL$4='Executive Summary'!$I$13)</f>
        <v>0</v>
      </c>
      <c r="AM59" s="512" t="n">
        <f aca="false">SUM(AN55:AY55)*(AM$4='Executive Summary'!$I$13)</f>
        <v>0</v>
      </c>
      <c r="AN59" s="512" t="n">
        <f aca="false">SUM(AO55:AZ55)*(AN$4='Executive Summary'!$I$13)</f>
        <v>0</v>
      </c>
      <c r="AO59" s="512" t="n">
        <f aca="false">SUM(AP55:BA55)*(AO$4='Executive Summary'!$I$13)</f>
        <v>0</v>
      </c>
      <c r="AP59" s="512" t="n">
        <f aca="false">SUM(AQ55:BB55)*(AP$4='Executive Summary'!$I$13)</f>
        <v>0</v>
      </c>
      <c r="AQ59" s="512" t="n">
        <f aca="false">SUM(AR55:BC55)*(AQ$4='Executive Summary'!$I$13)</f>
        <v>0</v>
      </c>
      <c r="AR59" s="512" t="n">
        <f aca="false">SUM(AS55:BD55)*(AR$4='Executive Summary'!$I$13)</f>
        <v>0</v>
      </c>
      <c r="AS59" s="512" t="n">
        <f aca="false">SUM(AT55:BE55)*(AS$4='Executive Summary'!$I$13)</f>
        <v>0</v>
      </c>
      <c r="AT59" s="512" t="n">
        <f aca="false">SUM(AU55:BF55)*(AT$4='Executive Summary'!$I$13)</f>
        <v>0</v>
      </c>
      <c r="AU59" s="512" t="n">
        <f aca="false">SUM(AV55:BG55)*(AU$4='Executive Summary'!$I$13)</f>
        <v>0</v>
      </c>
      <c r="AV59" s="512" t="n">
        <f aca="false">SUM(AW55:BH55)*(AV$4='Executive Summary'!$I$13)</f>
        <v>0</v>
      </c>
      <c r="AW59" s="512" t="n">
        <f aca="false">SUM(AX55:BI55)*(AW$4='Executive Summary'!$I$13)</f>
        <v>0</v>
      </c>
      <c r="AX59" s="512" t="n">
        <f aca="false">SUM(AY55:BJ55)*(AX$4='Executive Summary'!$I$13)</f>
        <v>0</v>
      </c>
      <c r="AY59" s="512" t="n">
        <f aca="false">SUM(AZ55:BK55)*(AY$4='Executive Summary'!$I$13)</f>
        <v>0</v>
      </c>
      <c r="AZ59" s="512" t="n">
        <f aca="false">SUM(BA55:BL55)*(AZ$4='Executive Summary'!$I$13)</f>
        <v>0</v>
      </c>
      <c r="BA59" s="512" t="n">
        <f aca="false">SUM(BB55:BM55)*(BA$4='Executive Summary'!$I$13)</f>
        <v>0</v>
      </c>
      <c r="BB59" s="512" t="n">
        <f aca="false">SUM(BC55:BN55)*(BB$4='Executive Summary'!$I$13)</f>
        <v>0</v>
      </c>
      <c r="BC59" s="512" t="n">
        <f aca="false">SUM(BD55:BO55)*(BC$4='Executive Summary'!$I$13)</f>
        <v>0</v>
      </c>
      <c r="BD59" s="512" t="n">
        <f aca="false">SUM(BE55:BP55)*(BD$4='Executive Summary'!$I$13)</f>
        <v>0</v>
      </c>
      <c r="BE59" s="512" t="n">
        <f aca="false">SUM(BF55:BQ55)*(BE$4='Executive Summary'!$I$13)</f>
        <v>0</v>
      </c>
      <c r="BF59" s="512" t="n">
        <f aca="false">SUM(BG55:BR55)*(BF$4='Executive Summary'!$I$13)</f>
        <v>0</v>
      </c>
      <c r="BG59" s="512" t="n">
        <f aca="false">SUM(BH55:BS55)*(BG$4='Executive Summary'!$I$13)</f>
        <v>0</v>
      </c>
      <c r="BH59" s="512" t="n">
        <f aca="false">SUM(BI55:BT55)*(BH$4='Executive Summary'!$I$13)</f>
        <v>0</v>
      </c>
      <c r="BI59" s="512" t="n">
        <f aca="false">SUM(BJ55:BU55)*(BI$4='Executive Summary'!$I$13)</f>
        <v>0</v>
      </c>
      <c r="BJ59" s="512" t="n">
        <f aca="false">SUM(BK55:BV55)*(BJ$4='Executive Summary'!$I$13)</f>
        <v>0</v>
      </c>
      <c r="BK59" s="512" t="n">
        <f aca="false">SUM(BL55:BW55)*(BK$4='Executive Summary'!$I$13)</f>
        <v>0</v>
      </c>
      <c r="BL59" s="512" t="n">
        <f aca="false">SUM(BM55:BX55)*(BL$4='Executive Summary'!$I$13)</f>
        <v>0</v>
      </c>
      <c r="BM59" s="512" t="n">
        <f aca="false">SUM(BN55:BY55)*(BM$4='Executive Summary'!$I$13)</f>
        <v>0</v>
      </c>
      <c r="BN59" s="512" t="n">
        <f aca="false">SUM(BO55:BZ55)*(BN$4='Executive Summary'!$I$13)</f>
        <v>0</v>
      </c>
      <c r="BO59" s="512" t="n">
        <f aca="false">SUM(BP55:CA55)*(BO$4='Executive Summary'!$I$13)</f>
        <v>606550.054486373</v>
      </c>
      <c r="BP59" s="512" t="n">
        <f aca="false">SUM(BQ55:CB55)*(BP$4='Executive Summary'!$I$13)</f>
        <v>0</v>
      </c>
      <c r="BQ59" s="512" t="n">
        <f aca="false">SUM(BR55:CC55)*(BQ$4='Executive Summary'!$I$13)</f>
        <v>0</v>
      </c>
      <c r="BR59" s="512" t="n">
        <f aca="false">SUM(BS55:CD55)*(BR$4='Executive Summary'!$I$13)</f>
        <v>0</v>
      </c>
      <c r="BS59" s="512" t="n">
        <f aca="false">SUM(BT55:CE55)*(BS$4='Executive Summary'!$I$13)</f>
        <v>0</v>
      </c>
      <c r="BT59" s="512" t="n">
        <f aca="false">SUM(BU55:CF55)*(BT$4='Executive Summary'!$I$13)</f>
        <v>0</v>
      </c>
      <c r="BU59" s="512" t="n">
        <f aca="false">SUM(BV55:CG55)*(BU$4='Executive Summary'!$I$13)</f>
        <v>0</v>
      </c>
      <c r="BV59" s="512" t="n">
        <f aca="false">SUM(BW55:CH55)*(BV$4='Executive Summary'!$I$13)</f>
        <v>0</v>
      </c>
      <c r="BW59" s="512" t="n">
        <f aca="false">SUM(BX55:CI55)*(BW$4='Executive Summary'!$I$13)</f>
        <v>0</v>
      </c>
      <c r="BX59" s="512" t="n">
        <f aca="false">SUM(BY55:CJ55)*(BX$4='Executive Summary'!$I$13)</f>
        <v>0</v>
      </c>
      <c r="BY59" s="512" t="n">
        <f aca="false">SUM(BZ55:CK55)*(BY$4='Executive Summary'!$I$13)</f>
        <v>0</v>
      </c>
      <c r="BZ59" s="512" t="n">
        <f aca="false">SUM(CA55:CL55)*(BZ$4='Executive Summary'!$I$13)</f>
        <v>0</v>
      </c>
      <c r="CA59" s="512" t="n">
        <f aca="false">SUM(CB55:CM55)*(CA$4='Executive Summary'!$I$13)</f>
        <v>0</v>
      </c>
      <c r="CB59" s="512" t="n">
        <f aca="false">SUM(CC55:CN55)*(CB$4='Executive Summary'!$I$13)</f>
        <v>0</v>
      </c>
      <c r="CC59" s="512" t="n">
        <f aca="false">SUM(CD55:CO55)*(CC$4='Executive Summary'!$I$13)</f>
        <v>0</v>
      </c>
      <c r="CD59" s="512" t="n">
        <f aca="false">SUM(CE55:CP55)*(CD$4='Executive Summary'!$I$13)</f>
        <v>0</v>
      </c>
      <c r="CE59" s="512" t="n">
        <f aca="false">SUM(CF55:CQ55)*(CE$4='Executive Summary'!$I$13)</f>
        <v>0</v>
      </c>
      <c r="CF59" s="512" t="n">
        <f aca="false">SUM(CG55:CR55)*(CF$4='Executive Summary'!$I$13)</f>
        <v>0</v>
      </c>
      <c r="CG59" s="512" t="n">
        <f aca="false">SUM(CH55:CS55)*(CG$4='Executive Summary'!$I$13)</f>
        <v>0</v>
      </c>
      <c r="CH59" s="512" t="n">
        <f aca="false">SUM(CI55:CT55)*(CH$4='Executive Summary'!$I$13)</f>
        <v>0</v>
      </c>
      <c r="CI59" s="512" t="n">
        <f aca="false">SUM(CJ55:CU55)*(CI$4='Executive Summary'!$I$13)</f>
        <v>0</v>
      </c>
      <c r="CJ59" s="512" t="n">
        <f aca="false">SUM(CK55:CV55)*(CJ$4='Executive Summary'!$I$13)</f>
        <v>0</v>
      </c>
      <c r="CK59" s="512" t="n">
        <f aca="false">SUM(CL55:CW55)*(CK$4='Executive Summary'!$I$13)</f>
        <v>0</v>
      </c>
      <c r="CL59" s="512" t="n">
        <f aca="false">SUM(CM55:CX55)*(CL$4='Executive Summary'!$I$13)</f>
        <v>0</v>
      </c>
      <c r="CM59" s="512" t="n">
        <f aca="false">SUM(CN55:CY55)*(CM$4='Executive Summary'!$I$13)</f>
        <v>0</v>
      </c>
      <c r="CN59" s="512" t="n">
        <f aca="false">SUM(CO55:CZ55)*(CN$4='Executive Summary'!$I$13)</f>
        <v>0</v>
      </c>
      <c r="CO59" s="512" t="n">
        <f aca="false">SUM(CP55:DA55)*(CO$4='Executive Summary'!$I$13)</f>
        <v>0</v>
      </c>
      <c r="CP59" s="512" t="n">
        <f aca="false">SUM(CQ55:DB55)*(CP$4='Executive Summary'!$I$13)</f>
        <v>0</v>
      </c>
      <c r="CQ59" s="512" t="n">
        <f aca="false">SUM(CR55:DC55)*(CQ$4='Executive Summary'!$I$13)</f>
        <v>0</v>
      </c>
      <c r="CR59" s="512" t="n">
        <f aca="false">SUM(CS55:DD55)*(CR$4='Executive Summary'!$I$13)</f>
        <v>0</v>
      </c>
      <c r="CS59" s="512" t="n">
        <f aca="false">SUM(CT55:DE55)*(CS$4='Executive Summary'!$I$13)</f>
        <v>0</v>
      </c>
      <c r="CT59" s="512" t="n">
        <f aca="false">SUM(CU55:DF55)*(CT$4='Executive Summary'!$I$13)</f>
        <v>0</v>
      </c>
      <c r="CU59" s="512" t="n">
        <f aca="false">SUM(CV55:DG55)*(CU$4='Executive Summary'!$I$13)</f>
        <v>0</v>
      </c>
      <c r="CV59" s="512" t="n">
        <f aca="false">SUM(CW55:DH55)*(CV$4='Executive Summary'!$I$13)</f>
        <v>0</v>
      </c>
      <c r="CW59" s="512" t="n">
        <f aca="false">SUM(CX55:DI55)*(CW$4='Executive Summary'!$I$13)</f>
        <v>0</v>
      </c>
      <c r="CX59" s="512" t="n">
        <f aca="false">SUM(CY55:DJ55)*(CX$4='Executive Summary'!$I$13)</f>
        <v>0</v>
      </c>
      <c r="CY59" s="512" t="n">
        <f aca="false">SUM(CZ55:DK55)*(CY$4='Executive Summary'!$I$13)</f>
        <v>0</v>
      </c>
      <c r="CZ59" s="512" t="n">
        <f aca="false">SUM(DA55:DL55)*(CZ$4='Executive Summary'!$I$13)</f>
        <v>0</v>
      </c>
      <c r="DA59" s="512" t="n">
        <f aca="false">SUM(DB55:DM55)*(DA$4='Executive Summary'!$I$13)</f>
        <v>0</v>
      </c>
      <c r="DB59" s="512" t="n">
        <f aca="false">SUM(DC55:DN55)*(DB$4='Executive Summary'!$I$13)</f>
        <v>0</v>
      </c>
      <c r="DC59" s="512" t="n">
        <f aca="false">SUM(DD55:DO55)*(DC$4='Executive Summary'!$I$13)</f>
        <v>0</v>
      </c>
      <c r="DD59" s="512" t="n">
        <f aca="false">SUM(DE55:DP55)*(DD$4='Executive Summary'!$I$13)</f>
        <v>0</v>
      </c>
      <c r="DE59" s="512" t="n">
        <f aca="false">SUM(DF55:DQ55)*(DE$4='Executive Summary'!$I$13)</f>
        <v>0</v>
      </c>
      <c r="DF59" s="512" t="n">
        <f aca="false">SUM(DG55:DR55)*(DF$4='Executive Summary'!$I$13)</f>
        <v>0</v>
      </c>
      <c r="DG59" s="512" t="n">
        <f aca="false">SUM(DH55:DS55)*(DG$4='Executive Summary'!$I$13)</f>
        <v>0</v>
      </c>
      <c r="DH59" s="512" t="n">
        <f aca="false">SUM(DI55:DT55)*(DH$4='Executive Summary'!$I$13)</f>
        <v>0</v>
      </c>
      <c r="DI59" s="512" t="n">
        <f aca="false">SUM(DJ55:DU55)*(DI$4='Executive Summary'!$I$13)</f>
        <v>0</v>
      </c>
      <c r="DJ59" s="512" t="n">
        <f aca="false">SUM(DK55:DV55)*(DJ$4='Executive Summary'!$I$13)</f>
        <v>0</v>
      </c>
      <c r="DK59" s="512" t="n">
        <f aca="false">SUM(DL55:DW55)*(DK$4='Executive Summary'!$I$13)</f>
        <v>0</v>
      </c>
      <c r="DL59" s="512" t="n">
        <f aca="false">SUM(DM55:DX55)*(DL$4='Executive Summary'!$I$13)</f>
        <v>0</v>
      </c>
      <c r="DM59" s="512" t="n">
        <f aca="false">SUM(DN55:DY55)*(DM$4='Executive Summary'!$I$13)</f>
        <v>0</v>
      </c>
      <c r="DN59" s="512" t="n">
        <f aca="false">SUM(DO55:DZ55)*(DN$4='Executive Summary'!$I$13)</f>
        <v>0</v>
      </c>
      <c r="DO59" s="512" t="n">
        <f aca="false">SUM(DP55:EA55)*(DO$4='Executive Summary'!$I$13)</f>
        <v>0</v>
      </c>
      <c r="DP59" s="512" t="n">
        <f aca="false">SUM(DQ55:EB55)*(DP$4='Executive Summary'!$I$13)</f>
        <v>0</v>
      </c>
      <c r="DQ59" s="512" t="n">
        <f aca="false">SUM(DR55:EC55)*(DQ$4='Executive Summary'!$I$13)</f>
        <v>0</v>
      </c>
      <c r="DR59" s="512" t="n">
        <f aca="false">SUM(DS55:ED55)*(DR$4='Executive Summary'!$I$13)</f>
        <v>0</v>
      </c>
      <c r="DS59" s="512" t="n">
        <f aca="false">SUM(DT55:EE55)*(DS$4='Executive Summary'!$I$13)</f>
        <v>0</v>
      </c>
      <c r="DT59" s="512" t="n">
        <f aca="false">SUM(DU55:EF55)*(DT$4='Executive Summary'!$I$13)</f>
        <v>0</v>
      </c>
      <c r="DU59" s="512" t="n">
        <f aca="false">SUM(DV55:EG55)*(DU$4='Executive Summary'!$I$13)</f>
        <v>0</v>
      </c>
      <c r="DV59" s="512" t="n">
        <f aca="false">SUM(DW55:EH55)*(DV$4='Executive Summary'!$I$13)</f>
        <v>0</v>
      </c>
      <c r="DW59" s="512" t="n">
        <f aca="false">SUM(DX55:EI55)*(DW$4='Executive Summary'!$I$13)</f>
        <v>0</v>
      </c>
      <c r="DX59" s="512" t="n">
        <f aca="false">SUM(DY55:EJ55)*(DX$4='Executive Summary'!$I$13)</f>
        <v>0</v>
      </c>
      <c r="DY59" s="512" t="n">
        <f aca="false">SUM(DZ55:EK55)*(DY$4='Executive Summary'!$I$13)</f>
        <v>0</v>
      </c>
      <c r="DZ59" s="512" t="n">
        <f aca="false">SUM(EA55:EL55)*(DZ$4='Executive Summary'!$I$13)</f>
        <v>0</v>
      </c>
      <c r="EA59" s="512" t="n">
        <f aca="false">SUM(EB55:EM55)*(EA$4='Executive Summary'!$I$13)</f>
        <v>0</v>
      </c>
      <c r="EB59" s="512" t="n">
        <f aca="false">SUM(EC55:EN55)*(EB$4='Executive Summary'!$I$13)</f>
        <v>0</v>
      </c>
      <c r="EC59" s="512" t="n">
        <f aca="false">SUM(ED55:EO55)*(EC$4='Executive Summary'!$I$13)</f>
        <v>0</v>
      </c>
      <c r="ED59" s="512" t="n">
        <f aca="false">SUM(EE55:EP55)*(ED$4='Executive Summary'!$I$13)</f>
        <v>0</v>
      </c>
      <c r="EE59" s="512" t="n">
        <f aca="false">SUM(EF55:EQ55)*(EE$4='Executive Summary'!$I$13)</f>
        <v>0</v>
      </c>
      <c r="EF59" s="512" t="n">
        <f aca="false">SUM(EG55:ER55)*(EF$4='Executive Summary'!$I$13)</f>
        <v>0</v>
      </c>
      <c r="EG59" s="512" t="n">
        <f aca="false">SUM(EH55:ES55)*(EG$4='Executive Summary'!$I$13)</f>
        <v>0</v>
      </c>
      <c r="EH59" s="512" t="n">
        <f aca="false">SUM(EI55:ET55)*(EH$4='Executive Summary'!$I$13)</f>
        <v>0</v>
      </c>
      <c r="EI59" s="575" t="n">
        <f aca="false">SUM(EJ55:EU55)*(EI$4='Executive Summary'!$I$13)</f>
        <v>0</v>
      </c>
      <c r="EK59" s="574" t="n">
        <f aca="true">SUM(OFFSET($G59,0,EK$24*12-11,1,12))</f>
        <v>0</v>
      </c>
      <c r="EL59" s="512" t="n">
        <f aca="true">SUM(OFFSET($G59,0,EL$24*12-11,1,12))</f>
        <v>0</v>
      </c>
      <c r="EM59" s="512" t="n">
        <f aca="true">SUM(OFFSET($G59,0,EM$24*12-11,1,12))</f>
        <v>0</v>
      </c>
      <c r="EN59" s="512" t="n">
        <f aca="true">SUM(OFFSET($G59,0,EN$24*12-11,1,12))</f>
        <v>0</v>
      </c>
      <c r="EO59" s="512" t="n">
        <f aca="true">SUM(OFFSET($G59,0,EO$24*12-11,1,12))</f>
        <v>606550.054486373</v>
      </c>
      <c r="EP59" s="512" t="n">
        <f aca="true">SUM(OFFSET($G59,0,EP$24*12-11,1,12))</f>
        <v>0</v>
      </c>
      <c r="EQ59" s="512" t="n">
        <f aca="true">SUM(OFFSET($G59,0,EQ$24*12-11,1,12))</f>
        <v>0</v>
      </c>
      <c r="ER59" s="512" t="n">
        <f aca="true">SUM(OFFSET($G59,0,ER$24*12-11,1,12))</f>
        <v>0</v>
      </c>
      <c r="ES59" s="512" t="n">
        <f aca="true">SUM(OFFSET($G59,0,ES$24*12-11,1,12))</f>
        <v>0</v>
      </c>
      <c r="ET59" s="575" t="n">
        <f aca="true">SUM(OFFSET($G59,0,ET$24*12-11,1,12))</f>
        <v>0</v>
      </c>
    </row>
    <row r="60" customFormat="false" ht="13.5" hidden="false" customHeight="true" outlineLevel="0" collapsed="false">
      <c r="B60" s="16"/>
      <c r="C60" s="29"/>
      <c r="D60" s="17"/>
      <c r="E60" s="19"/>
      <c r="F60" s="17"/>
      <c r="G60" s="1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9"/>
      <c r="EK60" s="16"/>
      <c r="EL60" s="17"/>
      <c r="EM60" s="17"/>
      <c r="EN60" s="17"/>
      <c r="EO60" s="17"/>
      <c r="EP60" s="17"/>
      <c r="EQ60" s="17"/>
      <c r="ER60" s="17"/>
      <c r="ES60" s="17"/>
      <c r="ET60" s="19"/>
    </row>
    <row r="61" s="522" customFormat="true" ht="13.5" hidden="false" customHeight="true" outlineLevel="0" collapsed="false">
      <c r="B61" s="543" t="s">
        <v>130</v>
      </c>
      <c r="C61" s="61"/>
      <c r="D61" s="421"/>
      <c r="E61" s="472"/>
      <c r="F61" s="421"/>
      <c r="G61" s="513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V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  <c r="AG61" s="421"/>
      <c r="AH61" s="421"/>
      <c r="AI61" s="421"/>
      <c r="AJ61" s="421"/>
      <c r="AK61" s="421"/>
      <c r="AL61" s="421"/>
      <c r="AM61" s="421"/>
      <c r="AN61" s="421"/>
      <c r="AO61" s="421"/>
      <c r="AP61" s="421"/>
      <c r="AQ61" s="421"/>
      <c r="AR61" s="421"/>
      <c r="AS61" s="421"/>
      <c r="AT61" s="421"/>
      <c r="AU61" s="421"/>
      <c r="AV61" s="421"/>
      <c r="AW61" s="421"/>
      <c r="AX61" s="421"/>
      <c r="AY61" s="421"/>
      <c r="AZ61" s="421"/>
      <c r="BA61" s="421"/>
      <c r="BB61" s="421"/>
      <c r="BC61" s="421"/>
      <c r="BD61" s="421"/>
      <c r="BE61" s="421"/>
      <c r="BF61" s="421"/>
      <c r="BG61" s="421"/>
      <c r="BH61" s="421"/>
      <c r="BI61" s="421"/>
      <c r="BJ61" s="421"/>
      <c r="BK61" s="421"/>
      <c r="BL61" s="421"/>
      <c r="BM61" s="421"/>
      <c r="BN61" s="421"/>
      <c r="BO61" s="421"/>
      <c r="BP61" s="421"/>
      <c r="BQ61" s="421"/>
      <c r="BR61" s="421"/>
      <c r="BS61" s="421"/>
      <c r="BT61" s="421"/>
      <c r="BU61" s="421"/>
      <c r="BV61" s="421"/>
      <c r="BW61" s="421"/>
      <c r="BX61" s="421"/>
      <c r="BY61" s="421"/>
      <c r="BZ61" s="421"/>
      <c r="CA61" s="421"/>
      <c r="CB61" s="421"/>
      <c r="CC61" s="421"/>
      <c r="CD61" s="421"/>
      <c r="CE61" s="421"/>
      <c r="CF61" s="421"/>
      <c r="CG61" s="421"/>
      <c r="CH61" s="421"/>
      <c r="CI61" s="421"/>
      <c r="CJ61" s="421"/>
      <c r="CK61" s="421"/>
      <c r="CL61" s="421"/>
      <c r="CM61" s="421"/>
      <c r="CN61" s="421"/>
      <c r="CO61" s="421"/>
      <c r="CP61" s="421"/>
      <c r="CQ61" s="421"/>
      <c r="CR61" s="421"/>
      <c r="CS61" s="421"/>
      <c r="CT61" s="421"/>
      <c r="CU61" s="421"/>
      <c r="CV61" s="421"/>
      <c r="CW61" s="421"/>
      <c r="CX61" s="421"/>
      <c r="CY61" s="421"/>
      <c r="CZ61" s="421"/>
      <c r="DA61" s="421"/>
      <c r="DB61" s="421"/>
      <c r="DC61" s="421"/>
      <c r="DD61" s="421"/>
      <c r="DE61" s="421"/>
      <c r="DF61" s="421"/>
      <c r="DG61" s="421"/>
      <c r="DH61" s="421"/>
      <c r="DI61" s="421"/>
      <c r="DJ61" s="421"/>
      <c r="DK61" s="421"/>
      <c r="DL61" s="421"/>
      <c r="DM61" s="421"/>
      <c r="DN61" s="421"/>
      <c r="DO61" s="421"/>
      <c r="DP61" s="421"/>
      <c r="DQ61" s="421"/>
      <c r="DR61" s="421"/>
      <c r="DS61" s="421"/>
      <c r="DT61" s="421"/>
      <c r="DU61" s="421"/>
      <c r="DV61" s="421"/>
      <c r="DW61" s="421"/>
      <c r="DX61" s="421"/>
      <c r="DY61" s="421"/>
      <c r="DZ61" s="421"/>
      <c r="EA61" s="421"/>
      <c r="EB61" s="421"/>
      <c r="EC61" s="421"/>
      <c r="ED61" s="421"/>
      <c r="EE61" s="421"/>
      <c r="EF61" s="421"/>
      <c r="EG61" s="421"/>
      <c r="EH61" s="421"/>
      <c r="EI61" s="472"/>
      <c r="EK61" s="513"/>
      <c r="EL61" s="421"/>
      <c r="EM61" s="421"/>
      <c r="EN61" s="421"/>
      <c r="EO61" s="421"/>
      <c r="EP61" s="421"/>
      <c r="EQ61" s="421"/>
      <c r="ER61" s="421"/>
      <c r="ES61" s="421"/>
      <c r="ET61" s="472"/>
    </row>
    <row r="62" s="522" customFormat="true" ht="13.5" hidden="false" customHeight="true" outlineLevel="0" collapsed="false">
      <c r="B62" s="513" t="s">
        <v>576</v>
      </c>
      <c r="C62" s="61"/>
      <c r="D62" s="421"/>
      <c r="E62" s="472" t="n">
        <f aca="true">SUM(OFFSET(G62,0,0,1,'Executive Summary'!$I$13+1))</f>
        <v>0</v>
      </c>
      <c r="F62" s="421"/>
      <c r="G62" s="559" t="n">
        <v>0</v>
      </c>
      <c r="H62" s="421" t="n">
        <f aca="false">'Renovation Plan'!$J$21/12*H$8*(H4&lt;='Executive Summary'!$I$13)</f>
        <v>0</v>
      </c>
      <c r="I62" s="421" t="n">
        <f aca="false">'Renovation Plan'!$J$21/12*I$8*(I4&lt;='Executive Summary'!$I$13)</f>
        <v>0</v>
      </c>
      <c r="J62" s="421" t="n">
        <f aca="false">'Renovation Plan'!$J$21/12*J$8*(J4&lt;='Executive Summary'!$I$13)</f>
        <v>0</v>
      </c>
      <c r="K62" s="421" t="n">
        <f aca="false">'Renovation Plan'!$J$21/12*K$8*(K4&lt;='Executive Summary'!$I$13)</f>
        <v>0</v>
      </c>
      <c r="L62" s="421" t="n">
        <f aca="false">'Renovation Plan'!$J$21/12*L$8*(L4&lt;='Executive Summary'!$I$13)</f>
        <v>0</v>
      </c>
      <c r="M62" s="421" t="n">
        <f aca="false">'Renovation Plan'!$J$21/12*M$8*(M4&lt;='Executive Summary'!$I$13)</f>
        <v>0</v>
      </c>
      <c r="N62" s="421" t="n">
        <f aca="false">'Renovation Plan'!$J$21/12*N$8*(N4&lt;='Executive Summary'!$I$13)</f>
        <v>0</v>
      </c>
      <c r="O62" s="421" t="n">
        <f aca="false">'Renovation Plan'!$J$21/12*O$8*(O4&lt;='Executive Summary'!$I$13)</f>
        <v>0</v>
      </c>
      <c r="P62" s="421" t="n">
        <f aca="false">'Renovation Plan'!$J$21/12*P$8*(P4&lt;='Executive Summary'!$I$13)</f>
        <v>0</v>
      </c>
      <c r="Q62" s="421" t="n">
        <f aca="false">'Renovation Plan'!$J$21/12*Q$8*(Q4&lt;='Executive Summary'!$I$13)</f>
        <v>0</v>
      </c>
      <c r="R62" s="421" t="n">
        <f aca="false">'Renovation Plan'!$J$21/12*R$8*(R4&lt;='Executive Summary'!$I$13)</f>
        <v>0</v>
      </c>
      <c r="S62" s="421" t="n">
        <f aca="false">'Renovation Plan'!$J$21/12*S$8*(S4&lt;='Executive Summary'!$I$13)</f>
        <v>0</v>
      </c>
      <c r="T62" s="421" t="n">
        <f aca="false">'Renovation Plan'!$J$21/12*T$8*(T4&lt;='Executive Summary'!$I$13)</f>
        <v>0</v>
      </c>
      <c r="U62" s="421" t="n">
        <f aca="false">'Renovation Plan'!$J$21/12*U$8*(U4&lt;='Executive Summary'!$I$13)</f>
        <v>0</v>
      </c>
      <c r="V62" s="421" t="n">
        <f aca="false">'Renovation Plan'!$J$21/12*V$8*(V4&lt;='Executive Summary'!$I$13)</f>
        <v>0</v>
      </c>
      <c r="W62" s="421" t="n">
        <f aca="false">'Renovation Plan'!$J$21/12*W$8*(W4&lt;='Executive Summary'!$I$13)</f>
        <v>0</v>
      </c>
      <c r="X62" s="421" t="n">
        <f aca="false">'Renovation Plan'!$J$21/12*X$8*(X4&lt;='Executive Summary'!$I$13)</f>
        <v>0</v>
      </c>
      <c r="Y62" s="421" t="n">
        <f aca="false">'Renovation Plan'!$J$21/12*Y$8*(Y4&lt;='Executive Summary'!$I$13)</f>
        <v>0</v>
      </c>
      <c r="Z62" s="421" t="n">
        <f aca="false">'Renovation Plan'!$J$21/12*Z$8*(Z4&lt;='Executive Summary'!$I$13)</f>
        <v>0</v>
      </c>
      <c r="AA62" s="421" t="n">
        <f aca="false">'Renovation Plan'!$J$21/12*AA$8*(AA4&lt;='Executive Summary'!$I$13)</f>
        <v>0</v>
      </c>
      <c r="AB62" s="421" t="n">
        <f aca="false">'Renovation Plan'!$J$21/12*AB$8*(AB4&lt;='Executive Summary'!$I$13)</f>
        <v>0</v>
      </c>
      <c r="AC62" s="421" t="n">
        <f aca="false">'Renovation Plan'!$J$21/12*AC$8*(AC4&lt;='Executive Summary'!$I$13)</f>
        <v>0</v>
      </c>
      <c r="AD62" s="421" t="n">
        <f aca="false">'Renovation Plan'!$J$21/12*AD$8*(AD4&lt;='Executive Summary'!$I$13)</f>
        <v>0</v>
      </c>
      <c r="AE62" s="421" t="n">
        <f aca="false">'Renovation Plan'!$J$21/12*AE$8*(AE4&lt;='Executive Summary'!$I$13)</f>
        <v>0</v>
      </c>
      <c r="AF62" s="421" t="n">
        <f aca="false">'Renovation Plan'!$J$21/12*AF$8*(AF4&lt;='Executive Summary'!$I$13)</f>
        <v>0</v>
      </c>
      <c r="AG62" s="421" t="n">
        <f aca="false">'Renovation Plan'!$J$21/12*AG$8*(AG4&lt;='Executive Summary'!$I$13)</f>
        <v>0</v>
      </c>
      <c r="AH62" s="421" t="n">
        <f aca="false">'Renovation Plan'!$J$21/12*AH$8*(AH4&lt;='Executive Summary'!$I$13)</f>
        <v>0</v>
      </c>
      <c r="AI62" s="421" t="n">
        <f aca="false">'Renovation Plan'!$J$21/12*AI$8*(AI4&lt;='Executive Summary'!$I$13)</f>
        <v>0</v>
      </c>
      <c r="AJ62" s="421" t="n">
        <f aca="false">'Renovation Plan'!$J$21/12*AJ$8*(AJ4&lt;='Executive Summary'!$I$13)</f>
        <v>0</v>
      </c>
      <c r="AK62" s="421" t="n">
        <f aca="false">'Renovation Plan'!$J$21/12*AK$8*(AK4&lt;='Executive Summary'!$I$13)</f>
        <v>0</v>
      </c>
      <c r="AL62" s="421" t="n">
        <f aca="false">'Renovation Plan'!$J$21/12*AL$8*(AL4&lt;='Executive Summary'!$I$13)</f>
        <v>0</v>
      </c>
      <c r="AM62" s="421" t="n">
        <f aca="false">'Renovation Plan'!$J$21/12*AM$8*(AM4&lt;='Executive Summary'!$I$13)</f>
        <v>0</v>
      </c>
      <c r="AN62" s="421" t="n">
        <f aca="false">'Renovation Plan'!$J$21/12*AN$8*(AN4&lt;='Executive Summary'!$I$13)</f>
        <v>0</v>
      </c>
      <c r="AO62" s="421" t="n">
        <f aca="false">'Renovation Plan'!$J$21/12*AO$8*(AO4&lt;='Executive Summary'!$I$13)</f>
        <v>0</v>
      </c>
      <c r="AP62" s="421" t="n">
        <f aca="false">'Renovation Plan'!$J$21/12*AP$8*(AP4&lt;='Executive Summary'!$I$13)</f>
        <v>0</v>
      </c>
      <c r="AQ62" s="421" t="n">
        <f aca="false">'Renovation Plan'!$J$21/12*AQ$8*(AQ4&lt;='Executive Summary'!$I$13)</f>
        <v>0</v>
      </c>
      <c r="AR62" s="421" t="n">
        <f aca="false">'Renovation Plan'!$J$21/12*AR$8*(AR4&lt;='Executive Summary'!$I$13)</f>
        <v>0</v>
      </c>
      <c r="AS62" s="421" t="n">
        <f aca="false">'Renovation Plan'!$J$21/12*AS$8*(AS4&lt;='Executive Summary'!$I$13)</f>
        <v>0</v>
      </c>
      <c r="AT62" s="421" t="n">
        <f aca="false">'Renovation Plan'!$J$21/12*AT$8*(AT4&lt;='Executive Summary'!$I$13)</f>
        <v>0</v>
      </c>
      <c r="AU62" s="421" t="n">
        <f aca="false">'Renovation Plan'!$J$21/12*AU$8*(AU4&lt;='Executive Summary'!$I$13)</f>
        <v>0</v>
      </c>
      <c r="AV62" s="421" t="n">
        <f aca="false">'Renovation Plan'!$J$21/12*AV$8*(AV4&lt;='Executive Summary'!$I$13)</f>
        <v>0</v>
      </c>
      <c r="AW62" s="421" t="n">
        <f aca="false">'Renovation Plan'!$J$21/12*AW$8*(AW4&lt;='Executive Summary'!$I$13)</f>
        <v>0</v>
      </c>
      <c r="AX62" s="421" t="n">
        <f aca="false">'Renovation Plan'!$J$21/12*AX$8*(AX4&lt;='Executive Summary'!$I$13)</f>
        <v>0</v>
      </c>
      <c r="AY62" s="421" t="n">
        <f aca="false">'Renovation Plan'!$J$21/12*AY$8*(AY4&lt;='Executive Summary'!$I$13)</f>
        <v>0</v>
      </c>
      <c r="AZ62" s="421" t="n">
        <f aca="false">'Renovation Plan'!$J$21/12*AZ$8*(AZ4&lt;='Executive Summary'!$I$13)</f>
        <v>0</v>
      </c>
      <c r="BA62" s="421" t="n">
        <f aca="false">'Renovation Plan'!$J$21/12*BA$8*(BA4&lt;='Executive Summary'!$I$13)</f>
        <v>0</v>
      </c>
      <c r="BB62" s="421" t="n">
        <f aca="false">'Renovation Plan'!$J$21/12*BB$8*(BB4&lt;='Executive Summary'!$I$13)</f>
        <v>0</v>
      </c>
      <c r="BC62" s="421" t="n">
        <f aca="false">'Renovation Plan'!$J$21/12*BC$8*(BC4&lt;='Executive Summary'!$I$13)</f>
        <v>0</v>
      </c>
      <c r="BD62" s="421" t="n">
        <f aca="false">'Renovation Plan'!$J$21/12*BD$8*(BD4&lt;='Executive Summary'!$I$13)</f>
        <v>0</v>
      </c>
      <c r="BE62" s="421" t="n">
        <f aca="false">'Renovation Plan'!$J$21/12*BE$8*(BE4&lt;='Executive Summary'!$I$13)</f>
        <v>0</v>
      </c>
      <c r="BF62" s="421" t="n">
        <f aca="false">'Renovation Plan'!$J$21/12*BF$8*(BF4&lt;='Executive Summary'!$I$13)</f>
        <v>0</v>
      </c>
      <c r="BG62" s="421" t="n">
        <f aca="false">'Renovation Plan'!$J$21/12*BG$8*(BG4&lt;='Executive Summary'!$I$13)</f>
        <v>0</v>
      </c>
      <c r="BH62" s="421" t="n">
        <f aca="false">'Renovation Plan'!$J$21/12*BH$8*(BH4&lt;='Executive Summary'!$I$13)</f>
        <v>0</v>
      </c>
      <c r="BI62" s="421" t="n">
        <f aca="false">'Renovation Plan'!$J$21/12*BI$8*(BI4&lt;='Executive Summary'!$I$13)</f>
        <v>0</v>
      </c>
      <c r="BJ62" s="421" t="n">
        <f aca="false">'Renovation Plan'!$J$21/12*BJ$8*(BJ4&lt;='Executive Summary'!$I$13)</f>
        <v>0</v>
      </c>
      <c r="BK62" s="421" t="n">
        <f aca="false">'Renovation Plan'!$J$21/12*BK$8*(BK4&lt;='Executive Summary'!$I$13)</f>
        <v>0</v>
      </c>
      <c r="BL62" s="421" t="n">
        <f aca="false">'Renovation Plan'!$J$21/12*BL$8*(BL4&lt;='Executive Summary'!$I$13)</f>
        <v>0</v>
      </c>
      <c r="BM62" s="421" t="n">
        <f aca="false">'Renovation Plan'!$J$21/12*BM$8*(BM4&lt;='Executive Summary'!$I$13)</f>
        <v>0</v>
      </c>
      <c r="BN62" s="421" t="n">
        <f aca="false">'Renovation Plan'!$J$21/12*BN$8*(BN4&lt;='Executive Summary'!$I$13)</f>
        <v>0</v>
      </c>
      <c r="BO62" s="421" t="n">
        <f aca="false">'Renovation Plan'!$J$21/12*BO$8*(BO4&lt;='Executive Summary'!$I$13)</f>
        <v>0</v>
      </c>
      <c r="BP62" s="421" t="n">
        <f aca="false">'Renovation Plan'!$J$21/12*BP$8*(BP4&lt;='Executive Summary'!$I$13)</f>
        <v>0</v>
      </c>
      <c r="BQ62" s="421" t="n">
        <f aca="false">'Renovation Plan'!$J$21/12*BQ$8*(BQ4&lt;='Executive Summary'!$I$13)</f>
        <v>0</v>
      </c>
      <c r="BR62" s="421" t="n">
        <f aca="false">'Renovation Plan'!$J$21/12*BR$8*(BR4&lt;='Executive Summary'!$I$13)</f>
        <v>0</v>
      </c>
      <c r="BS62" s="421" t="n">
        <f aca="false">'Renovation Plan'!$J$21/12*BS$8*(BS4&lt;='Executive Summary'!$I$13)</f>
        <v>0</v>
      </c>
      <c r="BT62" s="421" t="n">
        <f aca="false">'Renovation Plan'!$J$21/12*BT$8*(BT4&lt;='Executive Summary'!$I$13)</f>
        <v>0</v>
      </c>
      <c r="BU62" s="421" t="n">
        <f aca="false">'Renovation Plan'!$J$21/12*BU$8*(BU4&lt;='Executive Summary'!$I$13)</f>
        <v>0</v>
      </c>
      <c r="BV62" s="421" t="n">
        <f aca="false">'Renovation Plan'!$J$21/12*BV$8*(BV4&lt;='Executive Summary'!$I$13)</f>
        <v>0</v>
      </c>
      <c r="BW62" s="421" t="n">
        <f aca="false">'Renovation Plan'!$J$21/12*BW$8*(BW4&lt;='Executive Summary'!$I$13)</f>
        <v>0</v>
      </c>
      <c r="BX62" s="421" t="n">
        <f aca="false">'Renovation Plan'!$J$21/12*BX$8*(BX4&lt;='Executive Summary'!$I$13)</f>
        <v>0</v>
      </c>
      <c r="BY62" s="421" t="n">
        <f aca="false">'Renovation Plan'!$J$21/12*BY$8*(BY4&lt;='Executive Summary'!$I$13)</f>
        <v>0</v>
      </c>
      <c r="BZ62" s="421" t="n">
        <f aca="false">'Renovation Plan'!$J$21/12*BZ$8*(BZ4&lt;='Executive Summary'!$I$13)</f>
        <v>0</v>
      </c>
      <c r="CA62" s="421" t="n">
        <f aca="false">'Renovation Plan'!$J$21/12*CA$8*(CA4&lt;='Executive Summary'!$I$13)</f>
        <v>0</v>
      </c>
      <c r="CB62" s="421" t="n">
        <f aca="false">'Renovation Plan'!$J$21/12*CB$8*(CB4&lt;='Executive Summary'!$I$13)</f>
        <v>0</v>
      </c>
      <c r="CC62" s="421" t="n">
        <f aca="false">'Renovation Plan'!$J$21/12*CC$8*(CC4&lt;='Executive Summary'!$I$13)</f>
        <v>0</v>
      </c>
      <c r="CD62" s="421" t="n">
        <f aca="false">'Renovation Plan'!$J$21/12*CD$8*(CD4&lt;='Executive Summary'!$I$13)</f>
        <v>0</v>
      </c>
      <c r="CE62" s="421" t="n">
        <f aca="false">'Renovation Plan'!$J$21/12*CE$8*(CE4&lt;='Executive Summary'!$I$13)</f>
        <v>0</v>
      </c>
      <c r="CF62" s="421" t="n">
        <f aca="false">'Renovation Plan'!$J$21/12*CF$8*(CF4&lt;='Executive Summary'!$I$13)</f>
        <v>0</v>
      </c>
      <c r="CG62" s="421" t="n">
        <f aca="false">'Renovation Plan'!$J$21/12*CG$8*(CG4&lt;='Executive Summary'!$I$13)</f>
        <v>0</v>
      </c>
      <c r="CH62" s="421" t="n">
        <f aca="false">'Renovation Plan'!$J$21/12*CH$8*(CH4&lt;='Executive Summary'!$I$13)</f>
        <v>0</v>
      </c>
      <c r="CI62" s="421" t="n">
        <f aca="false">'Renovation Plan'!$J$21/12*CI$8*(CI4&lt;='Executive Summary'!$I$13)</f>
        <v>0</v>
      </c>
      <c r="CJ62" s="421" t="n">
        <f aca="false">'Renovation Plan'!$J$21/12*CJ$8*(CJ4&lt;='Executive Summary'!$I$13)</f>
        <v>0</v>
      </c>
      <c r="CK62" s="421" t="n">
        <f aca="false">'Renovation Plan'!$J$21/12*CK$8*(CK4&lt;='Executive Summary'!$I$13)</f>
        <v>0</v>
      </c>
      <c r="CL62" s="421" t="n">
        <f aca="false">'Renovation Plan'!$J$21/12*CL$8*(CL4&lt;='Executive Summary'!$I$13)</f>
        <v>0</v>
      </c>
      <c r="CM62" s="421" t="n">
        <f aca="false">'Renovation Plan'!$J$21/12*CM$8*(CM4&lt;='Executive Summary'!$I$13)</f>
        <v>0</v>
      </c>
      <c r="CN62" s="421" t="n">
        <f aca="false">'Renovation Plan'!$J$21/12*CN$8*(CN4&lt;='Executive Summary'!$I$13)</f>
        <v>0</v>
      </c>
      <c r="CO62" s="421" t="n">
        <f aca="false">'Renovation Plan'!$J$21/12*CO$8*(CO4&lt;='Executive Summary'!$I$13)</f>
        <v>0</v>
      </c>
      <c r="CP62" s="421" t="n">
        <f aca="false">'Renovation Plan'!$J$21/12*CP$8*(CP4&lt;='Executive Summary'!$I$13)</f>
        <v>0</v>
      </c>
      <c r="CQ62" s="421" t="n">
        <f aca="false">'Renovation Plan'!$J$21/12*CQ$8*(CQ4&lt;='Executive Summary'!$I$13)</f>
        <v>0</v>
      </c>
      <c r="CR62" s="421" t="n">
        <f aca="false">'Renovation Plan'!$J$21/12*CR$8*(CR4&lt;='Executive Summary'!$I$13)</f>
        <v>0</v>
      </c>
      <c r="CS62" s="421" t="n">
        <f aca="false">'Renovation Plan'!$J$21/12*CS$8*(CS4&lt;='Executive Summary'!$I$13)</f>
        <v>0</v>
      </c>
      <c r="CT62" s="421" t="n">
        <f aca="false">'Renovation Plan'!$J$21/12*CT$8*(CT4&lt;='Executive Summary'!$I$13)</f>
        <v>0</v>
      </c>
      <c r="CU62" s="421" t="n">
        <f aca="false">'Renovation Plan'!$J$21/12*CU$8*(CU4&lt;='Executive Summary'!$I$13)</f>
        <v>0</v>
      </c>
      <c r="CV62" s="421" t="n">
        <f aca="false">'Renovation Plan'!$J$21/12*CV$8*(CV4&lt;='Executive Summary'!$I$13)</f>
        <v>0</v>
      </c>
      <c r="CW62" s="421" t="n">
        <f aca="false">'Renovation Plan'!$J$21/12*CW$8*(CW4&lt;='Executive Summary'!$I$13)</f>
        <v>0</v>
      </c>
      <c r="CX62" s="421" t="n">
        <f aca="false">'Renovation Plan'!$J$21/12*CX$8*(CX4&lt;='Executive Summary'!$I$13)</f>
        <v>0</v>
      </c>
      <c r="CY62" s="421" t="n">
        <f aca="false">'Renovation Plan'!$J$21/12*CY$8*(CY4&lt;='Executive Summary'!$I$13)</f>
        <v>0</v>
      </c>
      <c r="CZ62" s="421" t="n">
        <f aca="false">'Renovation Plan'!$J$21/12*CZ$8*(CZ4&lt;='Executive Summary'!$I$13)</f>
        <v>0</v>
      </c>
      <c r="DA62" s="421" t="n">
        <f aca="false">'Renovation Plan'!$J$21/12*DA$8*(DA4&lt;='Executive Summary'!$I$13)</f>
        <v>0</v>
      </c>
      <c r="DB62" s="421" t="n">
        <f aca="false">'Renovation Plan'!$J$21/12*DB$8*(DB4&lt;='Executive Summary'!$I$13)</f>
        <v>0</v>
      </c>
      <c r="DC62" s="421" t="n">
        <f aca="false">'Renovation Plan'!$J$21/12*DC$8*(DC4&lt;='Executive Summary'!$I$13)</f>
        <v>0</v>
      </c>
      <c r="DD62" s="421" t="n">
        <f aca="false">'Renovation Plan'!$J$21/12*DD$8*(DD4&lt;='Executive Summary'!$I$13)</f>
        <v>0</v>
      </c>
      <c r="DE62" s="421" t="n">
        <f aca="false">'Renovation Plan'!$J$21/12*DE$8*(DE4&lt;='Executive Summary'!$I$13)</f>
        <v>0</v>
      </c>
      <c r="DF62" s="421" t="n">
        <f aca="false">'Renovation Plan'!$J$21/12*DF$8*(DF4&lt;='Executive Summary'!$I$13)</f>
        <v>0</v>
      </c>
      <c r="DG62" s="421" t="n">
        <f aca="false">'Renovation Plan'!$J$21/12*DG$8*(DG4&lt;='Executive Summary'!$I$13)</f>
        <v>0</v>
      </c>
      <c r="DH62" s="421" t="n">
        <f aca="false">'Renovation Plan'!$J$21/12*DH$8*(DH4&lt;='Executive Summary'!$I$13)</f>
        <v>0</v>
      </c>
      <c r="DI62" s="421" t="n">
        <f aca="false">'Renovation Plan'!$J$21/12*DI$8*(DI4&lt;='Executive Summary'!$I$13)</f>
        <v>0</v>
      </c>
      <c r="DJ62" s="421" t="n">
        <f aca="false">'Renovation Plan'!$J$21/12*DJ$8*(DJ4&lt;='Executive Summary'!$I$13)</f>
        <v>0</v>
      </c>
      <c r="DK62" s="421" t="n">
        <f aca="false">'Renovation Plan'!$J$21/12*DK$8*(DK4&lt;='Executive Summary'!$I$13)</f>
        <v>0</v>
      </c>
      <c r="DL62" s="421" t="n">
        <f aca="false">'Renovation Plan'!$J$21/12*DL$8*(DL4&lt;='Executive Summary'!$I$13)</f>
        <v>0</v>
      </c>
      <c r="DM62" s="421" t="n">
        <f aca="false">'Renovation Plan'!$J$21/12*DM$8*(DM4&lt;='Executive Summary'!$I$13)</f>
        <v>0</v>
      </c>
      <c r="DN62" s="421" t="n">
        <f aca="false">'Renovation Plan'!$J$21/12*DN$8*(DN4&lt;='Executive Summary'!$I$13)</f>
        <v>0</v>
      </c>
      <c r="DO62" s="421" t="n">
        <f aca="false">'Renovation Plan'!$J$21/12*DO$8*(DO4&lt;='Executive Summary'!$I$13)</f>
        <v>0</v>
      </c>
      <c r="DP62" s="421" t="n">
        <f aca="false">'Renovation Plan'!$J$21/12*DP$8*(DP4&lt;='Executive Summary'!$I$13)</f>
        <v>0</v>
      </c>
      <c r="DQ62" s="421" t="n">
        <f aca="false">'Renovation Plan'!$J$21/12*DQ$8*(DQ4&lt;='Executive Summary'!$I$13)</f>
        <v>0</v>
      </c>
      <c r="DR62" s="421" t="n">
        <f aca="false">'Renovation Plan'!$J$21/12*DR$8*(DR4&lt;='Executive Summary'!$I$13)</f>
        <v>0</v>
      </c>
      <c r="DS62" s="421" t="n">
        <f aca="false">'Renovation Plan'!$J$21/12*DS$8*(DS4&lt;='Executive Summary'!$I$13)</f>
        <v>0</v>
      </c>
      <c r="DT62" s="421" t="n">
        <f aca="false">'Renovation Plan'!$J$21/12*DT$8*(DT4&lt;='Executive Summary'!$I$13)</f>
        <v>0</v>
      </c>
      <c r="DU62" s="421" t="n">
        <f aca="false">'Renovation Plan'!$J$21/12*DU$8*(DU4&lt;='Executive Summary'!$I$13)</f>
        <v>0</v>
      </c>
      <c r="DV62" s="421" t="n">
        <f aca="false">'Renovation Plan'!$J$21/12*DV$8*(DV4&lt;='Executive Summary'!$I$13)</f>
        <v>0</v>
      </c>
      <c r="DW62" s="421" t="n">
        <f aca="false">'Renovation Plan'!$J$21/12*DW$8*(DW4&lt;='Executive Summary'!$I$13)</f>
        <v>0</v>
      </c>
      <c r="DX62" s="421" t="n">
        <f aca="false">'Renovation Plan'!$J$21/12*DX$8*(DX4&lt;='Executive Summary'!$I$13)</f>
        <v>0</v>
      </c>
      <c r="DY62" s="421" t="n">
        <f aca="false">'Renovation Plan'!$J$21/12*DY$8*(DY4&lt;='Executive Summary'!$I$13)</f>
        <v>0</v>
      </c>
      <c r="DZ62" s="421" t="n">
        <f aca="false">'Renovation Plan'!$J$21/12*DZ$8*(DZ4&lt;='Executive Summary'!$I$13)</f>
        <v>0</v>
      </c>
      <c r="EA62" s="421" t="n">
        <f aca="false">'Renovation Plan'!$J$21/12*EA$8*(EA4&lt;='Executive Summary'!$I$13)</f>
        <v>0</v>
      </c>
      <c r="EB62" s="421" t="n">
        <f aca="false">'Renovation Plan'!$J$21/12*EB$8*(EB4&lt;='Executive Summary'!$I$13)</f>
        <v>0</v>
      </c>
      <c r="EC62" s="421" t="n">
        <f aca="false">'Renovation Plan'!$J$21/12*EC$8*(EC4&lt;='Executive Summary'!$I$13)</f>
        <v>0</v>
      </c>
      <c r="ED62" s="421" t="n">
        <f aca="false">'Renovation Plan'!$J$21/12*ED$8*(ED4&lt;='Executive Summary'!$I$13)</f>
        <v>0</v>
      </c>
      <c r="EE62" s="421" t="n">
        <f aca="false">'Renovation Plan'!$J$21/12*EE$8*(EE4&lt;='Executive Summary'!$I$13)</f>
        <v>0</v>
      </c>
      <c r="EF62" s="421" t="n">
        <f aca="false">'Renovation Plan'!$J$21/12*EF$8*(EF4&lt;='Executive Summary'!$I$13)</f>
        <v>0</v>
      </c>
      <c r="EG62" s="421" t="n">
        <f aca="false">'Renovation Plan'!$J$21/12*EG$8*(EG4&lt;='Executive Summary'!$I$13)</f>
        <v>0</v>
      </c>
      <c r="EH62" s="421" t="n">
        <f aca="false">'Renovation Plan'!$J$21/12*EH$8*(EH4&lt;='Executive Summary'!$I$13)</f>
        <v>0</v>
      </c>
      <c r="EI62" s="472" t="n">
        <f aca="false">'Renovation Plan'!$J$21/12*EI$8*(EI4&lt;='Executive Summary'!$I$13)</f>
        <v>0</v>
      </c>
      <c r="EK62" s="513" t="n">
        <f aca="true">SUM(OFFSET($G62,0,EK$24*12-11,1,12))</f>
        <v>0</v>
      </c>
      <c r="EL62" s="421" t="n">
        <f aca="true">SUM(OFFSET($G62,0,EL$24*12-11,1,12))</f>
        <v>0</v>
      </c>
      <c r="EM62" s="421" t="n">
        <f aca="true">SUM(OFFSET($G62,0,EM$24*12-11,1,12))</f>
        <v>0</v>
      </c>
      <c r="EN62" s="421" t="n">
        <f aca="true">SUM(OFFSET($G62,0,EN$24*12-11,1,12))</f>
        <v>0</v>
      </c>
      <c r="EO62" s="421" t="n">
        <f aca="true">SUM(OFFSET($G62,0,EO$24*12-11,1,12))</f>
        <v>0</v>
      </c>
      <c r="EP62" s="421" t="n">
        <f aca="true">SUM(OFFSET($G62,0,EP$24*12-11,1,12))</f>
        <v>0</v>
      </c>
      <c r="EQ62" s="421" t="n">
        <f aca="true">SUM(OFFSET($G62,0,EQ$24*12-11,1,12))</f>
        <v>0</v>
      </c>
      <c r="ER62" s="421" t="n">
        <f aca="true">SUM(OFFSET($G62,0,ER$24*12-11,1,12))</f>
        <v>0</v>
      </c>
      <c r="ES62" s="421" t="n">
        <f aca="true">SUM(OFFSET($G62,0,ES$24*12-11,1,12))</f>
        <v>0</v>
      </c>
      <c r="ET62" s="472" t="n">
        <f aca="true">SUM(OFFSET($G62,0,ET$24*12-11,1,12))</f>
        <v>0</v>
      </c>
    </row>
    <row r="63" s="522" customFormat="true" ht="13.5" hidden="false" customHeight="true" outlineLevel="0" collapsed="false">
      <c r="B63" s="513" t="s">
        <v>577</v>
      </c>
      <c r="C63" s="61"/>
      <c r="D63" s="421"/>
      <c r="E63" s="472" t="n">
        <f aca="true">SUM(OFFSET(G63,0,0,1,'Executive Summary'!$I$13+1))</f>
        <v>383250</v>
      </c>
      <c r="F63" s="421"/>
      <c r="G63" s="513" t="n">
        <f aca="false">'Renovation Plan'!I17</f>
        <v>383250</v>
      </c>
      <c r="H63" s="421" t="n">
        <f aca="false">'Renovation Plan'!$J$21/12*H$8*(H4&lt;='Executive Summary'!$I$13)</f>
        <v>0</v>
      </c>
      <c r="I63" s="421" t="n">
        <f aca="false">'Renovation Plan'!$J$21/12*I$8*(I4&lt;='Executive Summary'!$I$13)</f>
        <v>0</v>
      </c>
      <c r="J63" s="421" t="n">
        <f aca="false">'Renovation Plan'!$J$21/12*J$8*(J4&lt;='Executive Summary'!$I$13)</f>
        <v>0</v>
      </c>
      <c r="K63" s="421" t="n">
        <f aca="false">'Renovation Plan'!$J$21/12*K$8*(K4&lt;='Executive Summary'!$I$13)</f>
        <v>0</v>
      </c>
      <c r="L63" s="421" t="n">
        <f aca="false">'Renovation Plan'!$J$21/12*L$8*(L4&lt;='Executive Summary'!$I$13)</f>
        <v>0</v>
      </c>
      <c r="M63" s="421" t="n">
        <f aca="false">'Renovation Plan'!$J$21/12*M$8*(M4&lt;='Executive Summary'!$I$13)</f>
        <v>0</v>
      </c>
      <c r="N63" s="421" t="n">
        <f aca="false">'Renovation Plan'!$J$21/12*N$8*(N4&lt;='Executive Summary'!$I$13)</f>
        <v>0</v>
      </c>
      <c r="O63" s="421" t="n">
        <f aca="false">'Renovation Plan'!$J$21/12*O$8*(O4&lt;='Executive Summary'!$I$13)</f>
        <v>0</v>
      </c>
      <c r="P63" s="421" t="n">
        <f aca="false">'Renovation Plan'!$J$21/12*P$8*(P4&lt;='Executive Summary'!$I$13)</f>
        <v>0</v>
      </c>
      <c r="Q63" s="421" t="n">
        <f aca="false">'Renovation Plan'!$J$21/12*Q$8*(Q4&lt;='Executive Summary'!$I$13)</f>
        <v>0</v>
      </c>
      <c r="R63" s="421" t="n">
        <f aca="false">'Renovation Plan'!$J$21/12*R$8*(R4&lt;='Executive Summary'!$I$13)</f>
        <v>0</v>
      </c>
      <c r="S63" s="421" t="n">
        <f aca="false">'Renovation Plan'!$J$21/12*S$8*(S4&lt;='Executive Summary'!$I$13)</f>
        <v>0</v>
      </c>
      <c r="T63" s="421" t="n">
        <f aca="false">'Renovation Plan'!$J$21/12*T$8*(T4&lt;='Executive Summary'!$I$13)</f>
        <v>0</v>
      </c>
      <c r="U63" s="421" t="n">
        <f aca="false">'Renovation Plan'!$J$21/12*U$8*(U4&lt;='Executive Summary'!$I$13)</f>
        <v>0</v>
      </c>
      <c r="V63" s="421" t="n">
        <f aca="false">'Renovation Plan'!$J$21/12*V$8*(V4&lt;='Executive Summary'!$I$13)</f>
        <v>0</v>
      </c>
      <c r="W63" s="421" t="n">
        <f aca="false">'Renovation Plan'!$J$21/12*W$8*(W4&lt;='Executive Summary'!$I$13)</f>
        <v>0</v>
      </c>
      <c r="X63" s="421" t="n">
        <f aca="false">'Renovation Plan'!$J$21/12*X$8*(X4&lt;='Executive Summary'!$I$13)</f>
        <v>0</v>
      </c>
      <c r="Y63" s="421" t="n">
        <f aca="false">'Renovation Plan'!$J$21/12*Y$8*(Y4&lt;='Executive Summary'!$I$13)</f>
        <v>0</v>
      </c>
      <c r="Z63" s="421" t="n">
        <f aca="false">'Renovation Plan'!$J$21/12*Z$8*(Z4&lt;='Executive Summary'!$I$13)</f>
        <v>0</v>
      </c>
      <c r="AA63" s="421" t="n">
        <f aca="false">'Renovation Plan'!$J$21/12*AA$8*(AA4&lt;='Executive Summary'!$I$13)</f>
        <v>0</v>
      </c>
      <c r="AB63" s="421" t="n">
        <f aca="false">'Renovation Plan'!$J$21/12*AB$8*(AB4&lt;='Executive Summary'!$I$13)</f>
        <v>0</v>
      </c>
      <c r="AC63" s="421" t="n">
        <f aca="false">'Renovation Plan'!$J$21/12*AC$8*(AC4&lt;='Executive Summary'!$I$13)</f>
        <v>0</v>
      </c>
      <c r="AD63" s="421" t="n">
        <f aca="false">'Renovation Plan'!$J$21/12*AD$8*(AD4&lt;='Executive Summary'!$I$13)</f>
        <v>0</v>
      </c>
      <c r="AE63" s="421" t="n">
        <f aca="false">'Renovation Plan'!$J$21/12*AE$8*(AE4&lt;='Executive Summary'!$I$13)</f>
        <v>0</v>
      </c>
      <c r="AF63" s="421" t="n">
        <f aca="false">'Renovation Plan'!$J$21/12*AF$8*(AF4&lt;='Executive Summary'!$I$13)</f>
        <v>0</v>
      </c>
      <c r="AG63" s="421" t="n">
        <f aca="false">'Renovation Plan'!$J$21/12*AG$8*(AG4&lt;='Executive Summary'!$I$13)</f>
        <v>0</v>
      </c>
      <c r="AH63" s="421" t="n">
        <f aca="false">'Renovation Plan'!$J$21/12*AH$8*(AH4&lt;='Executive Summary'!$I$13)</f>
        <v>0</v>
      </c>
      <c r="AI63" s="421" t="n">
        <f aca="false">'Renovation Plan'!$J$21/12*AI$8*(AI4&lt;='Executive Summary'!$I$13)</f>
        <v>0</v>
      </c>
      <c r="AJ63" s="421" t="n">
        <f aca="false">'Renovation Plan'!$J$21/12*AJ$8*(AJ4&lt;='Executive Summary'!$I$13)</f>
        <v>0</v>
      </c>
      <c r="AK63" s="421" t="n">
        <f aca="false">'Renovation Plan'!$J$21/12*AK$8*(AK4&lt;='Executive Summary'!$I$13)</f>
        <v>0</v>
      </c>
      <c r="AL63" s="421" t="n">
        <f aca="false">'Renovation Plan'!$J$21/12*AL$8*(AL4&lt;='Executive Summary'!$I$13)</f>
        <v>0</v>
      </c>
      <c r="AM63" s="421" t="n">
        <f aca="false">'Renovation Plan'!$J$21/12*AM$8*(AM4&lt;='Executive Summary'!$I$13)</f>
        <v>0</v>
      </c>
      <c r="AN63" s="421" t="n">
        <f aca="false">'Renovation Plan'!$J$21/12*AN$8*(AN4&lt;='Executive Summary'!$I$13)</f>
        <v>0</v>
      </c>
      <c r="AO63" s="421" t="n">
        <f aca="false">'Renovation Plan'!$J$21/12*AO$8*(AO4&lt;='Executive Summary'!$I$13)</f>
        <v>0</v>
      </c>
      <c r="AP63" s="421" t="n">
        <f aca="false">'Renovation Plan'!$J$21/12*AP$8*(AP4&lt;='Executive Summary'!$I$13)</f>
        <v>0</v>
      </c>
      <c r="AQ63" s="421" t="n">
        <f aca="false">'Renovation Plan'!$J$21/12*AQ$8*(AQ4&lt;='Executive Summary'!$I$13)</f>
        <v>0</v>
      </c>
      <c r="AR63" s="421" t="n">
        <f aca="false">'Renovation Plan'!$J$21/12*AR$8*(AR4&lt;='Executive Summary'!$I$13)</f>
        <v>0</v>
      </c>
      <c r="AS63" s="421" t="n">
        <f aca="false">'Renovation Plan'!$J$21/12*AS$8*(AS4&lt;='Executive Summary'!$I$13)</f>
        <v>0</v>
      </c>
      <c r="AT63" s="421" t="n">
        <f aca="false">'Renovation Plan'!$J$21/12*AT$8*(AT4&lt;='Executive Summary'!$I$13)</f>
        <v>0</v>
      </c>
      <c r="AU63" s="421" t="n">
        <f aca="false">'Renovation Plan'!$J$21/12*AU$8*(AU4&lt;='Executive Summary'!$I$13)</f>
        <v>0</v>
      </c>
      <c r="AV63" s="421" t="n">
        <f aca="false">'Renovation Plan'!$J$21/12*AV$8*(AV4&lt;='Executive Summary'!$I$13)</f>
        <v>0</v>
      </c>
      <c r="AW63" s="421" t="n">
        <f aca="false">'Renovation Plan'!$J$21/12*AW$8*(AW4&lt;='Executive Summary'!$I$13)</f>
        <v>0</v>
      </c>
      <c r="AX63" s="421" t="n">
        <f aca="false">'Renovation Plan'!$J$21/12*AX$8*(AX4&lt;='Executive Summary'!$I$13)</f>
        <v>0</v>
      </c>
      <c r="AY63" s="421" t="n">
        <f aca="false">'Renovation Plan'!$J$21/12*AY$8*(AY4&lt;='Executive Summary'!$I$13)</f>
        <v>0</v>
      </c>
      <c r="AZ63" s="421" t="n">
        <f aca="false">'Renovation Plan'!$J$21/12*AZ$8*(AZ4&lt;='Executive Summary'!$I$13)</f>
        <v>0</v>
      </c>
      <c r="BA63" s="421" t="n">
        <f aca="false">'Renovation Plan'!$J$21/12*BA$8*(BA4&lt;='Executive Summary'!$I$13)</f>
        <v>0</v>
      </c>
      <c r="BB63" s="421" t="n">
        <f aca="false">'Renovation Plan'!$J$21/12*BB$8*(BB4&lt;='Executive Summary'!$I$13)</f>
        <v>0</v>
      </c>
      <c r="BC63" s="421" t="n">
        <f aca="false">'Renovation Plan'!$J$21/12*BC$8*(BC4&lt;='Executive Summary'!$I$13)</f>
        <v>0</v>
      </c>
      <c r="BD63" s="421" t="n">
        <f aca="false">'Renovation Plan'!$J$21/12*BD$8*(BD4&lt;='Executive Summary'!$I$13)</f>
        <v>0</v>
      </c>
      <c r="BE63" s="421" t="n">
        <f aca="false">'Renovation Plan'!$J$21/12*BE$8*(BE4&lt;='Executive Summary'!$I$13)</f>
        <v>0</v>
      </c>
      <c r="BF63" s="421" t="n">
        <f aca="false">'Renovation Plan'!$J$21/12*BF$8*(BF4&lt;='Executive Summary'!$I$13)</f>
        <v>0</v>
      </c>
      <c r="BG63" s="421" t="n">
        <f aca="false">'Renovation Plan'!$J$21/12*BG$8*(BG4&lt;='Executive Summary'!$I$13)</f>
        <v>0</v>
      </c>
      <c r="BH63" s="421" t="n">
        <f aca="false">'Renovation Plan'!$J$21/12*BH$8*(BH4&lt;='Executive Summary'!$I$13)</f>
        <v>0</v>
      </c>
      <c r="BI63" s="421" t="n">
        <f aca="false">'Renovation Plan'!$J$21/12*BI$8*(BI4&lt;='Executive Summary'!$I$13)</f>
        <v>0</v>
      </c>
      <c r="BJ63" s="421" t="n">
        <f aca="false">'Renovation Plan'!$J$21/12*BJ$8*(BJ4&lt;='Executive Summary'!$I$13)</f>
        <v>0</v>
      </c>
      <c r="BK63" s="421" t="n">
        <f aca="false">'Renovation Plan'!$J$21/12*BK$8*(BK4&lt;='Executive Summary'!$I$13)</f>
        <v>0</v>
      </c>
      <c r="BL63" s="421" t="n">
        <f aca="false">'Renovation Plan'!$J$21/12*BL$8*(BL4&lt;='Executive Summary'!$I$13)</f>
        <v>0</v>
      </c>
      <c r="BM63" s="421" t="n">
        <f aca="false">'Renovation Plan'!$J$21/12*BM$8*(BM4&lt;='Executive Summary'!$I$13)</f>
        <v>0</v>
      </c>
      <c r="BN63" s="421" t="n">
        <f aca="false">'Renovation Plan'!$J$21/12*BN$8*(BN4&lt;='Executive Summary'!$I$13)</f>
        <v>0</v>
      </c>
      <c r="BO63" s="421" t="n">
        <f aca="false">'Renovation Plan'!$J$21/12*BO$8*(BO4&lt;='Executive Summary'!$I$13)</f>
        <v>0</v>
      </c>
      <c r="BP63" s="421" t="n">
        <f aca="false">'Renovation Plan'!$J$21/12*BP$8*(BP4&lt;='Executive Summary'!$I$13)</f>
        <v>0</v>
      </c>
      <c r="BQ63" s="421" t="n">
        <f aca="false">'Renovation Plan'!$J$21/12*BQ$8*(BQ4&lt;='Executive Summary'!$I$13)</f>
        <v>0</v>
      </c>
      <c r="BR63" s="421" t="n">
        <f aca="false">'Renovation Plan'!$J$21/12*BR$8*(BR4&lt;='Executive Summary'!$I$13)</f>
        <v>0</v>
      </c>
      <c r="BS63" s="421" t="n">
        <f aca="false">'Renovation Plan'!$J$21/12*BS$8*(BS4&lt;='Executive Summary'!$I$13)</f>
        <v>0</v>
      </c>
      <c r="BT63" s="421" t="n">
        <f aca="false">'Renovation Plan'!$J$21/12*BT$8*(BT4&lt;='Executive Summary'!$I$13)</f>
        <v>0</v>
      </c>
      <c r="BU63" s="421" t="n">
        <f aca="false">'Renovation Plan'!$J$21/12*BU$8*(BU4&lt;='Executive Summary'!$I$13)</f>
        <v>0</v>
      </c>
      <c r="BV63" s="421" t="n">
        <f aca="false">'Renovation Plan'!$J$21/12*BV$8*(BV4&lt;='Executive Summary'!$I$13)</f>
        <v>0</v>
      </c>
      <c r="BW63" s="421" t="n">
        <f aca="false">'Renovation Plan'!$J$21/12*BW$8*(BW4&lt;='Executive Summary'!$I$13)</f>
        <v>0</v>
      </c>
      <c r="BX63" s="421" t="n">
        <f aca="false">'Renovation Plan'!$J$21/12*BX$8*(BX4&lt;='Executive Summary'!$I$13)</f>
        <v>0</v>
      </c>
      <c r="BY63" s="421" t="n">
        <f aca="false">'Renovation Plan'!$J$21/12*BY$8*(BY4&lt;='Executive Summary'!$I$13)</f>
        <v>0</v>
      </c>
      <c r="BZ63" s="421" t="n">
        <f aca="false">'Renovation Plan'!$J$21/12*BZ$8*(BZ4&lt;='Executive Summary'!$I$13)</f>
        <v>0</v>
      </c>
      <c r="CA63" s="421" t="n">
        <f aca="false">'Renovation Plan'!$J$21/12*CA$8*(CA4&lt;='Executive Summary'!$I$13)</f>
        <v>0</v>
      </c>
      <c r="CB63" s="421" t="n">
        <f aca="false">'Renovation Plan'!$J$21/12*CB$8*(CB4&lt;='Executive Summary'!$I$13)</f>
        <v>0</v>
      </c>
      <c r="CC63" s="421" t="n">
        <f aca="false">'Renovation Plan'!$J$21/12*CC$8*(CC4&lt;='Executive Summary'!$I$13)</f>
        <v>0</v>
      </c>
      <c r="CD63" s="421" t="n">
        <f aca="false">'Renovation Plan'!$J$21/12*CD$8*(CD4&lt;='Executive Summary'!$I$13)</f>
        <v>0</v>
      </c>
      <c r="CE63" s="421" t="n">
        <f aca="false">'Renovation Plan'!$J$21/12*CE$8*(CE4&lt;='Executive Summary'!$I$13)</f>
        <v>0</v>
      </c>
      <c r="CF63" s="421" t="n">
        <f aca="false">'Renovation Plan'!$J$21/12*CF$8*(CF4&lt;='Executive Summary'!$I$13)</f>
        <v>0</v>
      </c>
      <c r="CG63" s="421" t="n">
        <f aca="false">'Renovation Plan'!$J$21/12*CG$8*(CG4&lt;='Executive Summary'!$I$13)</f>
        <v>0</v>
      </c>
      <c r="CH63" s="421" t="n">
        <f aca="false">'Renovation Plan'!$J$21/12*CH$8*(CH4&lt;='Executive Summary'!$I$13)</f>
        <v>0</v>
      </c>
      <c r="CI63" s="421" t="n">
        <f aca="false">'Renovation Plan'!$J$21/12*CI$8*(CI4&lt;='Executive Summary'!$I$13)</f>
        <v>0</v>
      </c>
      <c r="CJ63" s="421" t="n">
        <f aca="false">'Renovation Plan'!$J$21/12*CJ$8*(CJ4&lt;='Executive Summary'!$I$13)</f>
        <v>0</v>
      </c>
      <c r="CK63" s="421" t="n">
        <f aca="false">'Renovation Plan'!$J$21/12*CK$8*(CK4&lt;='Executive Summary'!$I$13)</f>
        <v>0</v>
      </c>
      <c r="CL63" s="421" t="n">
        <f aca="false">'Renovation Plan'!$J$21/12*CL$8*(CL4&lt;='Executive Summary'!$I$13)</f>
        <v>0</v>
      </c>
      <c r="CM63" s="421" t="n">
        <f aca="false">'Renovation Plan'!$J$21/12*CM$8*(CM4&lt;='Executive Summary'!$I$13)</f>
        <v>0</v>
      </c>
      <c r="CN63" s="421" t="n">
        <f aca="false">'Renovation Plan'!$J$21/12*CN$8*(CN4&lt;='Executive Summary'!$I$13)</f>
        <v>0</v>
      </c>
      <c r="CO63" s="421" t="n">
        <f aca="false">'Renovation Plan'!$J$21/12*CO$8*(CO4&lt;='Executive Summary'!$I$13)</f>
        <v>0</v>
      </c>
      <c r="CP63" s="421" t="n">
        <f aca="false">'Renovation Plan'!$J$21/12*CP$8*(CP4&lt;='Executive Summary'!$I$13)</f>
        <v>0</v>
      </c>
      <c r="CQ63" s="421" t="n">
        <f aca="false">'Renovation Plan'!$J$21/12*CQ$8*(CQ4&lt;='Executive Summary'!$I$13)</f>
        <v>0</v>
      </c>
      <c r="CR63" s="421" t="n">
        <f aca="false">'Renovation Plan'!$J$21/12*CR$8*(CR4&lt;='Executive Summary'!$I$13)</f>
        <v>0</v>
      </c>
      <c r="CS63" s="421" t="n">
        <f aca="false">'Renovation Plan'!$J$21/12*CS$8*(CS4&lt;='Executive Summary'!$I$13)</f>
        <v>0</v>
      </c>
      <c r="CT63" s="421" t="n">
        <f aca="false">'Renovation Plan'!$J$21/12*CT$8*(CT4&lt;='Executive Summary'!$I$13)</f>
        <v>0</v>
      </c>
      <c r="CU63" s="421" t="n">
        <f aca="false">'Renovation Plan'!$J$21/12*CU$8*(CU4&lt;='Executive Summary'!$I$13)</f>
        <v>0</v>
      </c>
      <c r="CV63" s="421" t="n">
        <f aca="false">'Renovation Plan'!$J$21/12*CV$8*(CV4&lt;='Executive Summary'!$I$13)</f>
        <v>0</v>
      </c>
      <c r="CW63" s="421" t="n">
        <f aca="false">'Renovation Plan'!$J$21/12*CW$8*(CW4&lt;='Executive Summary'!$I$13)</f>
        <v>0</v>
      </c>
      <c r="CX63" s="421" t="n">
        <f aca="false">'Renovation Plan'!$J$21/12*CX$8*(CX4&lt;='Executive Summary'!$I$13)</f>
        <v>0</v>
      </c>
      <c r="CY63" s="421" t="n">
        <f aca="false">'Renovation Plan'!$J$21/12*CY$8*(CY4&lt;='Executive Summary'!$I$13)</f>
        <v>0</v>
      </c>
      <c r="CZ63" s="421" t="n">
        <f aca="false">'Renovation Plan'!$J$21/12*CZ$8*(CZ4&lt;='Executive Summary'!$I$13)</f>
        <v>0</v>
      </c>
      <c r="DA63" s="421" t="n">
        <f aca="false">'Renovation Plan'!$J$21/12*DA$8*(DA4&lt;='Executive Summary'!$I$13)</f>
        <v>0</v>
      </c>
      <c r="DB63" s="421" t="n">
        <f aca="false">'Renovation Plan'!$J$21/12*DB$8*(DB4&lt;='Executive Summary'!$I$13)</f>
        <v>0</v>
      </c>
      <c r="DC63" s="421" t="n">
        <f aca="false">'Renovation Plan'!$J$21/12*DC$8*(DC4&lt;='Executive Summary'!$I$13)</f>
        <v>0</v>
      </c>
      <c r="DD63" s="421" t="n">
        <f aca="false">'Renovation Plan'!$J$21/12*DD$8*(DD4&lt;='Executive Summary'!$I$13)</f>
        <v>0</v>
      </c>
      <c r="DE63" s="421" t="n">
        <f aca="false">'Renovation Plan'!$J$21/12*DE$8*(DE4&lt;='Executive Summary'!$I$13)</f>
        <v>0</v>
      </c>
      <c r="DF63" s="421" t="n">
        <f aca="false">'Renovation Plan'!$J$21/12*DF$8*(DF4&lt;='Executive Summary'!$I$13)</f>
        <v>0</v>
      </c>
      <c r="DG63" s="421" t="n">
        <f aca="false">'Renovation Plan'!$J$21/12*DG$8*(DG4&lt;='Executive Summary'!$I$13)</f>
        <v>0</v>
      </c>
      <c r="DH63" s="421" t="n">
        <f aca="false">'Renovation Plan'!$J$21/12*DH$8*(DH4&lt;='Executive Summary'!$I$13)</f>
        <v>0</v>
      </c>
      <c r="DI63" s="421" t="n">
        <f aca="false">'Renovation Plan'!$J$21/12*DI$8*(DI4&lt;='Executive Summary'!$I$13)</f>
        <v>0</v>
      </c>
      <c r="DJ63" s="421" t="n">
        <f aca="false">'Renovation Plan'!$J$21/12*DJ$8*(DJ4&lt;='Executive Summary'!$I$13)</f>
        <v>0</v>
      </c>
      <c r="DK63" s="421" t="n">
        <f aca="false">'Renovation Plan'!$J$21/12*DK$8*(DK4&lt;='Executive Summary'!$I$13)</f>
        <v>0</v>
      </c>
      <c r="DL63" s="421" t="n">
        <f aca="false">'Renovation Plan'!$J$21/12*DL$8*(DL4&lt;='Executive Summary'!$I$13)</f>
        <v>0</v>
      </c>
      <c r="DM63" s="421" t="n">
        <f aca="false">'Renovation Plan'!$J$21/12*DM$8*(DM4&lt;='Executive Summary'!$I$13)</f>
        <v>0</v>
      </c>
      <c r="DN63" s="421" t="n">
        <f aca="false">'Renovation Plan'!$J$21/12*DN$8*(DN4&lt;='Executive Summary'!$I$13)</f>
        <v>0</v>
      </c>
      <c r="DO63" s="421" t="n">
        <f aca="false">'Renovation Plan'!$J$21/12*DO$8*(DO4&lt;='Executive Summary'!$I$13)</f>
        <v>0</v>
      </c>
      <c r="DP63" s="421" t="n">
        <f aca="false">'Renovation Plan'!$J$21/12*DP$8*(DP4&lt;='Executive Summary'!$I$13)</f>
        <v>0</v>
      </c>
      <c r="DQ63" s="421" t="n">
        <f aca="false">'Renovation Plan'!$J$21/12*DQ$8*(DQ4&lt;='Executive Summary'!$I$13)</f>
        <v>0</v>
      </c>
      <c r="DR63" s="421" t="n">
        <f aca="false">'Renovation Plan'!$J$21/12*DR$8*(DR4&lt;='Executive Summary'!$I$13)</f>
        <v>0</v>
      </c>
      <c r="DS63" s="421" t="n">
        <f aca="false">'Renovation Plan'!$J$21/12*DS$8*(DS4&lt;='Executive Summary'!$I$13)</f>
        <v>0</v>
      </c>
      <c r="DT63" s="421" t="n">
        <f aca="false">'Renovation Plan'!$J$21/12*DT$8*(DT4&lt;='Executive Summary'!$I$13)</f>
        <v>0</v>
      </c>
      <c r="DU63" s="421" t="n">
        <f aca="false">'Renovation Plan'!$J$21/12*DU$8*(DU4&lt;='Executive Summary'!$I$13)</f>
        <v>0</v>
      </c>
      <c r="DV63" s="421" t="n">
        <f aca="false">'Renovation Plan'!$J$21/12*DV$8*(DV4&lt;='Executive Summary'!$I$13)</f>
        <v>0</v>
      </c>
      <c r="DW63" s="421" t="n">
        <f aca="false">'Renovation Plan'!$J$21/12*DW$8*(DW4&lt;='Executive Summary'!$I$13)</f>
        <v>0</v>
      </c>
      <c r="DX63" s="421" t="n">
        <f aca="false">'Renovation Plan'!$J$21/12*DX$8*(DX4&lt;='Executive Summary'!$I$13)</f>
        <v>0</v>
      </c>
      <c r="DY63" s="421" t="n">
        <f aca="false">'Renovation Plan'!$J$21/12*DY$8*(DY4&lt;='Executive Summary'!$I$13)</f>
        <v>0</v>
      </c>
      <c r="DZ63" s="421" t="n">
        <f aca="false">'Renovation Plan'!$J$21/12*DZ$8*(DZ4&lt;='Executive Summary'!$I$13)</f>
        <v>0</v>
      </c>
      <c r="EA63" s="421" t="n">
        <f aca="false">'Renovation Plan'!$J$21/12*EA$8*(EA4&lt;='Executive Summary'!$I$13)</f>
        <v>0</v>
      </c>
      <c r="EB63" s="421" t="n">
        <f aca="false">'Renovation Plan'!$J$21/12*EB$8*(EB4&lt;='Executive Summary'!$I$13)</f>
        <v>0</v>
      </c>
      <c r="EC63" s="421" t="n">
        <f aca="false">'Renovation Plan'!$J$21/12*EC$8*(EC4&lt;='Executive Summary'!$I$13)</f>
        <v>0</v>
      </c>
      <c r="ED63" s="421" t="n">
        <f aca="false">'Renovation Plan'!$J$21/12*ED$8*(ED4&lt;='Executive Summary'!$I$13)</f>
        <v>0</v>
      </c>
      <c r="EE63" s="421" t="n">
        <f aca="false">'Renovation Plan'!$J$21/12*EE$8*(EE4&lt;='Executive Summary'!$I$13)</f>
        <v>0</v>
      </c>
      <c r="EF63" s="421" t="n">
        <f aca="false">'Renovation Plan'!$J$21/12*EF$8*(EF4&lt;='Executive Summary'!$I$13)</f>
        <v>0</v>
      </c>
      <c r="EG63" s="421" t="n">
        <f aca="false">'Renovation Plan'!$J$21/12*EG$8*(EG4&lt;='Executive Summary'!$I$13)</f>
        <v>0</v>
      </c>
      <c r="EH63" s="421" t="n">
        <f aca="false">'Renovation Plan'!$J$21/12*EH$8*(EH4&lt;='Executive Summary'!$I$13)</f>
        <v>0</v>
      </c>
      <c r="EI63" s="472" t="n">
        <f aca="false">'Renovation Plan'!$J$21/12*EI$8*(EI4&lt;='Executive Summary'!$I$13)</f>
        <v>0</v>
      </c>
      <c r="EK63" s="513" t="n">
        <f aca="true">SUM(OFFSET($G63,0,EK$24*12-11,1,12))</f>
        <v>0</v>
      </c>
      <c r="EL63" s="421" t="n">
        <f aca="true">SUM(OFFSET($G63,0,EL$24*12-11,1,12))</f>
        <v>0</v>
      </c>
      <c r="EM63" s="421" t="n">
        <f aca="true">SUM(OFFSET($G63,0,EM$24*12-11,1,12))</f>
        <v>0</v>
      </c>
      <c r="EN63" s="421" t="n">
        <f aca="true">SUM(OFFSET($G63,0,EN$24*12-11,1,12))</f>
        <v>0</v>
      </c>
      <c r="EO63" s="421" t="n">
        <f aca="true">SUM(OFFSET($G63,0,EO$24*12-11,1,12))</f>
        <v>0</v>
      </c>
      <c r="EP63" s="421" t="n">
        <f aca="true">SUM(OFFSET($G63,0,EP$24*12-11,1,12))</f>
        <v>0</v>
      </c>
      <c r="EQ63" s="421" t="n">
        <f aca="true">SUM(OFFSET($G63,0,EQ$24*12-11,1,12))</f>
        <v>0</v>
      </c>
      <c r="ER63" s="421" t="n">
        <f aca="true">SUM(OFFSET($G63,0,ER$24*12-11,1,12))</f>
        <v>0</v>
      </c>
      <c r="ES63" s="421" t="n">
        <f aca="true">SUM(OFFSET($G63,0,ES$24*12-11,1,12))</f>
        <v>0</v>
      </c>
      <c r="ET63" s="472" t="n">
        <f aca="true">SUM(OFFSET($G63,0,ET$24*12-11,1,12))</f>
        <v>0</v>
      </c>
    </row>
    <row r="64" s="522" customFormat="true" ht="13.5" hidden="false" customHeight="true" outlineLevel="0" collapsed="false">
      <c r="B64" s="513" t="s">
        <v>502</v>
      </c>
      <c r="C64" s="61"/>
      <c r="D64" s="421"/>
      <c r="E64" s="472" t="n">
        <f aca="false">SUM('Renovation Plan'!J17:K17)</f>
        <v>0</v>
      </c>
      <c r="F64" s="421"/>
      <c r="G64" s="513"/>
      <c r="H64" s="421" t="n">
        <f aca="false">H9*'Renovation Plan'!$D$24*H8*(H4&lt;='Executive Summary'!$I$13)</f>
        <v>0</v>
      </c>
      <c r="I64" s="421" t="n">
        <f aca="false">I9*'Renovation Plan'!$D$24*I8*(I4&lt;='Executive Summary'!$I$13)</f>
        <v>0</v>
      </c>
      <c r="J64" s="421" t="n">
        <f aca="false">J9*'Renovation Plan'!$D$24*J8*(J4&lt;='Executive Summary'!$I$13)</f>
        <v>0</v>
      </c>
      <c r="K64" s="421" t="n">
        <f aca="false">K9*'Renovation Plan'!$D$24*K8*(K4&lt;='Executive Summary'!$I$13)</f>
        <v>0</v>
      </c>
      <c r="L64" s="421" t="n">
        <f aca="false">L9*'Renovation Plan'!$D$24*L8*(L4&lt;='Executive Summary'!$I$13)</f>
        <v>0</v>
      </c>
      <c r="M64" s="421" t="n">
        <f aca="false">M9*'Renovation Plan'!$D$24*M8*(M4&lt;='Executive Summary'!$I$13)</f>
        <v>0</v>
      </c>
      <c r="N64" s="421" t="n">
        <f aca="false">N9*'Renovation Plan'!$D$24*N8*(N4&lt;='Executive Summary'!$I$13)</f>
        <v>0</v>
      </c>
      <c r="O64" s="421" t="n">
        <f aca="false">O9*'Renovation Plan'!$D$24*O8*(O4&lt;='Executive Summary'!$I$13)</f>
        <v>0</v>
      </c>
      <c r="P64" s="421" t="n">
        <f aca="false">P9*'Renovation Plan'!$D$24*P8*(P4&lt;='Executive Summary'!$I$13)</f>
        <v>0</v>
      </c>
      <c r="Q64" s="421" t="n">
        <f aca="false">Q9*'Renovation Plan'!$D$24*Q8*(Q4&lt;='Executive Summary'!$I$13)</f>
        <v>0</v>
      </c>
      <c r="R64" s="421" t="n">
        <f aca="false">R9*'Renovation Plan'!$D$24*R8*(R4&lt;='Executive Summary'!$I$13)</f>
        <v>0</v>
      </c>
      <c r="S64" s="421" t="n">
        <f aca="false">S9*'Renovation Plan'!$D$24*S8*(S4&lt;='Executive Summary'!$I$13)</f>
        <v>0</v>
      </c>
      <c r="T64" s="421" t="n">
        <f aca="false">T9*'Renovation Plan'!$D$24*T8*(T4&lt;='Executive Summary'!$I$13)</f>
        <v>0</v>
      </c>
      <c r="U64" s="421" t="n">
        <f aca="false">U9*'Renovation Plan'!$D$24*U8*(U4&lt;='Executive Summary'!$I$13)</f>
        <v>0</v>
      </c>
      <c r="V64" s="421" t="n">
        <f aca="false">V9*'Renovation Plan'!$D$24*V8*(V4&lt;='Executive Summary'!$I$13)</f>
        <v>0</v>
      </c>
      <c r="W64" s="421" t="n">
        <f aca="false">W9*'Renovation Plan'!$D$24*W8*(W4&lt;='Executive Summary'!$I$13)</f>
        <v>0</v>
      </c>
      <c r="X64" s="421" t="n">
        <f aca="false">X9*'Renovation Plan'!$D$24*X8*(X4&lt;='Executive Summary'!$I$13)</f>
        <v>0</v>
      </c>
      <c r="Y64" s="421" t="n">
        <f aca="false">Y9*'Renovation Plan'!$D$24*Y8*(Y4&lt;='Executive Summary'!$I$13)</f>
        <v>0</v>
      </c>
      <c r="Z64" s="421" t="n">
        <f aca="false">Z9*'Renovation Plan'!$D$24*Z8*(Z4&lt;='Executive Summary'!$I$13)</f>
        <v>0</v>
      </c>
      <c r="AA64" s="421" t="n">
        <f aca="false">AA9*'Renovation Plan'!$D$24*AA8*(AA4&lt;='Executive Summary'!$I$13)</f>
        <v>0</v>
      </c>
      <c r="AB64" s="421" t="n">
        <f aca="false">AB9*'Renovation Plan'!$D$24*AB8*(AB4&lt;='Executive Summary'!$I$13)</f>
        <v>0</v>
      </c>
      <c r="AC64" s="421" t="n">
        <f aca="false">AC9*'Renovation Plan'!$D$24*AC8*(AC4&lt;='Executive Summary'!$I$13)</f>
        <v>0</v>
      </c>
      <c r="AD64" s="421" t="n">
        <f aca="false">AD9*'Renovation Plan'!$D$24*AD8*(AD4&lt;='Executive Summary'!$I$13)</f>
        <v>0</v>
      </c>
      <c r="AE64" s="421" t="n">
        <f aca="false">AE9*'Renovation Plan'!$D$24*AE8*(AE4&lt;='Executive Summary'!$I$13)</f>
        <v>0</v>
      </c>
      <c r="AF64" s="421" t="n">
        <f aca="false">AF9*'Renovation Plan'!$D$24*AF8*(AF4&lt;='Executive Summary'!$I$13)</f>
        <v>0</v>
      </c>
      <c r="AG64" s="421" t="n">
        <f aca="false">AG9*'Renovation Plan'!$D$24*AG8*(AG4&lt;='Executive Summary'!$I$13)</f>
        <v>0</v>
      </c>
      <c r="AH64" s="421" t="n">
        <f aca="false">AH9*'Renovation Plan'!$D$24*AH8*(AH4&lt;='Executive Summary'!$I$13)</f>
        <v>0</v>
      </c>
      <c r="AI64" s="421" t="n">
        <f aca="false">AI9*'Renovation Plan'!$D$24*AI8*(AI4&lt;='Executive Summary'!$I$13)</f>
        <v>0</v>
      </c>
      <c r="AJ64" s="421" t="n">
        <f aca="false">AJ9*'Renovation Plan'!$D$24*AJ8*(AJ4&lt;='Executive Summary'!$I$13)</f>
        <v>0</v>
      </c>
      <c r="AK64" s="421" t="n">
        <f aca="false">AK9*'Renovation Plan'!$D$24*AK8*(AK4&lt;='Executive Summary'!$I$13)</f>
        <v>0</v>
      </c>
      <c r="AL64" s="421" t="n">
        <f aca="false">AL9*'Renovation Plan'!$D$24*AL8*(AL4&lt;='Executive Summary'!$I$13)</f>
        <v>0</v>
      </c>
      <c r="AM64" s="421" t="n">
        <f aca="false">AM9*'Renovation Plan'!$D$24*AM8*(AM4&lt;='Executive Summary'!$I$13)</f>
        <v>0</v>
      </c>
      <c r="AN64" s="421" t="n">
        <f aca="false">AN9*'Renovation Plan'!$D$24*AN8*(AN4&lt;='Executive Summary'!$I$13)</f>
        <v>0</v>
      </c>
      <c r="AO64" s="421" t="n">
        <f aca="false">AO9*'Renovation Plan'!$D$24*AO8*(AO4&lt;='Executive Summary'!$I$13)</f>
        <v>0</v>
      </c>
      <c r="AP64" s="421" t="n">
        <f aca="false">AP9*'Renovation Plan'!$D$24*AP8*(AP4&lt;='Executive Summary'!$I$13)</f>
        <v>0</v>
      </c>
      <c r="AQ64" s="421" t="n">
        <f aca="false">AQ9*'Renovation Plan'!$D$24*AQ8*(AQ4&lt;='Executive Summary'!$I$13)</f>
        <v>0</v>
      </c>
      <c r="AR64" s="421" t="n">
        <f aca="false">AR9*'Renovation Plan'!$D$24*AR8*(AR4&lt;='Executive Summary'!$I$13)</f>
        <v>0</v>
      </c>
      <c r="AS64" s="421" t="n">
        <f aca="false">AS9*'Renovation Plan'!$D$24*AS8*(AS4&lt;='Executive Summary'!$I$13)</f>
        <v>0</v>
      </c>
      <c r="AT64" s="421" t="n">
        <f aca="false">AT9*'Renovation Plan'!$D$24*AT8*(AT4&lt;='Executive Summary'!$I$13)</f>
        <v>0</v>
      </c>
      <c r="AU64" s="421" t="n">
        <f aca="false">AU9*'Renovation Plan'!$D$24*AU8*(AU4&lt;='Executive Summary'!$I$13)</f>
        <v>0</v>
      </c>
      <c r="AV64" s="421" t="n">
        <f aca="false">AV9*'Renovation Plan'!$D$24*AV8*(AV4&lt;='Executive Summary'!$I$13)</f>
        <v>0</v>
      </c>
      <c r="AW64" s="421" t="n">
        <f aca="false">AW9*'Renovation Plan'!$D$24*AW8*(AW4&lt;='Executive Summary'!$I$13)</f>
        <v>0</v>
      </c>
      <c r="AX64" s="421" t="n">
        <f aca="false">AX9*'Renovation Plan'!$D$24*AX8*(AX4&lt;='Executive Summary'!$I$13)</f>
        <v>0</v>
      </c>
      <c r="AY64" s="421" t="n">
        <f aca="false">AY9*'Renovation Plan'!$D$24*AY8*(AY4&lt;='Executive Summary'!$I$13)</f>
        <v>0</v>
      </c>
      <c r="AZ64" s="421" t="n">
        <f aca="false">AZ9*'Renovation Plan'!$D$24*AZ8*(AZ4&lt;='Executive Summary'!$I$13)</f>
        <v>0</v>
      </c>
      <c r="BA64" s="421" t="n">
        <f aca="false">BA9*'Renovation Plan'!$D$24*BA8*(BA4&lt;='Executive Summary'!$I$13)</f>
        <v>0</v>
      </c>
      <c r="BB64" s="421" t="n">
        <f aca="false">BB9*'Renovation Plan'!$D$24*BB8*(BB4&lt;='Executive Summary'!$I$13)</f>
        <v>0</v>
      </c>
      <c r="BC64" s="421" t="n">
        <f aca="false">BC9*'Renovation Plan'!$D$24*BC8*(BC4&lt;='Executive Summary'!$I$13)</f>
        <v>0</v>
      </c>
      <c r="BD64" s="421" t="n">
        <f aca="false">BD9*'Renovation Plan'!$D$24*BD8*(BD4&lt;='Executive Summary'!$I$13)</f>
        <v>0</v>
      </c>
      <c r="BE64" s="421" t="n">
        <f aca="false">BE9*'Renovation Plan'!$D$24*BE8*(BE4&lt;='Executive Summary'!$I$13)</f>
        <v>0</v>
      </c>
      <c r="BF64" s="421" t="n">
        <f aca="false">BF9*'Renovation Plan'!$D$24*BF8*(BF4&lt;='Executive Summary'!$I$13)</f>
        <v>0</v>
      </c>
      <c r="BG64" s="421" t="n">
        <f aca="false">BG9*'Renovation Plan'!$D$24*BG8*(BG4&lt;='Executive Summary'!$I$13)</f>
        <v>0</v>
      </c>
      <c r="BH64" s="421" t="n">
        <f aca="false">BH9*'Renovation Plan'!$D$24*BH8*(BH4&lt;='Executive Summary'!$I$13)</f>
        <v>0</v>
      </c>
      <c r="BI64" s="421" t="n">
        <f aca="false">BI9*'Renovation Plan'!$D$24*BI8*(BI4&lt;='Executive Summary'!$I$13)</f>
        <v>0</v>
      </c>
      <c r="BJ64" s="421" t="n">
        <f aca="false">BJ9*'Renovation Plan'!$D$24*BJ8*(BJ4&lt;='Executive Summary'!$I$13)</f>
        <v>0</v>
      </c>
      <c r="BK64" s="421" t="n">
        <f aca="false">BK9*'Renovation Plan'!$D$24*BK8*(BK4&lt;='Executive Summary'!$I$13)</f>
        <v>0</v>
      </c>
      <c r="BL64" s="421" t="n">
        <f aca="false">BL9*'Renovation Plan'!$D$24*BL8*(BL4&lt;='Executive Summary'!$I$13)</f>
        <v>0</v>
      </c>
      <c r="BM64" s="421" t="n">
        <f aca="false">BM9*'Renovation Plan'!$D$24*BM8*(BM4&lt;='Executive Summary'!$I$13)</f>
        <v>0</v>
      </c>
      <c r="BN64" s="421" t="n">
        <f aca="false">BN9*'Renovation Plan'!$D$24*BN8*(BN4&lt;='Executive Summary'!$I$13)</f>
        <v>0</v>
      </c>
      <c r="BO64" s="421" t="n">
        <f aca="false">BO9*'Renovation Plan'!$D$24*BO8*(BO4&lt;='Executive Summary'!$I$13)</f>
        <v>0</v>
      </c>
      <c r="BP64" s="421" t="n">
        <f aca="false">BP9*'Renovation Plan'!$D$24*BP8*(BP4&lt;='Executive Summary'!$I$13)</f>
        <v>0</v>
      </c>
      <c r="BQ64" s="421" t="n">
        <f aca="false">BQ9*'Renovation Plan'!$D$24*BQ8*(BQ4&lt;='Executive Summary'!$I$13)</f>
        <v>0</v>
      </c>
      <c r="BR64" s="421" t="n">
        <f aca="false">BR9*'Renovation Plan'!$D$24*BR8*(BR4&lt;='Executive Summary'!$I$13)</f>
        <v>0</v>
      </c>
      <c r="BS64" s="421" t="n">
        <f aca="false">BS9*'Renovation Plan'!$D$24*BS8*(BS4&lt;='Executive Summary'!$I$13)</f>
        <v>0</v>
      </c>
      <c r="BT64" s="421" t="n">
        <f aca="false">BT9*'Renovation Plan'!$D$24*BT8*(BT4&lt;='Executive Summary'!$I$13)</f>
        <v>0</v>
      </c>
      <c r="BU64" s="421" t="n">
        <f aca="false">BU9*'Renovation Plan'!$D$24*BU8*(BU4&lt;='Executive Summary'!$I$13)</f>
        <v>0</v>
      </c>
      <c r="BV64" s="421" t="n">
        <f aca="false">BV9*'Renovation Plan'!$D$24*BV8*(BV4&lt;='Executive Summary'!$I$13)</f>
        <v>0</v>
      </c>
      <c r="BW64" s="421" t="n">
        <f aca="false">BW9*'Renovation Plan'!$D$24*BW8*(BW4&lt;='Executive Summary'!$I$13)</f>
        <v>0</v>
      </c>
      <c r="BX64" s="421" t="n">
        <f aca="false">BX9*'Renovation Plan'!$D$24*BX8*(BX4&lt;='Executive Summary'!$I$13)</f>
        <v>0</v>
      </c>
      <c r="BY64" s="421" t="n">
        <f aca="false">BY9*'Renovation Plan'!$D$24*BY8*(BY4&lt;='Executive Summary'!$I$13)</f>
        <v>0</v>
      </c>
      <c r="BZ64" s="421" t="n">
        <f aca="false">BZ9*'Renovation Plan'!$D$24*BZ8*(BZ4&lt;='Executive Summary'!$I$13)</f>
        <v>0</v>
      </c>
      <c r="CA64" s="421" t="n">
        <f aca="false">CA9*'Renovation Plan'!$D$24*CA8*(CA4&lt;='Executive Summary'!$I$13)</f>
        <v>0</v>
      </c>
      <c r="CB64" s="421" t="n">
        <f aca="false">CB9*'Renovation Plan'!$D$24*CB8*(CB4&lt;='Executive Summary'!$I$13)</f>
        <v>0</v>
      </c>
      <c r="CC64" s="421" t="n">
        <f aca="false">CC9*'Renovation Plan'!$D$24*CC8*(CC4&lt;='Executive Summary'!$I$13)</f>
        <v>0</v>
      </c>
      <c r="CD64" s="421" t="n">
        <f aca="false">CD9*'Renovation Plan'!$D$24*CD8*(CD4&lt;='Executive Summary'!$I$13)</f>
        <v>0</v>
      </c>
      <c r="CE64" s="421" t="n">
        <f aca="false">CE9*'Renovation Plan'!$D$24*CE8*(CE4&lt;='Executive Summary'!$I$13)</f>
        <v>0</v>
      </c>
      <c r="CF64" s="421" t="n">
        <f aca="false">CF9*'Renovation Plan'!$D$24*CF8*(CF4&lt;='Executive Summary'!$I$13)</f>
        <v>0</v>
      </c>
      <c r="CG64" s="421" t="n">
        <f aca="false">CG9*'Renovation Plan'!$D$24*CG8*(CG4&lt;='Executive Summary'!$I$13)</f>
        <v>0</v>
      </c>
      <c r="CH64" s="421" t="n">
        <f aca="false">CH9*'Renovation Plan'!$D$24*CH8*(CH4&lt;='Executive Summary'!$I$13)</f>
        <v>0</v>
      </c>
      <c r="CI64" s="421" t="n">
        <f aca="false">CI9*'Renovation Plan'!$D$24*CI8*(CI4&lt;='Executive Summary'!$I$13)</f>
        <v>0</v>
      </c>
      <c r="CJ64" s="421" t="n">
        <f aca="false">CJ9*'Renovation Plan'!$D$24*CJ8*(CJ4&lt;='Executive Summary'!$I$13)</f>
        <v>0</v>
      </c>
      <c r="CK64" s="421" t="n">
        <f aca="false">CK9*'Renovation Plan'!$D$24*CK8*(CK4&lt;='Executive Summary'!$I$13)</f>
        <v>0</v>
      </c>
      <c r="CL64" s="421" t="n">
        <f aca="false">CL9*'Renovation Plan'!$D$24*CL8*(CL4&lt;='Executive Summary'!$I$13)</f>
        <v>0</v>
      </c>
      <c r="CM64" s="421" t="n">
        <f aca="false">CM9*'Renovation Plan'!$D$24*CM8*(CM4&lt;='Executive Summary'!$I$13)</f>
        <v>0</v>
      </c>
      <c r="CN64" s="421" t="n">
        <f aca="false">CN9*'Renovation Plan'!$D$24*CN8*(CN4&lt;='Executive Summary'!$I$13)</f>
        <v>0</v>
      </c>
      <c r="CO64" s="421" t="n">
        <f aca="false">CO9*'Renovation Plan'!$D$24*CO8*(CO4&lt;='Executive Summary'!$I$13)</f>
        <v>0</v>
      </c>
      <c r="CP64" s="421" t="n">
        <f aca="false">CP9*'Renovation Plan'!$D$24*CP8*(CP4&lt;='Executive Summary'!$I$13)</f>
        <v>0</v>
      </c>
      <c r="CQ64" s="421" t="n">
        <f aca="false">CQ9*'Renovation Plan'!$D$24*CQ8*(CQ4&lt;='Executive Summary'!$I$13)</f>
        <v>0</v>
      </c>
      <c r="CR64" s="421" t="n">
        <f aca="false">CR9*'Renovation Plan'!$D$24*CR8*(CR4&lt;='Executive Summary'!$I$13)</f>
        <v>0</v>
      </c>
      <c r="CS64" s="421" t="n">
        <f aca="false">CS9*'Renovation Plan'!$D$24*CS8*(CS4&lt;='Executive Summary'!$I$13)</f>
        <v>0</v>
      </c>
      <c r="CT64" s="421" t="n">
        <f aca="false">CT9*'Renovation Plan'!$D$24*CT8*(CT4&lt;='Executive Summary'!$I$13)</f>
        <v>0</v>
      </c>
      <c r="CU64" s="421" t="n">
        <f aca="false">CU9*'Renovation Plan'!$D$24*CU8*(CU4&lt;='Executive Summary'!$I$13)</f>
        <v>0</v>
      </c>
      <c r="CV64" s="421" t="n">
        <f aca="false">CV9*'Renovation Plan'!$D$24*CV8*(CV4&lt;='Executive Summary'!$I$13)</f>
        <v>0</v>
      </c>
      <c r="CW64" s="421" t="n">
        <f aca="false">CW9*'Renovation Plan'!$D$24*CW8*(CW4&lt;='Executive Summary'!$I$13)</f>
        <v>0</v>
      </c>
      <c r="CX64" s="421" t="n">
        <f aca="false">CX9*'Renovation Plan'!$D$24*CX8*(CX4&lt;='Executive Summary'!$I$13)</f>
        <v>0</v>
      </c>
      <c r="CY64" s="421" t="n">
        <f aca="false">CY9*'Renovation Plan'!$D$24*CY8*(CY4&lt;='Executive Summary'!$I$13)</f>
        <v>0</v>
      </c>
      <c r="CZ64" s="421" t="n">
        <f aca="false">CZ9*'Renovation Plan'!$D$24*CZ8*(CZ4&lt;='Executive Summary'!$I$13)</f>
        <v>0</v>
      </c>
      <c r="DA64" s="421" t="n">
        <f aca="false">DA9*'Renovation Plan'!$D$24*DA8*(DA4&lt;='Executive Summary'!$I$13)</f>
        <v>0</v>
      </c>
      <c r="DB64" s="421" t="n">
        <f aca="false">DB9*'Renovation Plan'!$D$24*DB8*(DB4&lt;='Executive Summary'!$I$13)</f>
        <v>0</v>
      </c>
      <c r="DC64" s="421" t="n">
        <f aca="false">DC9*'Renovation Plan'!$D$24*DC8*(DC4&lt;='Executive Summary'!$I$13)</f>
        <v>0</v>
      </c>
      <c r="DD64" s="421" t="n">
        <f aca="false">DD9*'Renovation Plan'!$D$24*DD8*(DD4&lt;='Executive Summary'!$I$13)</f>
        <v>0</v>
      </c>
      <c r="DE64" s="421" t="n">
        <f aca="false">DE9*'Renovation Plan'!$D$24*DE8*(DE4&lt;='Executive Summary'!$I$13)</f>
        <v>0</v>
      </c>
      <c r="DF64" s="421" t="n">
        <f aca="false">DF9*'Renovation Plan'!$D$24*DF8*(DF4&lt;='Executive Summary'!$I$13)</f>
        <v>0</v>
      </c>
      <c r="DG64" s="421" t="n">
        <f aca="false">DG9*'Renovation Plan'!$D$24*DG8*(DG4&lt;='Executive Summary'!$I$13)</f>
        <v>0</v>
      </c>
      <c r="DH64" s="421" t="n">
        <f aca="false">DH9*'Renovation Plan'!$D$24*DH8*(DH4&lt;='Executive Summary'!$I$13)</f>
        <v>0</v>
      </c>
      <c r="DI64" s="421" t="n">
        <f aca="false">DI9*'Renovation Plan'!$D$24*DI8*(DI4&lt;='Executive Summary'!$I$13)</f>
        <v>0</v>
      </c>
      <c r="DJ64" s="421" t="n">
        <f aca="false">DJ9*'Renovation Plan'!$D$24*DJ8*(DJ4&lt;='Executive Summary'!$I$13)</f>
        <v>0</v>
      </c>
      <c r="DK64" s="421" t="n">
        <f aca="false">DK9*'Renovation Plan'!$D$24*DK8*(DK4&lt;='Executive Summary'!$I$13)</f>
        <v>0</v>
      </c>
      <c r="DL64" s="421" t="n">
        <f aca="false">DL9*'Renovation Plan'!$D$24*DL8*(DL4&lt;='Executive Summary'!$I$13)</f>
        <v>0</v>
      </c>
      <c r="DM64" s="421" t="n">
        <f aca="false">DM9*'Renovation Plan'!$D$24*DM8*(DM4&lt;='Executive Summary'!$I$13)</f>
        <v>0</v>
      </c>
      <c r="DN64" s="421" t="n">
        <f aca="false">DN9*'Renovation Plan'!$D$24*DN8*(DN4&lt;='Executive Summary'!$I$13)</f>
        <v>0</v>
      </c>
      <c r="DO64" s="421" t="n">
        <f aca="false">DO9*'Renovation Plan'!$D$24*DO8*(DO4&lt;='Executive Summary'!$I$13)</f>
        <v>0</v>
      </c>
      <c r="DP64" s="421" t="n">
        <f aca="false">DP9*'Renovation Plan'!$D$24*DP8*(DP4&lt;='Executive Summary'!$I$13)</f>
        <v>0</v>
      </c>
      <c r="DQ64" s="421" t="n">
        <f aca="false">DQ9*'Renovation Plan'!$D$24*DQ8*(DQ4&lt;='Executive Summary'!$I$13)</f>
        <v>0</v>
      </c>
      <c r="DR64" s="421" t="n">
        <f aca="false">DR9*'Renovation Plan'!$D$24*DR8*(DR4&lt;='Executive Summary'!$I$13)</f>
        <v>0</v>
      </c>
      <c r="DS64" s="421" t="n">
        <f aca="false">DS9*'Renovation Plan'!$D$24*DS8*(DS4&lt;='Executive Summary'!$I$13)</f>
        <v>0</v>
      </c>
      <c r="DT64" s="421" t="n">
        <f aca="false">DT9*'Renovation Plan'!$D$24*DT8*(DT4&lt;='Executive Summary'!$I$13)</f>
        <v>0</v>
      </c>
      <c r="DU64" s="421" t="n">
        <f aca="false">DU9*'Renovation Plan'!$D$24*DU8*(DU4&lt;='Executive Summary'!$I$13)</f>
        <v>0</v>
      </c>
      <c r="DV64" s="421" t="n">
        <f aca="false">DV9*'Renovation Plan'!$D$24*DV8*(DV4&lt;='Executive Summary'!$I$13)</f>
        <v>0</v>
      </c>
      <c r="DW64" s="421" t="n">
        <f aca="false">DW9*'Renovation Plan'!$D$24*DW8*(DW4&lt;='Executive Summary'!$I$13)</f>
        <v>0</v>
      </c>
      <c r="DX64" s="421" t="n">
        <f aca="false">DX9*'Renovation Plan'!$D$24*DX8*(DX4&lt;='Executive Summary'!$I$13)</f>
        <v>0</v>
      </c>
      <c r="DY64" s="421" t="n">
        <f aca="false">DY9*'Renovation Plan'!$D$24*DY8*(DY4&lt;='Executive Summary'!$I$13)</f>
        <v>0</v>
      </c>
      <c r="DZ64" s="421" t="n">
        <f aca="false">DZ9*'Renovation Plan'!$D$24*DZ8*(DZ4&lt;='Executive Summary'!$I$13)</f>
        <v>0</v>
      </c>
      <c r="EA64" s="421" t="n">
        <f aca="false">EA9*'Renovation Plan'!$D$24*EA8*(EA4&lt;='Executive Summary'!$I$13)</f>
        <v>0</v>
      </c>
      <c r="EB64" s="421" t="n">
        <f aca="false">EB9*'Renovation Plan'!$D$24*EB8*(EB4&lt;='Executive Summary'!$I$13)</f>
        <v>0</v>
      </c>
      <c r="EC64" s="421" t="n">
        <f aca="false">EC9*'Renovation Plan'!$D$24*EC8*(EC4&lt;='Executive Summary'!$I$13)</f>
        <v>0</v>
      </c>
      <c r="ED64" s="421" t="n">
        <f aca="false">ED9*'Renovation Plan'!$D$24*ED8*(ED4&lt;='Executive Summary'!$I$13)</f>
        <v>0</v>
      </c>
      <c r="EE64" s="421" t="n">
        <f aca="false">EE9*'Renovation Plan'!$D$24*EE8*(EE4&lt;='Executive Summary'!$I$13)</f>
        <v>0</v>
      </c>
      <c r="EF64" s="421" t="n">
        <f aca="false">EF9*'Renovation Plan'!$D$24*EF8*(EF4&lt;='Executive Summary'!$I$13)</f>
        <v>0</v>
      </c>
      <c r="EG64" s="421" t="n">
        <f aca="false">EG9*'Renovation Plan'!$D$24*EG8*(EG4&lt;='Executive Summary'!$I$13)</f>
        <v>0</v>
      </c>
      <c r="EH64" s="421" t="n">
        <f aca="false">EH9*'Renovation Plan'!$D$24*EH8*(EH4&lt;='Executive Summary'!$I$13)</f>
        <v>0</v>
      </c>
      <c r="EI64" s="472" t="n">
        <f aca="false">EI9*'Renovation Plan'!$D$24*EI8*(EI4&lt;='Executive Summary'!$I$13)</f>
        <v>0</v>
      </c>
      <c r="EK64" s="513" t="n">
        <f aca="false">'Renovation Plan'!J17</f>
        <v>0</v>
      </c>
      <c r="EL64" s="421" t="n">
        <f aca="false">'Renovation Plan'!K17</f>
        <v>0</v>
      </c>
      <c r="EM64" s="421" t="n">
        <f aca="true">SUM(OFFSET($G64,0,EM$24*12-11,1,12))</f>
        <v>0</v>
      </c>
      <c r="EN64" s="421" t="n">
        <f aca="true">SUM(OFFSET($G64,0,EN$24*12-11,1,12))</f>
        <v>0</v>
      </c>
      <c r="EO64" s="421" t="n">
        <f aca="true">SUM(OFFSET($G64,0,EO$24*12-11,1,12))</f>
        <v>0</v>
      </c>
      <c r="EP64" s="421" t="n">
        <f aca="true">SUM(OFFSET($G64,0,EP$24*12-11,1,12))</f>
        <v>0</v>
      </c>
      <c r="EQ64" s="421" t="n">
        <f aca="true">SUM(OFFSET($G64,0,EQ$24*12-11,1,12))</f>
        <v>0</v>
      </c>
      <c r="ER64" s="421" t="n">
        <f aca="true">SUM(OFFSET($G64,0,ER$24*12-11,1,12))</f>
        <v>0</v>
      </c>
      <c r="ES64" s="421" t="n">
        <f aca="true">SUM(OFFSET($G64,0,ES$24*12-11,1,12))</f>
        <v>0</v>
      </c>
      <c r="ET64" s="472" t="n">
        <f aca="true">SUM(OFFSET($G64,0,ET$24*12-11,1,12))</f>
        <v>0</v>
      </c>
    </row>
    <row r="65" s="522" customFormat="true" ht="13.5" hidden="false" customHeight="true" outlineLevel="0" collapsed="false">
      <c r="B65" s="549" t="s">
        <v>578</v>
      </c>
      <c r="C65" s="79"/>
      <c r="D65" s="478"/>
      <c r="E65" s="479" t="n">
        <f aca="true">SUM(OFFSET(G65,0,0,1,'Executive Summary'!$I$13+1))</f>
        <v>115725.427388862</v>
      </c>
      <c r="F65" s="421"/>
      <c r="G65" s="549"/>
      <c r="H65" s="478" t="n">
        <f aca="false">'Executive Summary'!$C$54/12*'Executive Summary'!$C$12*H8*(H4&lt;='Executive Summary'!$I$13)</f>
        <v>1836.36123238685</v>
      </c>
      <c r="I65" s="478" t="n">
        <f aca="false">'Executive Summary'!$C$54/12*'Executive Summary'!$C$12*I8*(I4&lt;='Executive Summary'!$I$13)</f>
        <v>1839.39413226184</v>
      </c>
      <c r="J65" s="478" t="n">
        <f aca="false">'Executive Summary'!$C$54/12*'Executive Summary'!$C$12*J8*(J4&lt;='Executive Summary'!$I$13)</f>
        <v>1842.43204121754</v>
      </c>
      <c r="K65" s="478" t="n">
        <f aca="false">'Executive Summary'!$C$54/12*'Executive Summary'!$C$12*K8*(K4&lt;='Executive Summary'!$I$13)</f>
        <v>1845.47496752687</v>
      </c>
      <c r="L65" s="478" t="n">
        <f aca="false">'Executive Summary'!$C$54/12*'Executive Summary'!$C$12*L8*(L4&lt;='Executive Summary'!$I$13)</f>
        <v>1848.5229194764</v>
      </c>
      <c r="M65" s="478" t="n">
        <f aca="false">'Executive Summary'!$C$54/12*'Executive Summary'!$C$12*M8*(M4&lt;='Executive Summary'!$I$13)</f>
        <v>1851.57590536638</v>
      </c>
      <c r="N65" s="478" t="n">
        <f aca="false">'Executive Summary'!$C$54/12*'Executive Summary'!$C$12*N8*(N4&lt;='Executive Summary'!$I$13)</f>
        <v>1854.63393351077</v>
      </c>
      <c r="O65" s="478" t="n">
        <f aca="false">'Executive Summary'!$C$54/12*'Executive Summary'!$C$12*O8*(O4&lt;='Executive Summary'!$I$13)</f>
        <v>1857.69701223726</v>
      </c>
      <c r="P65" s="478" t="n">
        <f aca="false">'Executive Summary'!$C$54/12*'Executive Summary'!$C$12*P8*(P4&lt;='Executive Summary'!$I$13)</f>
        <v>1860.76514988731</v>
      </c>
      <c r="Q65" s="478" t="n">
        <f aca="false">'Executive Summary'!$C$54/12*'Executive Summary'!$C$12*Q8*(Q4&lt;='Executive Summary'!$I$13)</f>
        <v>1863.83835481613</v>
      </c>
      <c r="R65" s="478" t="n">
        <f aca="false">'Executive Summary'!$C$54/12*'Executive Summary'!$C$12*R8*(R4&lt;='Executive Summary'!$I$13)</f>
        <v>1866.91663539274</v>
      </c>
      <c r="S65" s="478" t="n">
        <f aca="false">'Executive Summary'!$C$54/12*'Executive Summary'!$C$12*S8*(S4&lt;='Executive Summary'!$I$13)</f>
        <v>1870</v>
      </c>
      <c r="T65" s="478" t="n">
        <f aca="false">'Executive Summary'!$C$54/12*'Executive Summary'!$C$12*T8*(T4&lt;='Executive Summary'!$I$13)</f>
        <v>1873.08845703459</v>
      </c>
      <c r="U65" s="478" t="n">
        <f aca="false">'Executive Summary'!$C$54/12*'Executive Summary'!$C$12*U8*(U4&lt;='Executive Summary'!$I$13)</f>
        <v>1876.18201490707</v>
      </c>
      <c r="V65" s="478" t="n">
        <f aca="false">'Executive Summary'!$C$54/12*'Executive Summary'!$C$12*V8*(V4&lt;='Executive Summary'!$I$13)</f>
        <v>1879.28068204189</v>
      </c>
      <c r="W65" s="478" t="n">
        <f aca="false">'Executive Summary'!$C$54/12*'Executive Summary'!$C$12*W8*(W4&lt;='Executive Summary'!$I$13)</f>
        <v>1882.38446687741</v>
      </c>
      <c r="X65" s="478" t="n">
        <f aca="false">'Executive Summary'!$C$54/12*'Executive Summary'!$C$12*X8*(X4&lt;='Executive Summary'!$I$13)</f>
        <v>1885.49337786593</v>
      </c>
      <c r="Y65" s="478" t="n">
        <f aca="false">'Executive Summary'!$C$54/12*'Executive Summary'!$C$12*Y8*(Y4&lt;='Executive Summary'!$I$13)</f>
        <v>1888.60742347371</v>
      </c>
      <c r="Z65" s="478" t="n">
        <f aca="false">'Executive Summary'!$C$54/12*'Executive Summary'!$C$12*Z8*(Z4&lt;='Executive Summary'!$I$13)</f>
        <v>1891.72661218099</v>
      </c>
      <c r="AA65" s="478" t="n">
        <f aca="false">'Executive Summary'!$C$54/12*'Executive Summary'!$C$12*AA8*(AA4&lt;='Executive Summary'!$I$13)</f>
        <v>1894.85095248201</v>
      </c>
      <c r="AB65" s="478" t="n">
        <f aca="false">'Executive Summary'!$C$54/12*'Executive Summary'!$C$12*AB8*(AB4&lt;='Executive Summary'!$I$13)</f>
        <v>1897.98045288505</v>
      </c>
      <c r="AC65" s="478" t="n">
        <f aca="false">'Executive Summary'!$C$54/12*'Executive Summary'!$C$12*AC8*(AC4&lt;='Executive Summary'!$I$13)</f>
        <v>1901.11512191245</v>
      </c>
      <c r="AD65" s="478" t="n">
        <f aca="false">'Executive Summary'!$C$54/12*'Executive Summary'!$C$12*AD8*(AD4&lt;='Executive Summary'!$I$13)</f>
        <v>1904.2549681006</v>
      </c>
      <c r="AE65" s="478" t="n">
        <f aca="false">'Executive Summary'!$C$54/12*'Executive Summary'!$C$12*AE8*(AE4&lt;='Executive Summary'!$I$13)</f>
        <v>1907.4</v>
      </c>
      <c r="AF65" s="478" t="n">
        <f aca="false">'Executive Summary'!$C$54/12*'Executive Summary'!$C$12*AF8*(AF4&lt;='Executive Summary'!$I$13)</f>
        <v>1910.55022617528</v>
      </c>
      <c r="AG65" s="478" t="n">
        <f aca="false">'Executive Summary'!$C$54/12*'Executive Summary'!$C$12*AG8*(AG4&lt;='Executive Summary'!$I$13)</f>
        <v>1913.70565520521</v>
      </c>
      <c r="AH65" s="478" t="n">
        <f aca="false">'Executive Summary'!$C$54/12*'Executive Summary'!$C$12*AH8*(AH4&lt;='Executive Summary'!$I$13)</f>
        <v>1916.86629568273</v>
      </c>
      <c r="AI65" s="478" t="n">
        <f aca="false">'Executive Summary'!$C$54/12*'Executive Summary'!$C$12*AI8*(AI4&lt;='Executive Summary'!$I$13)</f>
        <v>1920.03215621496</v>
      </c>
      <c r="AJ65" s="478" t="n">
        <f aca="false">'Executive Summary'!$C$54/12*'Executive Summary'!$C$12*AJ8*(AJ4&lt;='Executive Summary'!$I$13)</f>
        <v>1923.20324542325</v>
      </c>
      <c r="AK65" s="478" t="n">
        <f aca="false">'Executive Summary'!$C$54/12*'Executive Summary'!$C$12*AK8*(AK4&lt;='Executive Summary'!$I$13)</f>
        <v>1926.37957194319</v>
      </c>
      <c r="AL65" s="478" t="n">
        <f aca="false">'Executive Summary'!$C$54/12*'Executive Summary'!$C$12*AL8*(AL4&lt;='Executive Summary'!$I$13)</f>
        <v>1929.56114442461</v>
      </c>
      <c r="AM65" s="478" t="n">
        <f aca="false">'Executive Summary'!$C$54/12*'Executive Summary'!$C$12*AM8*(AM4&lt;='Executive Summary'!$I$13)</f>
        <v>1932.74797153165</v>
      </c>
      <c r="AN65" s="478" t="n">
        <f aca="false">'Executive Summary'!$C$54/12*'Executive Summary'!$C$12*AN8*(AN4&lt;='Executive Summary'!$I$13)</f>
        <v>1935.94006194276</v>
      </c>
      <c r="AO65" s="478" t="n">
        <f aca="false">'Executive Summary'!$C$54/12*'Executive Summary'!$C$12*AO8*(AO4&lt;='Executive Summary'!$I$13)</f>
        <v>1939.1374243507</v>
      </c>
      <c r="AP65" s="478" t="n">
        <f aca="false">'Executive Summary'!$C$54/12*'Executive Summary'!$C$12*AP8*(AP4&lt;='Executive Summary'!$I$13)</f>
        <v>1942.34006746261</v>
      </c>
      <c r="AQ65" s="478" t="n">
        <f aca="false">'Executive Summary'!$C$54/12*'Executive Summary'!$C$12*AQ8*(AQ4&lt;='Executive Summary'!$I$13)</f>
        <v>1945.548</v>
      </c>
      <c r="AR65" s="478" t="n">
        <f aca="false">'Executive Summary'!$C$54/12*'Executive Summary'!$C$12*AR8*(AR4&lt;='Executive Summary'!$I$13)</f>
        <v>1948.76123069879</v>
      </c>
      <c r="AS65" s="478" t="n">
        <f aca="false">'Executive Summary'!$C$54/12*'Executive Summary'!$C$12*AS8*(AS4&lt;='Executive Summary'!$I$13)</f>
        <v>1951.97976830932</v>
      </c>
      <c r="AT65" s="478" t="n">
        <f aca="false">'Executive Summary'!$C$54/12*'Executive Summary'!$C$12*AT8*(AT4&lt;='Executive Summary'!$I$13)</f>
        <v>1955.20362159639</v>
      </c>
      <c r="AU65" s="478" t="n">
        <f aca="false">'Executive Summary'!$C$54/12*'Executive Summary'!$C$12*AU8*(AU4&lt;='Executive Summary'!$I$13)</f>
        <v>1958.43279933926</v>
      </c>
      <c r="AV65" s="478" t="n">
        <f aca="false">'Executive Summary'!$C$54/12*'Executive Summary'!$C$12*AV8*(AV4&lt;='Executive Summary'!$I$13)</f>
        <v>1961.66731033172</v>
      </c>
      <c r="AW65" s="478" t="n">
        <f aca="false">'Executive Summary'!$C$54/12*'Executive Summary'!$C$12*AW8*(AW4&lt;='Executive Summary'!$I$13)</f>
        <v>1964.90716338205</v>
      </c>
      <c r="AX65" s="478" t="n">
        <f aca="false">'Executive Summary'!$C$54/12*'Executive Summary'!$C$12*AX8*(AX4&lt;='Executive Summary'!$I$13)</f>
        <v>1968.1523673131</v>
      </c>
      <c r="AY65" s="478" t="n">
        <f aca="false">'Executive Summary'!$C$54/12*'Executive Summary'!$C$12*AY8*(AY4&lt;='Executive Summary'!$I$13)</f>
        <v>1971.40293096229</v>
      </c>
      <c r="AZ65" s="478" t="n">
        <f aca="false">'Executive Summary'!$C$54/12*'Executive Summary'!$C$12*AZ8*(AZ4&lt;='Executive Summary'!$I$13)</f>
        <v>1974.65886318161</v>
      </c>
      <c r="BA65" s="478" t="n">
        <f aca="false">'Executive Summary'!$C$54/12*'Executive Summary'!$C$12*BA8*(BA4&lt;='Executive Summary'!$I$13)</f>
        <v>1977.92017283771</v>
      </c>
      <c r="BB65" s="478" t="n">
        <f aca="false">'Executive Summary'!$C$54/12*'Executive Summary'!$C$12*BB8*(BB4&lt;='Executive Summary'!$I$13)</f>
        <v>1981.18686881186</v>
      </c>
      <c r="BC65" s="478" t="n">
        <f aca="false">'Executive Summary'!$C$54/12*'Executive Summary'!$C$12*BC8*(BC4&lt;='Executive Summary'!$I$13)</f>
        <v>1984.45896</v>
      </c>
      <c r="BD65" s="478" t="n">
        <f aca="false">'Executive Summary'!$C$54/12*'Executive Summary'!$C$12*BD8*(BD4&lt;='Executive Summary'!$I$13)</f>
        <v>1987.73645531277</v>
      </c>
      <c r="BE65" s="478" t="n">
        <f aca="false">'Executive Summary'!$C$54/12*'Executive Summary'!$C$12*BE8*(BE4&lt;='Executive Summary'!$I$13)</f>
        <v>1991.01936367551</v>
      </c>
      <c r="BF65" s="478" t="n">
        <f aca="false">'Executive Summary'!$C$54/12*'Executive Summary'!$C$12*BF8*(BF4&lt;='Executive Summary'!$I$13)</f>
        <v>1994.30769402832</v>
      </c>
      <c r="BG65" s="478" t="n">
        <f aca="false">'Executive Summary'!$C$54/12*'Executive Summary'!$C$12*BG8*(BG4&lt;='Executive Summary'!$I$13)</f>
        <v>1997.60145532605</v>
      </c>
      <c r="BH65" s="478" t="n">
        <f aca="false">'Executive Summary'!$C$54/12*'Executive Summary'!$C$12*BH8*(BH4&lt;='Executive Summary'!$I$13)</f>
        <v>2000.90065653835</v>
      </c>
      <c r="BI65" s="478" t="n">
        <f aca="false">'Executive Summary'!$C$54/12*'Executive Summary'!$C$12*BI8*(BI4&lt;='Executive Summary'!$I$13)</f>
        <v>2004.20530664969</v>
      </c>
      <c r="BJ65" s="478" t="n">
        <f aca="false">'Executive Summary'!$C$54/12*'Executive Summary'!$C$12*BJ8*(BJ4&lt;='Executive Summary'!$I$13)</f>
        <v>2007.51541465936</v>
      </c>
      <c r="BK65" s="478" t="n">
        <f aca="false">'Executive Summary'!$C$54/12*'Executive Summary'!$C$12*BK8*(BK4&lt;='Executive Summary'!$I$13)</f>
        <v>2010.83098958153</v>
      </c>
      <c r="BL65" s="478" t="n">
        <f aca="false">'Executive Summary'!$C$54/12*'Executive Summary'!$C$12*BL8*(BL4&lt;='Executive Summary'!$I$13)</f>
        <v>2014.15204044525</v>
      </c>
      <c r="BM65" s="478" t="n">
        <f aca="false">'Executive Summary'!$C$54/12*'Executive Summary'!$C$12*BM8*(BM4&lt;='Executive Summary'!$I$13)</f>
        <v>2017.47857629447</v>
      </c>
      <c r="BN65" s="478" t="n">
        <f aca="false">'Executive Summary'!$C$54/12*'Executive Summary'!$C$12*BN8*(BN4&lt;='Executive Summary'!$I$13)</f>
        <v>2020.8106061881</v>
      </c>
      <c r="BO65" s="478" t="n">
        <f aca="false">'Executive Summary'!$C$54/12*'Executive Summary'!$C$12*BO8*(BO4&lt;='Executive Summary'!$I$13)</f>
        <v>2024.14813920001</v>
      </c>
      <c r="BP65" s="478" t="n">
        <f aca="false">'Executive Summary'!$C$55/12*'Executive Summary'!$C$12*BP8*(BP4&lt;='Executive Summary'!$I$13)</f>
        <v>0</v>
      </c>
      <c r="BQ65" s="478" t="n">
        <f aca="false">'Executive Summary'!$C$55/12*'Executive Summary'!$C$12*BQ8*(BQ4&lt;='Executive Summary'!$I$13)</f>
        <v>0</v>
      </c>
      <c r="BR65" s="478" t="n">
        <f aca="false">'Executive Summary'!$C$55/12*'Executive Summary'!$C$12*BR8*(BR4&lt;='Executive Summary'!$I$13)</f>
        <v>0</v>
      </c>
      <c r="BS65" s="478" t="n">
        <f aca="false">'Executive Summary'!$C$55/12*'Executive Summary'!$C$12*BS8*(BS4&lt;='Executive Summary'!$I$13)</f>
        <v>0</v>
      </c>
      <c r="BT65" s="478" t="n">
        <f aca="false">'Executive Summary'!$C$55/12*'Executive Summary'!$C$12*BT8*(BT4&lt;='Executive Summary'!$I$13)</f>
        <v>0</v>
      </c>
      <c r="BU65" s="478" t="n">
        <f aca="false">'Executive Summary'!$C$55/12*'Executive Summary'!$C$12*BU8*(BU4&lt;='Executive Summary'!$I$13)</f>
        <v>0</v>
      </c>
      <c r="BV65" s="478" t="n">
        <f aca="false">'Executive Summary'!$C$55/12*'Executive Summary'!$C$12*BV8*(BV4&lt;='Executive Summary'!$I$13)</f>
        <v>0</v>
      </c>
      <c r="BW65" s="478" t="n">
        <f aca="false">'Executive Summary'!$C$55/12*'Executive Summary'!$C$12*BW8*(BW4&lt;='Executive Summary'!$I$13)</f>
        <v>0</v>
      </c>
      <c r="BX65" s="478" t="n">
        <f aca="false">'Executive Summary'!$C$55/12*'Executive Summary'!$C$12*BX8*(BX4&lt;='Executive Summary'!$I$13)</f>
        <v>0</v>
      </c>
      <c r="BY65" s="478" t="n">
        <f aca="false">'Executive Summary'!$C$55/12*'Executive Summary'!$C$12*BY8*(BY4&lt;='Executive Summary'!$I$13)</f>
        <v>0</v>
      </c>
      <c r="BZ65" s="478" t="n">
        <f aca="false">'Executive Summary'!$C$55/12*'Executive Summary'!$C$12*BZ8*(BZ4&lt;='Executive Summary'!$I$13)</f>
        <v>0</v>
      </c>
      <c r="CA65" s="478" t="n">
        <f aca="false">'Executive Summary'!$C$55/12*'Executive Summary'!$C$12*CA8*(CA4&lt;='Executive Summary'!$I$13)</f>
        <v>0</v>
      </c>
      <c r="CB65" s="478" t="n">
        <f aca="false">'Executive Summary'!$C$55/12*'Executive Summary'!$C$12*CB8*(CB4&lt;='Executive Summary'!$I$13)</f>
        <v>0</v>
      </c>
      <c r="CC65" s="478" t="n">
        <f aca="false">'Executive Summary'!$C$55/12*'Executive Summary'!$C$12*CC8*(CC4&lt;='Executive Summary'!$I$13)</f>
        <v>0</v>
      </c>
      <c r="CD65" s="478" t="n">
        <f aca="false">'Executive Summary'!$C$55/12*'Executive Summary'!$C$12*CD8*(CD4&lt;='Executive Summary'!$I$13)</f>
        <v>0</v>
      </c>
      <c r="CE65" s="478" t="n">
        <f aca="false">'Executive Summary'!$C$55/12*'Executive Summary'!$C$12*CE8*(CE4&lt;='Executive Summary'!$I$13)</f>
        <v>0</v>
      </c>
      <c r="CF65" s="478" t="n">
        <f aca="false">'Executive Summary'!$C$55/12*'Executive Summary'!$C$12*CF8*(CF4&lt;='Executive Summary'!$I$13)</f>
        <v>0</v>
      </c>
      <c r="CG65" s="478" t="n">
        <f aca="false">'Executive Summary'!$C$55/12*'Executive Summary'!$C$12*CG8*(CG4&lt;='Executive Summary'!$I$13)</f>
        <v>0</v>
      </c>
      <c r="CH65" s="478" t="n">
        <f aca="false">'Executive Summary'!$C$55/12*'Executive Summary'!$C$12*CH8*(CH4&lt;='Executive Summary'!$I$13)</f>
        <v>0</v>
      </c>
      <c r="CI65" s="478" t="n">
        <f aca="false">'Executive Summary'!$C$55/12*'Executive Summary'!$C$12*CI8*(CI4&lt;='Executive Summary'!$I$13)</f>
        <v>0</v>
      </c>
      <c r="CJ65" s="478" t="n">
        <f aca="false">'Executive Summary'!$C$55/12*'Executive Summary'!$C$12*CJ8*(CJ4&lt;='Executive Summary'!$I$13)</f>
        <v>0</v>
      </c>
      <c r="CK65" s="478" t="n">
        <f aca="false">'Executive Summary'!$C$55/12*'Executive Summary'!$C$12*CK8*(CK4&lt;='Executive Summary'!$I$13)</f>
        <v>0</v>
      </c>
      <c r="CL65" s="478" t="n">
        <f aca="false">'Executive Summary'!$C$55/12*'Executive Summary'!$C$12*CL8*(CL4&lt;='Executive Summary'!$I$13)</f>
        <v>0</v>
      </c>
      <c r="CM65" s="478" t="n">
        <f aca="false">'Executive Summary'!$C$55/12*'Executive Summary'!$C$12*CM8*(CM4&lt;='Executive Summary'!$I$13)</f>
        <v>0</v>
      </c>
      <c r="CN65" s="478" t="n">
        <f aca="false">'Executive Summary'!$C$55/12*'Executive Summary'!$C$12*CN8*(CN4&lt;='Executive Summary'!$I$13)</f>
        <v>0</v>
      </c>
      <c r="CO65" s="478" t="n">
        <f aca="false">'Executive Summary'!$C$55/12*'Executive Summary'!$C$12*CO8*(CO4&lt;='Executive Summary'!$I$13)</f>
        <v>0</v>
      </c>
      <c r="CP65" s="478" t="n">
        <f aca="false">'Executive Summary'!$C$55/12*'Executive Summary'!$C$12*CP8*(CP4&lt;='Executive Summary'!$I$13)</f>
        <v>0</v>
      </c>
      <c r="CQ65" s="478" t="n">
        <f aca="false">'Executive Summary'!$C$55/12*'Executive Summary'!$C$12*CQ8*(CQ4&lt;='Executive Summary'!$I$13)</f>
        <v>0</v>
      </c>
      <c r="CR65" s="478" t="n">
        <f aca="false">'Executive Summary'!$C$55/12*'Executive Summary'!$C$12*CR8*(CR4&lt;='Executive Summary'!$I$13)</f>
        <v>0</v>
      </c>
      <c r="CS65" s="478" t="n">
        <f aca="false">'Executive Summary'!$C$55/12*'Executive Summary'!$C$12*CS8*(CS4&lt;='Executive Summary'!$I$13)</f>
        <v>0</v>
      </c>
      <c r="CT65" s="478" t="n">
        <f aca="false">'Executive Summary'!$C$55/12*'Executive Summary'!$C$12*CT8*(CT4&lt;='Executive Summary'!$I$13)</f>
        <v>0</v>
      </c>
      <c r="CU65" s="478" t="n">
        <f aca="false">'Executive Summary'!$C$55/12*'Executive Summary'!$C$12*CU8*(CU4&lt;='Executive Summary'!$I$13)</f>
        <v>0</v>
      </c>
      <c r="CV65" s="478" t="n">
        <f aca="false">'Executive Summary'!$C$55/12*'Executive Summary'!$C$12*CV8*(CV4&lt;='Executive Summary'!$I$13)</f>
        <v>0</v>
      </c>
      <c r="CW65" s="478" t="n">
        <f aca="false">'Executive Summary'!$C$55/12*'Executive Summary'!$C$12*CW8*(CW4&lt;='Executive Summary'!$I$13)</f>
        <v>0</v>
      </c>
      <c r="CX65" s="478" t="n">
        <f aca="false">'Executive Summary'!$C$55/12*'Executive Summary'!$C$12*CX8*(CX4&lt;='Executive Summary'!$I$13)</f>
        <v>0</v>
      </c>
      <c r="CY65" s="478" t="n">
        <f aca="false">'Executive Summary'!$C$55/12*'Executive Summary'!$C$12*CY8*(CY4&lt;='Executive Summary'!$I$13)</f>
        <v>0</v>
      </c>
      <c r="CZ65" s="478" t="n">
        <f aca="false">'Executive Summary'!$C$55/12*'Executive Summary'!$C$12*CZ8*(CZ4&lt;='Executive Summary'!$I$13)</f>
        <v>0</v>
      </c>
      <c r="DA65" s="478" t="n">
        <f aca="false">'Executive Summary'!$C$55/12*'Executive Summary'!$C$12*DA8*(DA4&lt;='Executive Summary'!$I$13)</f>
        <v>0</v>
      </c>
      <c r="DB65" s="478" t="n">
        <f aca="false">'Executive Summary'!$C$55/12*'Executive Summary'!$C$12*DB8*(DB4&lt;='Executive Summary'!$I$13)</f>
        <v>0</v>
      </c>
      <c r="DC65" s="478" t="n">
        <f aca="false">'Executive Summary'!$C$55/12*'Executive Summary'!$C$12*DC8*(DC4&lt;='Executive Summary'!$I$13)</f>
        <v>0</v>
      </c>
      <c r="DD65" s="478" t="n">
        <f aca="false">'Executive Summary'!$C$55/12*'Executive Summary'!$C$12*DD8*(DD4&lt;='Executive Summary'!$I$13)</f>
        <v>0</v>
      </c>
      <c r="DE65" s="478" t="n">
        <f aca="false">'Executive Summary'!$C$55/12*'Executive Summary'!$C$12*DE8*(DE4&lt;='Executive Summary'!$I$13)</f>
        <v>0</v>
      </c>
      <c r="DF65" s="478" t="n">
        <f aca="false">'Executive Summary'!$C$55/12*'Executive Summary'!$C$12*DF8*(DF4&lt;='Executive Summary'!$I$13)</f>
        <v>0</v>
      </c>
      <c r="DG65" s="478" t="n">
        <f aca="false">'Executive Summary'!$C$55/12*'Executive Summary'!$C$12*DG8*(DG4&lt;='Executive Summary'!$I$13)</f>
        <v>0</v>
      </c>
      <c r="DH65" s="478" t="n">
        <f aca="false">'Executive Summary'!$C$55/12*'Executive Summary'!$C$12*DH8*(DH4&lt;='Executive Summary'!$I$13)</f>
        <v>0</v>
      </c>
      <c r="DI65" s="478" t="n">
        <f aca="false">'Executive Summary'!$C$55/12*'Executive Summary'!$C$12*DI8*(DI4&lt;='Executive Summary'!$I$13)</f>
        <v>0</v>
      </c>
      <c r="DJ65" s="478" t="n">
        <f aca="false">'Executive Summary'!$C$55/12*'Executive Summary'!$C$12*DJ8*(DJ4&lt;='Executive Summary'!$I$13)</f>
        <v>0</v>
      </c>
      <c r="DK65" s="478" t="n">
        <f aca="false">'Executive Summary'!$C$55/12*'Executive Summary'!$C$12*DK8*(DK4&lt;='Executive Summary'!$I$13)</f>
        <v>0</v>
      </c>
      <c r="DL65" s="478" t="n">
        <f aca="false">'Executive Summary'!$C$55/12*'Executive Summary'!$C$12*DL8*(DL4&lt;='Executive Summary'!$I$13)</f>
        <v>0</v>
      </c>
      <c r="DM65" s="478" t="n">
        <f aca="false">'Executive Summary'!$C$55/12*'Executive Summary'!$C$12*DM8*(DM4&lt;='Executive Summary'!$I$13)</f>
        <v>0</v>
      </c>
      <c r="DN65" s="478" t="n">
        <f aca="false">'Executive Summary'!$C$55/12*'Executive Summary'!$C$12*DN8*(DN4&lt;='Executive Summary'!$I$13)</f>
        <v>0</v>
      </c>
      <c r="DO65" s="478" t="n">
        <f aca="false">'Executive Summary'!$C$55/12*'Executive Summary'!$C$12*DO8*(DO4&lt;='Executive Summary'!$I$13)</f>
        <v>0</v>
      </c>
      <c r="DP65" s="478" t="n">
        <f aca="false">'Executive Summary'!$C$55/12*'Executive Summary'!$C$12*DP8*(DP4&lt;='Executive Summary'!$I$13)</f>
        <v>0</v>
      </c>
      <c r="DQ65" s="478" t="n">
        <f aca="false">'Executive Summary'!$C$55/12*'Executive Summary'!$C$12*DQ8*(DQ4&lt;='Executive Summary'!$I$13)</f>
        <v>0</v>
      </c>
      <c r="DR65" s="478" t="n">
        <f aca="false">'Executive Summary'!$C$55/12*'Executive Summary'!$C$12*DR8*(DR4&lt;='Executive Summary'!$I$13)</f>
        <v>0</v>
      </c>
      <c r="DS65" s="478" t="n">
        <f aca="false">'Executive Summary'!$C$55/12*'Executive Summary'!$C$12*DS8*(DS4&lt;='Executive Summary'!$I$13)</f>
        <v>0</v>
      </c>
      <c r="DT65" s="478" t="n">
        <f aca="false">'Executive Summary'!$C$55/12*'Executive Summary'!$C$12*DT8*(DT4&lt;='Executive Summary'!$I$13)</f>
        <v>0</v>
      </c>
      <c r="DU65" s="478" t="n">
        <f aca="false">'Executive Summary'!$C$55/12*'Executive Summary'!$C$12*DU8*(DU4&lt;='Executive Summary'!$I$13)</f>
        <v>0</v>
      </c>
      <c r="DV65" s="478" t="n">
        <f aca="false">'Executive Summary'!$C$55/12*'Executive Summary'!$C$12*DV8*(DV4&lt;='Executive Summary'!$I$13)</f>
        <v>0</v>
      </c>
      <c r="DW65" s="478" t="n">
        <f aca="false">'Executive Summary'!$C$55/12*'Executive Summary'!$C$12*DW8*(DW4&lt;='Executive Summary'!$I$13)</f>
        <v>0</v>
      </c>
      <c r="DX65" s="478" t="n">
        <f aca="false">'Executive Summary'!$C$55/12*'Executive Summary'!$C$12*DX8*(DX4&lt;='Executive Summary'!$I$13)</f>
        <v>0</v>
      </c>
      <c r="DY65" s="478" t="n">
        <f aca="false">'Executive Summary'!$C$55/12*'Executive Summary'!$C$12*DY8*(DY4&lt;='Executive Summary'!$I$13)</f>
        <v>0</v>
      </c>
      <c r="DZ65" s="478" t="n">
        <f aca="false">'Executive Summary'!$C$55/12*'Executive Summary'!$C$12*DZ8*(DZ4&lt;='Executive Summary'!$I$13)</f>
        <v>0</v>
      </c>
      <c r="EA65" s="478" t="n">
        <f aca="false">'Executive Summary'!$C$55/12*'Executive Summary'!$C$12*EA8*(EA4&lt;='Executive Summary'!$I$13)</f>
        <v>0</v>
      </c>
      <c r="EB65" s="478" t="n">
        <f aca="false">'Executive Summary'!$C$55/12*'Executive Summary'!$C$12*EB8*(EB4&lt;='Executive Summary'!$I$13)</f>
        <v>0</v>
      </c>
      <c r="EC65" s="478" t="n">
        <f aca="false">'Executive Summary'!$C$55/12*'Executive Summary'!$C$12*EC8*(EC4&lt;='Executive Summary'!$I$13)</f>
        <v>0</v>
      </c>
      <c r="ED65" s="478" t="n">
        <f aca="false">'Executive Summary'!$C$55/12*'Executive Summary'!$C$12*ED8*(ED4&lt;='Executive Summary'!$I$13)</f>
        <v>0</v>
      </c>
      <c r="EE65" s="478" t="n">
        <f aca="false">'Executive Summary'!$C$55/12*'Executive Summary'!$C$12*EE8*(EE4&lt;='Executive Summary'!$I$13)</f>
        <v>0</v>
      </c>
      <c r="EF65" s="478" t="n">
        <f aca="false">'Executive Summary'!$C$55/12*'Executive Summary'!$C$12*EF8*(EF4&lt;='Executive Summary'!$I$13)</f>
        <v>0</v>
      </c>
      <c r="EG65" s="478" t="n">
        <f aca="false">'Executive Summary'!$C$55/12*'Executive Summary'!$C$12*EG8*(EG4&lt;='Executive Summary'!$I$13)</f>
        <v>0</v>
      </c>
      <c r="EH65" s="478" t="n">
        <f aca="false">'Executive Summary'!$C$55/12*'Executive Summary'!$C$12*EH8*(EH4&lt;='Executive Summary'!$I$13)</f>
        <v>0</v>
      </c>
      <c r="EI65" s="479" t="n">
        <f aca="false">'Executive Summary'!$C$55/12*'Executive Summary'!$C$12*EI8*(EI4&lt;='Executive Summary'!$I$13)</f>
        <v>0</v>
      </c>
      <c r="EK65" s="549" t="n">
        <f aca="true">SUM(OFFSET($G65,0,EK$24*12-11,1,12))</f>
        <v>22237.6122840801</v>
      </c>
      <c r="EL65" s="478" t="n">
        <f aca="true">SUM(OFFSET($G65,0,EL$24*12-11,1,12))</f>
        <v>22682.3645297617</v>
      </c>
      <c r="EM65" s="478" t="n">
        <f aca="true">SUM(OFFSET($G65,0,EM$24*12-11,1,12))</f>
        <v>23136.011820357</v>
      </c>
      <c r="EN65" s="478" t="n">
        <f aca="true">SUM(OFFSET($G65,0,EN$24*12-11,1,12))</f>
        <v>23598.7320567641</v>
      </c>
      <c r="EO65" s="478" t="n">
        <f aca="true">SUM(OFFSET($G65,0,EO$24*12-11,1,12))</f>
        <v>24070.7066978994</v>
      </c>
      <c r="EP65" s="478" t="n">
        <f aca="true">SUM(OFFSET($G65,0,EP$24*12-11,1,12))</f>
        <v>0</v>
      </c>
      <c r="EQ65" s="478" t="n">
        <f aca="true">SUM(OFFSET($G65,0,EQ$24*12-11,1,12))</f>
        <v>0</v>
      </c>
      <c r="ER65" s="478" t="n">
        <f aca="true">SUM(OFFSET($G65,0,ER$24*12-11,1,12))</f>
        <v>0</v>
      </c>
      <c r="ES65" s="478" t="n">
        <f aca="true">SUM(OFFSET($G65,0,ES$24*12-11,1,12))</f>
        <v>0</v>
      </c>
      <c r="ET65" s="479" t="n">
        <f aca="true">SUM(OFFSET($G65,0,ET$24*12-11,1,12))</f>
        <v>0</v>
      </c>
    </row>
    <row r="66" s="550" customFormat="true" ht="13.5" hidden="false" customHeight="true" outlineLevel="0" collapsed="false">
      <c r="B66" s="543" t="s">
        <v>579</v>
      </c>
      <c r="C66" s="552"/>
      <c r="D66" s="473"/>
      <c r="E66" s="553" t="n">
        <f aca="true">SUM(OFFSET(G66,0,0,1,'Executive Summary'!$I$13+1))</f>
        <v>498975.427388862</v>
      </c>
      <c r="F66" s="473"/>
      <c r="G66" s="543" t="n">
        <f aca="false">SUM(G62:G65)</f>
        <v>383250</v>
      </c>
      <c r="H66" s="473" t="n">
        <f aca="false">SUM(H62:H65)</f>
        <v>1836.36123238685</v>
      </c>
      <c r="I66" s="473" t="n">
        <f aca="false">SUM(I62:I65)</f>
        <v>1839.39413226184</v>
      </c>
      <c r="J66" s="473" t="n">
        <f aca="false">SUM(J62:J65)</f>
        <v>1842.43204121754</v>
      </c>
      <c r="K66" s="473" t="n">
        <f aca="false">SUM(K62:K65)</f>
        <v>1845.47496752687</v>
      </c>
      <c r="L66" s="473" t="n">
        <f aca="false">SUM(L62:L65)</f>
        <v>1848.5229194764</v>
      </c>
      <c r="M66" s="473" t="n">
        <f aca="false">SUM(M62:M65)</f>
        <v>1851.57590536638</v>
      </c>
      <c r="N66" s="473" t="n">
        <f aca="false">SUM(N62:N65)</f>
        <v>1854.63393351077</v>
      </c>
      <c r="O66" s="473" t="n">
        <f aca="false">SUM(O62:O65)</f>
        <v>1857.69701223726</v>
      </c>
      <c r="P66" s="473" t="n">
        <f aca="false">SUM(P62:P65)</f>
        <v>1860.76514988731</v>
      </c>
      <c r="Q66" s="473" t="n">
        <f aca="false">SUM(Q62:Q65)</f>
        <v>1863.83835481613</v>
      </c>
      <c r="R66" s="473" t="n">
        <f aca="false">SUM(R62:R65)</f>
        <v>1866.91663539274</v>
      </c>
      <c r="S66" s="473" t="n">
        <f aca="false">SUM(S62:S65)</f>
        <v>1870</v>
      </c>
      <c r="T66" s="473" t="n">
        <f aca="false">SUM(T62:T65)</f>
        <v>1873.08845703459</v>
      </c>
      <c r="U66" s="473" t="n">
        <f aca="false">SUM(U62:U65)</f>
        <v>1876.18201490707</v>
      </c>
      <c r="V66" s="473" t="n">
        <f aca="false">SUM(V62:V65)</f>
        <v>1879.28068204189</v>
      </c>
      <c r="W66" s="473" t="n">
        <f aca="false">SUM(W62:W65)</f>
        <v>1882.38446687741</v>
      </c>
      <c r="X66" s="473" t="n">
        <f aca="false">SUM(X62:X65)</f>
        <v>1885.49337786593</v>
      </c>
      <c r="Y66" s="473" t="n">
        <f aca="false">SUM(Y62:Y65)</f>
        <v>1888.60742347371</v>
      </c>
      <c r="Z66" s="473" t="n">
        <f aca="false">SUM(Z62:Z65)</f>
        <v>1891.72661218099</v>
      </c>
      <c r="AA66" s="473" t="n">
        <f aca="false">SUM(AA62:AA65)</f>
        <v>1894.85095248201</v>
      </c>
      <c r="AB66" s="473" t="n">
        <f aca="false">SUM(AB62:AB65)</f>
        <v>1897.98045288505</v>
      </c>
      <c r="AC66" s="473" t="n">
        <f aca="false">SUM(AC62:AC65)</f>
        <v>1901.11512191245</v>
      </c>
      <c r="AD66" s="473" t="n">
        <f aca="false">SUM(AD62:AD65)</f>
        <v>1904.2549681006</v>
      </c>
      <c r="AE66" s="473" t="n">
        <f aca="false">SUM(AE62:AE65)</f>
        <v>1907.4</v>
      </c>
      <c r="AF66" s="473" t="n">
        <f aca="false">SUM(AF62:AF65)</f>
        <v>1910.55022617528</v>
      </c>
      <c r="AG66" s="473" t="n">
        <f aca="false">SUM(AG62:AG65)</f>
        <v>1913.70565520521</v>
      </c>
      <c r="AH66" s="473" t="n">
        <f aca="false">SUM(AH62:AH65)</f>
        <v>1916.86629568273</v>
      </c>
      <c r="AI66" s="473" t="n">
        <f aca="false">SUM(AI62:AI65)</f>
        <v>1920.03215621496</v>
      </c>
      <c r="AJ66" s="473" t="n">
        <f aca="false">SUM(AJ62:AJ65)</f>
        <v>1923.20324542325</v>
      </c>
      <c r="AK66" s="473" t="n">
        <f aca="false">SUM(AK62:AK65)</f>
        <v>1926.37957194319</v>
      </c>
      <c r="AL66" s="473" t="n">
        <f aca="false">SUM(AL62:AL65)</f>
        <v>1929.56114442461</v>
      </c>
      <c r="AM66" s="473" t="n">
        <f aca="false">SUM(AM62:AM65)</f>
        <v>1932.74797153165</v>
      </c>
      <c r="AN66" s="473" t="n">
        <f aca="false">SUM(AN62:AN65)</f>
        <v>1935.94006194276</v>
      </c>
      <c r="AO66" s="473" t="n">
        <f aca="false">SUM(AO62:AO65)</f>
        <v>1939.1374243507</v>
      </c>
      <c r="AP66" s="473" t="n">
        <f aca="false">SUM(AP62:AP65)</f>
        <v>1942.34006746261</v>
      </c>
      <c r="AQ66" s="473" t="n">
        <f aca="false">SUM(AQ62:AQ65)</f>
        <v>1945.548</v>
      </c>
      <c r="AR66" s="473" t="n">
        <f aca="false">SUM(AR62:AR65)</f>
        <v>1948.76123069879</v>
      </c>
      <c r="AS66" s="473" t="n">
        <f aca="false">SUM(AS62:AS65)</f>
        <v>1951.97976830932</v>
      </c>
      <c r="AT66" s="473" t="n">
        <f aca="false">SUM(AT62:AT65)</f>
        <v>1955.20362159639</v>
      </c>
      <c r="AU66" s="473" t="n">
        <f aca="false">SUM(AU62:AU65)</f>
        <v>1958.43279933926</v>
      </c>
      <c r="AV66" s="473" t="n">
        <f aca="false">SUM(AV62:AV65)</f>
        <v>1961.66731033172</v>
      </c>
      <c r="AW66" s="473" t="n">
        <f aca="false">SUM(AW62:AW65)</f>
        <v>1964.90716338205</v>
      </c>
      <c r="AX66" s="473" t="n">
        <f aca="false">SUM(AX62:AX65)</f>
        <v>1968.1523673131</v>
      </c>
      <c r="AY66" s="473" t="n">
        <f aca="false">SUM(AY62:AY65)</f>
        <v>1971.40293096229</v>
      </c>
      <c r="AZ66" s="473" t="n">
        <f aca="false">SUM(AZ62:AZ65)</f>
        <v>1974.65886318161</v>
      </c>
      <c r="BA66" s="473" t="n">
        <f aca="false">SUM(BA62:BA65)</f>
        <v>1977.92017283771</v>
      </c>
      <c r="BB66" s="473" t="n">
        <f aca="false">SUM(BB62:BB65)</f>
        <v>1981.18686881186</v>
      </c>
      <c r="BC66" s="473" t="n">
        <f aca="false">SUM(BC62:BC65)</f>
        <v>1984.45896</v>
      </c>
      <c r="BD66" s="473" t="n">
        <f aca="false">SUM(BD62:BD65)</f>
        <v>1987.73645531277</v>
      </c>
      <c r="BE66" s="473" t="n">
        <f aca="false">SUM(BE62:BE65)</f>
        <v>1991.01936367551</v>
      </c>
      <c r="BF66" s="473" t="n">
        <f aca="false">SUM(BF62:BF65)</f>
        <v>1994.30769402832</v>
      </c>
      <c r="BG66" s="473" t="n">
        <f aca="false">SUM(BG62:BG65)</f>
        <v>1997.60145532605</v>
      </c>
      <c r="BH66" s="473" t="n">
        <f aca="false">SUM(BH62:BH65)</f>
        <v>2000.90065653835</v>
      </c>
      <c r="BI66" s="473" t="n">
        <f aca="false">SUM(BI62:BI65)</f>
        <v>2004.20530664969</v>
      </c>
      <c r="BJ66" s="473" t="n">
        <f aca="false">SUM(BJ62:BJ65)</f>
        <v>2007.51541465936</v>
      </c>
      <c r="BK66" s="473" t="n">
        <f aca="false">SUM(BK62:BK65)</f>
        <v>2010.83098958153</v>
      </c>
      <c r="BL66" s="473" t="n">
        <f aca="false">SUM(BL62:BL65)</f>
        <v>2014.15204044525</v>
      </c>
      <c r="BM66" s="473" t="n">
        <f aca="false">SUM(BM62:BM65)</f>
        <v>2017.47857629447</v>
      </c>
      <c r="BN66" s="473" t="n">
        <f aca="false">SUM(BN62:BN65)</f>
        <v>2020.8106061881</v>
      </c>
      <c r="BO66" s="473" t="n">
        <f aca="false">SUM(BO62:BO65)</f>
        <v>2024.14813920001</v>
      </c>
      <c r="BP66" s="473" t="n">
        <f aca="false">SUM(BP62:BP65)</f>
        <v>0</v>
      </c>
      <c r="BQ66" s="473" t="n">
        <f aca="false">SUM(BQ62:BQ65)</f>
        <v>0</v>
      </c>
      <c r="BR66" s="473" t="n">
        <f aca="false">SUM(BR62:BR65)</f>
        <v>0</v>
      </c>
      <c r="BS66" s="473" t="n">
        <f aca="false">SUM(BS62:BS65)</f>
        <v>0</v>
      </c>
      <c r="BT66" s="473" t="n">
        <f aca="false">SUM(BT62:BT65)</f>
        <v>0</v>
      </c>
      <c r="BU66" s="473" t="n">
        <f aca="false">SUM(BU62:BU65)</f>
        <v>0</v>
      </c>
      <c r="BV66" s="473" t="n">
        <f aca="false">SUM(BV62:BV65)</f>
        <v>0</v>
      </c>
      <c r="BW66" s="473" t="n">
        <f aca="false">SUM(BW62:BW65)</f>
        <v>0</v>
      </c>
      <c r="BX66" s="473" t="n">
        <f aca="false">SUM(BX62:BX65)</f>
        <v>0</v>
      </c>
      <c r="BY66" s="473" t="n">
        <f aca="false">SUM(BY62:BY65)</f>
        <v>0</v>
      </c>
      <c r="BZ66" s="473" t="n">
        <f aca="false">SUM(BZ62:BZ65)</f>
        <v>0</v>
      </c>
      <c r="CA66" s="473" t="n">
        <f aca="false">SUM(CA62:CA65)</f>
        <v>0</v>
      </c>
      <c r="CB66" s="473" t="n">
        <f aca="false">SUM(CB62:CB65)</f>
        <v>0</v>
      </c>
      <c r="CC66" s="473" t="n">
        <f aca="false">SUM(CC62:CC65)</f>
        <v>0</v>
      </c>
      <c r="CD66" s="473" t="n">
        <f aca="false">SUM(CD62:CD65)</f>
        <v>0</v>
      </c>
      <c r="CE66" s="473" t="n">
        <f aca="false">SUM(CE62:CE65)</f>
        <v>0</v>
      </c>
      <c r="CF66" s="473" t="n">
        <f aca="false">SUM(CF62:CF65)</f>
        <v>0</v>
      </c>
      <c r="CG66" s="473" t="n">
        <f aca="false">SUM(CG62:CG65)</f>
        <v>0</v>
      </c>
      <c r="CH66" s="473" t="n">
        <f aca="false">SUM(CH62:CH65)</f>
        <v>0</v>
      </c>
      <c r="CI66" s="473" t="n">
        <f aca="false">SUM(CI62:CI65)</f>
        <v>0</v>
      </c>
      <c r="CJ66" s="473" t="n">
        <f aca="false">SUM(CJ62:CJ65)</f>
        <v>0</v>
      </c>
      <c r="CK66" s="473" t="n">
        <f aca="false">SUM(CK62:CK65)</f>
        <v>0</v>
      </c>
      <c r="CL66" s="473" t="n">
        <f aca="false">SUM(CL62:CL65)</f>
        <v>0</v>
      </c>
      <c r="CM66" s="473" t="n">
        <f aca="false">SUM(CM62:CM65)</f>
        <v>0</v>
      </c>
      <c r="CN66" s="473" t="n">
        <f aca="false">SUM(CN62:CN65)</f>
        <v>0</v>
      </c>
      <c r="CO66" s="473" t="n">
        <f aca="false">SUM(CO62:CO65)</f>
        <v>0</v>
      </c>
      <c r="CP66" s="473" t="n">
        <f aca="false">SUM(CP62:CP65)</f>
        <v>0</v>
      </c>
      <c r="CQ66" s="473" t="n">
        <f aca="false">SUM(CQ62:CQ65)</f>
        <v>0</v>
      </c>
      <c r="CR66" s="473" t="n">
        <f aca="false">SUM(CR62:CR65)</f>
        <v>0</v>
      </c>
      <c r="CS66" s="473" t="n">
        <f aca="false">SUM(CS62:CS65)</f>
        <v>0</v>
      </c>
      <c r="CT66" s="473" t="n">
        <f aca="false">SUM(CT62:CT65)</f>
        <v>0</v>
      </c>
      <c r="CU66" s="473" t="n">
        <f aca="false">SUM(CU62:CU65)</f>
        <v>0</v>
      </c>
      <c r="CV66" s="473" t="n">
        <f aca="false">SUM(CV62:CV65)</f>
        <v>0</v>
      </c>
      <c r="CW66" s="473" t="n">
        <f aca="false">SUM(CW62:CW65)</f>
        <v>0</v>
      </c>
      <c r="CX66" s="473" t="n">
        <f aca="false">SUM(CX62:CX65)</f>
        <v>0</v>
      </c>
      <c r="CY66" s="473" t="n">
        <f aca="false">SUM(CY62:CY65)</f>
        <v>0</v>
      </c>
      <c r="CZ66" s="473" t="n">
        <f aca="false">SUM(CZ62:CZ65)</f>
        <v>0</v>
      </c>
      <c r="DA66" s="473" t="n">
        <f aca="false">SUM(DA62:DA65)</f>
        <v>0</v>
      </c>
      <c r="DB66" s="473" t="n">
        <f aca="false">SUM(DB62:DB65)</f>
        <v>0</v>
      </c>
      <c r="DC66" s="473" t="n">
        <f aca="false">SUM(DC62:DC65)</f>
        <v>0</v>
      </c>
      <c r="DD66" s="473" t="n">
        <f aca="false">SUM(DD62:DD65)</f>
        <v>0</v>
      </c>
      <c r="DE66" s="473" t="n">
        <f aca="false">SUM(DE62:DE65)</f>
        <v>0</v>
      </c>
      <c r="DF66" s="473" t="n">
        <f aca="false">SUM(DF62:DF65)</f>
        <v>0</v>
      </c>
      <c r="DG66" s="473" t="n">
        <f aca="false">SUM(DG62:DG65)</f>
        <v>0</v>
      </c>
      <c r="DH66" s="473" t="n">
        <f aca="false">SUM(DH62:DH65)</f>
        <v>0</v>
      </c>
      <c r="DI66" s="473" t="n">
        <f aca="false">SUM(DI62:DI65)</f>
        <v>0</v>
      </c>
      <c r="DJ66" s="473" t="n">
        <f aca="false">SUM(DJ62:DJ65)</f>
        <v>0</v>
      </c>
      <c r="DK66" s="473" t="n">
        <f aca="false">SUM(DK62:DK65)</f>
        <v>0</v>
      </c>
      <c r="DL66" s="473" t="n">
        <f aca="false">SUM(DL62:DL65)</f>
        <v>0</v>
      </c>
      <c r="DM66" s="473" t="n">
        <f aca="false">SUM(DM62:DM65)</f>
        <v>0</v>
      </c>
      <c r="DN66" s="473" t="n">
        <f aca="false">SUM(DN62:DN65)</f>
        <v>0</v>
      </c>
      <c r="DO66" s="473" t="n">
        <f aca="false">SUM(DO62:DO65)</f>
        <v>0</v>
      </c>
      <c r="DP66" s="473" t="n">
        <f aca="false">SUM(DP62:DP65)</f>
        <v>0</v>
      </c>
      <c r="DQ66" s="473" t="n">
        <f aca="false">SUM(DQ62:DQ65)</f>
        <v>0</v>
      </c>
      <c r="DR66" s="473" t="n">
        <f aca="false">SUM(DR62:DR65)</f>
        <v>0</v>
      </c>
      <c r="DS66" s="473" t="n">
        <f aca="false">SUM(DS62:DS65)</f>
        <v>0</v>
      </c>
      <c r="DT66" s="473" t="n">
        <f aca="false">SUM(DT62:DT65)</f>
        <v>0</v>
      </c>
      <c r="DU66" s="473" t="n">
        <f aca="false">SUM(DU62:DU65)</f>
        <v>0</v>
      </c>
      <c r="DV66" s="473" t="n">
        <f aca="false">SUM(DV62:DV65)</f>
        <v>0</v>
      </c>
      <c r="DW66" s="473" t="n">
        <f aca="false">SUM(DW62:DW65)</f>
        <v>0</v>
      </c>
      <c r="DX66" s="473" t="n">
        <f aca="false">SUM(DX62:DX65)</f>
        <v>0</v>
      </c>
      <c r="DY66" s="473" t="n">
        <f aca="false">SUM(DY62:DY65)</f>
        <v>0</v>
      </c>
      <c r="DZ66" s="473" t="n">
        <f aca="false">SUM(DZ62:DZ65)</f>
        <v>0</v>
      </c>
      <c r="EA66" s="473" t="n">
        <f aca="false">SUM(EA62:EA65)</f>
        <v>0</v>
      </c>
      <c r="EB66" s="473" t="n">
        <f aca="false">SUM(EB62:EB65)</f>
        <v>0</v>
      </c>
      <c r="EC66" s="473" t="n">
        <f aca="false">SUM(EC62:EC65)</f>
        <v>0</v>
      </c>
      <c r="ED66" s="473" t="n">
        <f aca="false">SUM(ED62:ED65)</f>
        <v>0</v>
      </c>
      <c r="EE66" s="473" t="n">
        <f aca="false">SUM(EE62:EE65)</f>
        <v>0</v>
      </c>
      <c r="EF66" s="473" t="n">
        <f aca="false">SUM(EF62:EF65)</f>
        <v>0</v>
      </c>
      <c r="EG66" s="473" t="n">
        <f aca="false">SUM(EG62:EG65)</f>
        <v>0</v>
      </c>
      <c r="EH66" s="473" t="n">
        <f aca="false">SUM(EH62:EH65)</f>
        <v>0</v>
      </c>
      <c r="EI66" s="553" t="n">
        <f aca="false">SUM(EI62:EI65)</f>
        <v>0</v>
      </c>
      <c r="EK66" s="543" t="n">
        <f aca="false">SUM(EK62:EK65)</f>
        <v>22237.6122840801</v>
      </c>
      <c r="EL66" s="473" t="n">
        <f aca="false">SUM(EL62:EL65)</f>
        <v>22682.3645297617</v>
      </c>
      <c r="EM66" s="473" t="n">
        <f aca="false">SUM(EM62:EM65)</f>
        <v>23136.011820357</v>
      </c>
      <c r="EN66" s="473" t="n">
        <f aca="false">SUM(EN62:EN65)</f>
        <v>23598.7320567641</v>
      </c>
      <c r="EO66" s="473" t="n">
        <f aca="false">SUM(EO62:EO65)</f>
        <v>24070.7066978994</v>
      </c>
      <c r="EP66" s="473" t="n">
        <f aca="false">SUM(EP62:EP65)</f>
        <v>0</v>
      </c>
      <c r="EQ66" s="473" t="n">
        <f aca="false">SUM(EQ62:EQ65)</f>
        <v>0</v>
      </c>
      <c r="ER66" s="473" t="n">
        <f aca="false">SUM(ER62:ER65)</f>
        <v>0</v>
      </c>
      <c r="ES66" s="473" t="n">
        <f aca="false">SUM(ES62:ES65)</f>
        <v>0</v>
      </c>
      <c r="ET66" s="553" t="n">
        <f aca="false">SUM(ET62:ET65)</f>
        <v>0</v>
      </c>
    </row>
    <row r="67" s="522" customFormat="true" ht="13.5" hidden="false" customHeight="true" outlineLevel="0" collapsed="false">
      <c r="B67" s="513"/>
      <c r="C67" s="61"/>
      <c r="D67" s="421"/>
      <c r="E67" s="472"/>
      <c r="F67" s="421"/>
      <c r="G67" s="513"/>
      <c r="H67" s="421"/>
      <c r="I67" s="421"/>
      <c r="J67" s="421"/>
      <c r="K67" s="421"/>
      <c r="L67" s="421"/>
      <c r="M67" s="421"/>
      <c r="N67" s="421"/>
      <c r="O67" s="421"/>
      <c r="P67" s="421"/>
      <c r="Q67" s="421"/>
      <c r="R67" s="421"/>
      <c r="S67" s="421"/>
      <c r="T67" s="421"/>
      <c r="U67" s="421"/>
      <c r="V67" s="421"/>
      <c r="W67" s="421"/>
      <c r="X67" s="421"/>
      <c r="Y67" s="421"/>
      <c r="Z67" s="421"/>
      <c r="AA67" s="421"/>
      <c r="AB67" s="421"/>
      <c r="AC67" s="421"/>
      <c r="AD67" s="421"/>
      <c r="AE67" s="421"/>
      <c r="AF67" s="421"/>
      <c r="AG67" s="421"/>
      <c r="AH67" s="421"/>
      <c r="AI67" s="421"/>
      <c r="AJ67" s="421"/>
      <c r="AK67" s="421"/>
      <c r="AL67" s="421"/>
      <c r="AM67" s="421"/>
      <c r="AN67" s="421"/>
      <c r="AO67" s="421"/>
      <c r="AP67" s="421"/>
      <c r="AQ67" s="421"/>
      <c r="AR67" s="421"/>
      <c r="AS67" s="421"/>
      <c r="AT67" s="421"/>
      <c r="AU67" s="421"/>
      <c r="AV67" s="421"/>
      <c r="AW67" s="421"/>
      <c r="AX67" s="421"/>
      <c r="AY67" s="421"/>
      <c r="AZ67" s="421"/>
      <c r="BA67" s="421"/>
      <c r="BB67" s="421"/>
      <c r="BC67" s="421"/>
      <c r="BD67" s="421"/>
      <c r="BE67" s="421"/>
      <c r="BF67" s="421"/>
      <c r="BG67" s="421"/>
      <c r="BH67" s="421"/>
      <c r="BI67" s="421"/>
      <c r="BJ67" s="421"/>
      <c r="BK67" s="421"/>
      <c r="BL67" s="421"/>
      <c r="BM67" s="421"/>
      <c r="BN67" s="421"/>
      <c r="BO67" s="421"/>
      <c r="BP67" s="421"/>
      <c r="BQ67" s="421"/>
      <c r="BR67" s="421"/>
      <c r="BS67" s="421"/>
      <c r="BT67" s="421"/>
      <c r="BU67" s="421"/>
      <c r="BV67" s="421"/>
      <c r="BW67" s="421"/>
      <c r="BX67" s="421"/>
      <c r="BY67" s="421"/>
      <c r="BZ67" s="421"/>
      <c r="CA67" s="421"/>
      <c r="CB67" s="421"/>
      <c r="CC67" s="421"/>
      <c r="CD67" s="421"/>
      <c r="CE67" s="421"/>
      <c r="CF67" s="421"/>
      <c r="CG67" s="421"/>
      <c r="CH67" s="421"/>
      <c r="CI67" s="421"/>
      <c r="CJ67" s="421"/>
      <c r="CK67" s="421"/>
      <c r="CL67" s="421"/>
      <c r="CM67" s="421"/>
      <c r="CN67" s="421"/>
      <c r="CO67" s="421"/>
      <c r="CP67" s="421"/>
      <c r="CQ67" s="421"/>
      <c r="CR67" s="421"/>
      <c r="CS67" s="421"/>
      <c r="CT67" s="421"/>
      <c r="CU67" s="421"/>
      <c r="CV67" s="421"/>
      <c r="CW67" s="421"/>
      <c r="CX67" s="421"/>
      <c r="CY67" s="421"/>
      <c r="CZ67" s="421"/>
      <c r="DA67" s="421"/>
      <c r="DB67" s="421"/>
      <c r="DC67" s="421"/>
      <c r="DD67" s="421"/>
      <c r="DE67" s="421"/>
      <c r="DF67" s="421"/>
      <c r="DG67" s="421"/>
      <c r="DH67" s="421"/>
      <c r="DI67" s="421"/>
      <c r="DJ67" s="421"/>
      <c r="DK67" s="421"/>
      <c r="DL67" s="421"/>
      <c r="DM67" s="421"/>
      <c r="DN67" s="421"/>
      <c r="DO67" s="421"/>
      <c r="DP67" s="421"/>
      <c r="DQ67" s="421"/>
      <c r="DR67" s="421"/>
      <c r="DS67" s="421"/>
      <c r="DT67" s="421"/>
      <c r="DU67" s="421"/>
      <c r="DV67" s="421"/>
      <c r="DW67" s="421"/>
      <c r="DX67" s="421"/>
      <c r="DY67" s="421"/>
      <c r="DZ67" s="421"/>
      <c r="EA67" s="421"/>
      <c r="EB67" s="421"/>
      <c r="EC67" s="421"/>
      <c r="ED67" s="421"/>
      <c r="EE67" s="421"/>
      <c r="EF67" s="421"/>
      <c r="EG67" s="421"/>
      <c r="EH67" s="421"/>
      <c r="EI67" s="472"/>
      <c r="EK67" s="513"/>
      <c r="EL67" s="421"/>
      <c r="EM67" s="421"/>
      <c r="EN67" s="421"/>
      <c r="EO67" s="421"/>
      <c r="EP67" s="421"/>
      <c r="EQ67" s="421"/>
      <c r="ER67" s="421"/>
      <c r="ES67" s="421"/>
      <c r="ET67" s="472"/>
    </row>
    <row r="68" s="550" customFormat="true" ht="13.5" hidden="false" customHeight="true" outlineLevel="0" collapsed="false">
      <c r="B68" s="560" t="s">
        <v>580</v>
      </c>
      <c r="C68" s="86"/>
      <c r="D68" s="561"/>
      <c r="E68" s="562" t="n">
        <f aca="true">SUM(OFFSET(G68,0,0,1,'Executive Summary'!$I$13+1))</f>
        <v>2010615.62929534</v>
      </c>
      <c r="F68" s="473"/>
      <c r="G68" s="560" t="n">
        <f aca="false">(G55-G66)*(G4&lt;='Executive Summary'!$I$13)</f>
        <v>-383250</v>
      </c>
      <c r="H68" s="561" t="n">
        <f aca="false">(H55-H66)*(H4&lt;='Executive Summary'!$I$13)</f>
        <v>33566.9675677262</v>
      </c>
      <c r="I68" s="561" t="n">
        <f aca="false">(I55-I66)*(I4&lt;='Executive Summary'!$I$13)</f>
        <v>33881.3324795458</v>
      </c>
      <c r="J68" s="561" t="n">
        <f aca="false">(J55-J66)*(J4&lt;='Executive Summary'!$I$13)</f>
        <v>34293.6189069643</v>
      </c>
      <c r="K68" s="561" t="n">
        <f aca="false">(K55-K66)*(K4&lt;='Executive Summary'!$I$13)</f>
        <v>34612.5307386409</v>
      </c>
      <c r="L68" s="561" t="n">
        <f aca="false">(L55-L66)*(L4&lt;='Executive Summary'!$I$13)</f>
        <v>35030.2636871266</v>
      </c>
      <c r="M68" s="561" t="n">
        <f aca="false">(M55-M66)*(M4&lt;='Executive Summary'!$I$13)</f>
        <v>35354.5194852039</v>
      </c>
      <c r="N68" s="561" t="n">
        <f aca="false">(N55-N66)*(N4&lt;='Executive Summary'!$I$13)</f>
        <v>35777.7046814451</v>
      </c>
      <c r="O68" s="561" t="n">
        <f aca="false">(O55-O66)*(O4&lt;='Executive Summary'!$I$13)</f>
        <v>36107.3100597005</v>
      </c>
      <c r="P68" s="561" t="n">
        <f aca="false">(P55-P66)*(P4&lt;='Executive Summary'!$I$13)</f>
        <v>36535.9532358474</v>
      </c>
      <c r="Q68" s="561" t="n">
        <f aca="false">(Q55-Q66)*(Q4&lt;='Executive Summary'!$I$13)</f>
        <v>36870.9138133953</v>
      </c>
      <c r="R68" s="561" t="n">
        <f aca="false">(R55-R66)*(R4&lt;='Executive Summary'!$I$13)</f>
        <v>37305.0207070635</v>
      </c>
      <c r="S68" s="561" t="n">
        <f aca="false">(S55-S66)*(S4&lt;='Executive Summary'!$I$13)</f>
        <v>37645.3421083579</v>
      </c>
      <c r="T68" s="561" t="n">
        <f aca="false">(T55-T66)*(T4&lt;='Executive Summary'!$I$13)</f>
        <v>37400.0370720445</v>
      </c>
      <c r="U68" s="561" t="n">
        <f aca="false">(U55-U66)*(U4&lt;='Executive Summary'!$I$13)</f>
        <v>37586.9895832961</v>
      </c>
      <c r="V68" s="561" t="n">
        <f aca="false">(V55-V66)*(V4&lt;='Executive Summary'!$I$13)</f>
        <v>37689.0102387643</v>
      </c>
      <c r="W68" s="561" t="n">
        <f aca="false">(W55-W66)*(W4&lt;='Executive Summary'!$I$13)</f>
        <v>37898.2235958018</v>
      </c>
      <c r="X68" s="561" t="n">
        <f aca="false">(X55-X66)*(X4&lt;='Executive Summary'!$I$13)</f>
        <v>38022.47104903</v>
      </c>
      <c r="Y68" s="561" t="n">
        <f aca="false">(Y55-Y66)*(Y4&lt;='Executive Summary'!$I$13)</f>
        <v>38254.0880723647</v>
      </c>
      <c r="Z68" s="561" t="n">
        <f aca="false">(Z55-Z66)*(Z4&lt;='Executive Summary'!$I$13)</f>
        <v>38400.7054237251</v>
      </c>
      <c r="AA68" s="561" t="n">
        <f aca="false">(AA55-AA66)*(AA4&lt;='Executive Summary'!$I$13)</f>
        <v>38654.8697258128</v>
      </c>
      <c r="AB68" s="561" t="n">
        <f aca="false">(AB55-AB66)*(AB4&lt;='Executive Summary'!$I$13)</f>
        <v>38824.0008696311</v>
      </c>
      <c r="AC68" s="561" t="n">
        <f aca="false">(AC55-AC66)*(AC4&lt;='Executive Summary'!$I$13)</f>
        <v>39100.8568591485</v>
      </c>
      <c r="AD68" s="561" t="n">
        <f aca="false">(AD55-AD66)*(AD4&lt;='Executive Summary'!$I$13)</f>
        <v>39292.6464879907</v>
      </c>
      <c r="AE68" s="561" t="n">
        <f aca="false">(AE55-AE66)*(AE4&lt;='Executive Summary'!$I$13)</f>
        <v>39592.3393741345</v>
      </c>
      <c r="AF68" s="561" t="n">
        <f aca="false">(AF55-AF66)*(AF4&lt;='Executive Summary'!$I$13)</f>
        <v>39670.076142706</v>
      </c>
      <c r="AG68" s="561" t="n">
        <f aca="false">(AG55-AG66)*(AG4&lt;='Executive Summary'!$I$13)</f>
        <v>39801.0003946463</v>
      </c>
      <c r="AH68" s="561" t="n">
        <f aca="false">(AH55-AH66)*(AH4&lt;='Executive Summary'!$I$13)</f>
        <v>39931.1835461155</v>
      </c>
      <c r="AI68" s="561" t="n">
        <f aca="false">(AI55-AI66)*(AI4&lt;='Executive Summary'!$I$13)</f>
        <v>40060.6208910402</v>
      </c>
      <c r="AJ68" s="561" t="n">
        <f aca="false">(AJ55-AJ66)*(AJ4&lt;='Executive Summary'!$I$13)</f>
        <v>40189.3077039859</v>
      </c>
      <c r="AK68" s="561" t="n">
        <f aca="false">(AK55-AK66)*(AK4&lt;='Executive Summary'!$I$13)</f>
        <v>40317.2392400883</v>
      </c>
      <c r="AL68" s="561" t="n">
        <f aca="false">(AL55-AL66)*(AL4&lt;='Executive Summary'!$I$13)</f>
        <v>40444.4107349846</v>
      </c>
      <c r="AM68" s="561" t="n">
        <f aca="false">(AM55-AM66)*(AM4&lt;='Executive Summary'!$I$13)</f>
        <v>40570.8174047442</v>
      </c>
      <c r="AN68" s="561" t="n">
        <f aca="false">(AN55-AN66)*(AN4&lt;='Executive Summary'!$I$13)</f>
        <v>40696.4544457999</v>
      </c>
      <c r="AO68" s="561" t="n">
        <f aca="false">(AO55-AO66)*(AO4&lt;='Executive Summary'!$I$13)</f>
        <v>40827.9277788097</v>
      </c>
      <c r="AP68" s="561" t="n">
        <f aca="false">(AP55-AP66)*(AP4&lt;='Executive Summary'!$I$13)</f>
        <v>40945.4003289288</v>
      </c>
      <c r="AQ68" s="561" t="n">
        <f aca="false">(AQ55-AQ66)*(AQ4&lt;='Executive Summary'!$I$13)</f>
        <v>41068.6994650564</v>
      </c>
      <c r="AR68" s="561" t="n">
        <f aca="false">(AR55-AR66)*(AR4&lt;='Executive Summary'!$I$13)</f>
        <v>41140.7592109464</v>
      </c>
      <c r="AS68" s="561" t="n">
        <f aca="false">(AS55-AS66)*(AS4&lt;='Executive Summary'!$I$13)</f>
        <v>41264.7271089206</v>
      </c>
      <c r="AT68" s="561" t="n">
        <f aca="false">(AT55-AT66)*(AT4&lt;='Executive Summary'!$I$13)</f>
        <v>41389.0306994113</v>
      </c>
      <c r="AU68" s="561" t="n">
        <f aca="false">(AU55-AU66)*(AU4&lt;='Executive Summary'!$I$13)</f>
        <v>41513.6708597988</v>
      </c>
      <c r="AV68" s="561" t="n">
        <f aca="false">(AV55-AV66)*(AV4&lt;='Executive Summary'!$I$13)</f>
        <v>41638.6484697087</v>
      </c>
      <c r="AW68" s="561" t="n">
        <f aca="false">(AW55-AW66)*(AW4&lt;='Executive Summary'!$I$13)</f>
        <v>41763.964411018</v>
      </c>
      <c r="AX68" s="561" t="n">
        <f aca="false">(AX55-AX66)*(AX4&lt;='Executive Summary'!$I$13)</f>
        <v>41889.6195678607</v>
      </c>
      <c r="AY68" s="561" t="n">
        <f aca="false">(AY55-AY66)*(AY4&lt;='Executive Summary'!$I$13)</f>
        <v>42015.6148266331</v>
      </c>
      <c r="AZ68" s="561" t="n">
        <f aca="false">(AZ55-AZ66)*(AZ4&lt;='Executive Summary'!$I$13)</f>
        <v>42141.9510760002</v>
      </c>
      <c r="BA68" s="561" t="n">
        <f aca="false">(BA55-BA66)*(BA4&lt;='Executive Summary'!$I$13)</f>
        <v>42268.6292069009</v>
      </c>
      <c r="BB68" s="561" t="n">
        <f aca="false">(BB55-BB66)*(BB4&lt;='Executive Summary'!$I$13)</f>
        <v>42395.6501125539</v>
      </c>
      <c r="BC68" s="561" t="n">
        <f aca="false">(BC55-BC66)*(BC4&lt;='Executive Summary'!$I$13)</f>
        <v>42523.0146884636</v>
      </c>
      <c r="BD68" s="561" t="n">
        <f aca="false">(BD55-BD66)*(BD4&lt;='Executive Summary'!$I$13)</f>
        <v>42597.6032976765</v>
      </c>
      <c r="BE68" s="561" t="n">
        <f aca="false">(BE55-BE66)*(BE4&lt;='Executive Summary'!$I$13)</f>
        <v>42725.6579097835</v>
      </c>
      <c r="BF68" s="561" t="n">
        <f aca="false">(BF55-BF66)*(BF4&lt;='Executive Summary'!$I$13)</f>
        <v>42854.0588924315</v>
      </c>
      <c r="BG68" s="561" t="n">
        <f aca="false">(BG55-BG66)*(BG4&lt;='Executive Summary'!$I$13)</f>
        <v>42982.8071503247</v>
      </c>
      <c r="BH68" s="561" t="n">
        <f aca="false">(BH55-BH66)*(BH4&lt;='Executive Summary'!$I$13)</f>
        <v>43111.9035904823</v>
      </c>
      <c r="BI68" s="561" t="n">
        <f aca="false">(BI55-BI66)*(BI4&lt;='Executive Summary'!$I$13)</f>
        <v>43241.3491222438</v>
      </c>
      <c r="BJ68" s="561" t="n">
        <f aca="false">(BJ55-BJ66)*(BJ4&lt;='Executive Summary'!$I$13)</f>
        <v>43371.1446572751</v>
      </c>
      <c r="BK68" s="561" t="n">
        <f aca="false">(BK55-BK66)*(BK4&lt;='Executive Summary'!$I$13)</f>
        <v>43501.291109574</v>
      </c>
      <c r="BL68" s="561" t="n">
        <f aca="false">(BL55-BL66)*(BL4&lt;='Executive Summary'!$I$13)</f>
        <v>43631.7893954767</v>
      </c>
      <c r="BM68" s="561" t="n">
        <f aca="false">(BM55-BM66)*(BM4&lt;='Executive Summary'!$I$13)</f>
        <v>43762.640433663</v>
      </c>
      <c r="BN68" s="561" t="n">
        <f aca="false">(BN55-BN66)*(BN4&lt;='Executive Summary'!$I$13)</f>
        <v>43893.8451451629</v>
      </c>
      <c r="BO68" s="561" t="n">
        <f aca="false">(BO55-BO66)*(BO4&lt;='Executive Summary'!$I$13)</f>
        <v>44025.4044533621</v>
      </c>
      <c r="BP68" s="561" t="n">
        <f aca="false">(BP55-BP66)*(BP4&lt;='Executive Summary'!$I$13)</f>
        <v>0</v>
      </c>
      <c r="BQ68" s="561" t="n">
        <f aca="false">(BQ55-BQ66)*(BQ4&lt;='Executive Summary'!$I$13)</f>
        <v>0</v>
      </c>
      <c r="BR68" s="561" t="n">
        <f aca="false">(BR55-BR66)*(BR4&lt;='Executive Summary'!$I$13)</f>
        <v>0</v>
      </c>
      <c r="BS68" s="561" t="n">
        <f aca="false">(BS55-BS66)*(BS4&lt;='Executive Summary'!$I$13)</f>
        <v>0</v>
      </c>
      <c r="BT68" s="561" t="n">
        <f aca="false">(BT55-BT66)*(BT4&lt;='Executive Summary'!$I$13)</f>
        <v>0</v>
      </c>
      <c r="BU68" s="561" t="n">
        <f aca="false">(BU55-BU66)*(BU4&lt;='Executive Summary'!$I$13)</f>
        <v>0</v>
      </c>
      <c r="BV68" s="561" t="n">
        <f aca="false">(BV55-BV66)*(BV4&lt;='Executive Summary'!$I$13)</f>
        <v>0</v>
      </c>
      <c r="BW68" s="561" t="n">
        <f aca="false">(BW55-BW66)*(BW4&lt;='Executive Summary'!$I$13)</f>
        <v>0</v>
      </c>
      <c r="BX68" s="561" t="n">
        <f aca="false">(BX55-BX66)*(BX4&lt;='Executive Summary'!$I$13)</f>
        <v>0</v>
      </c>
      <c r="BY68" s="561" t="n">
        <f aca="false">(BY55-BY66)*(BY4&lt;='Executive Summary'!$I$13)</f>
        <v>0</v>
      </c>
      <c r="BZ68" s="561" t="n">
        <f aca="false">(BZ55-BZ66)*(BZ4&lt;='Executive Summary'!$I$13)</f>
        <v>0</v>
      </c>
      <c r="CA68" s="561" t="n">
        <f aca="false">(CA55-CA66)*(CA4&lt;='Executive Summary'!$I$13)</f>
        <v>0</v>
      </c>
      <c r="CB68" s="561" t="n">
        <f aca="false">(CB55-CB66)*(CB4&lt;='Executive Summary'!$I$13)</f>
        <v>0</v>
      </c>
      <c r="CC68" s="561" t="n">
        <f aca="false">(CC55-CC66)*(CC4&lt;='Executive Summary'!$I$13)</f>
        <v>0</v>
      </c>
      <c r="CD68" s="561" t="n">
        <f aca="false">(CD55-CD66)*(CD4&lt;='Executive Summary'!$I$13)</f>
        <v>0</v>
      </c>
      <c r="CE68" s="561" t="n">
        <f aca="false">(CE55-CE66)*(CE4&lt;='Executive Summary'!$I$13)</f>
        <v>0</v>
      </c>
      <c r="CF68" s="561" t="n">
        <f aca="false">(CF55-CF66)*(CF4&lt;='Executive Summary'!$I$13)</f>
        <v>0</v>
      </c>
      <c r="CG68" s="561" t="n">
        <f aca="false">(CG55-CG66)*(CG4&lt;='Executive Summary'!$I$13)</f>
        <v>0</v>
      </c>
      <c r="CH68" s="561" t="n">
        <f aca="false">(CH55-CH66)*(CH4&lt;='Executive Summary'!$I$13)</f>
        <v>0</v>
      </c>
      <c r="CI68" s="561" t="n">
        <f aca="false">(CI55-CI66)*(CI4&lt;='Executive Summary'!$I$13)</f>
        <v>0</v>
      </c>
      <c r="CJ68" s="561" t="n">
        <f aca="false">(CJ55-CJ66)*(CJ4&lt;='Executive Summary'!$I$13)</f>
        <v>0</v>
      </c>
      <c r="CK68" s="561" t="n">
        <f aca="false">(CK55-CK66)*(CK4&lt;='Executive Summary'!$I$13)</f>
        <v>0</v>
      </c>
      <c r="CL68" s="561" t="n">
        <f aca="false">(CL55-CL66)*(CL4&lt;='Executive Summary'!$I$13)</f>
        <v>0</v>
      </c>
      <c r="CM68" s="561" t="n">
        <f aca="false">(CM55-CM66)*(CM4&lt;='Executive Summary'!$I$13)</f>
        <v>0</v>
      </c>
      <c r="CN68" s="561" t="n">
        <f aca="false">(CN55-CN66)*(CN4&lt;='Executive Summary'!$I$13)</f>
        <v>0</v>
      </c>
      <c r="CO68" s="561" t="n">
        <f aca="false">(CO55-CO66)*(CO4&lt;='Executive Summary'!$I$13)</f>
        <v>0</v>
      </c>
      <c r="CP68" s="561" t="n">
        <f aca="false">(CP55-CP66)*(CP4&lt;='Executive Summary'!$I$13)</f>
        <v>0</v>
      </c>
      <c r="CQ68" s="561" t="n">
        <f aca="false">(CQ55-CQ66)*(CQ4&lt;='Executive Summary'!$I$13)</f>
        <v>0</v>
      </c>
      <c r="CR68" s="561" t="n">
        <f aca="false">(CR55-CR66)*(CR4&lt;='Executive Summary'!$I$13)</f>
        <v>0</v>
      </c>
      <c r="CS68" s="561" t="n">
        <f aca="false">(CS55-CS66)*(CS4&lt;='Executive Summary'!$I$13)</f>
        <v>0</v>
      </c>
      <c r="CT68" s="561" t="n">
        <f aca="false">(CT55-CT66)*(CT4&lt;='Executive Summary'!$I$13)</f>
        <v>0</v>
      </c>
      <c r="CU68" s="561" t="n">
        <f aca="false">(CU55-CU66)*(CU4&lt;='Executive Summary'!$I$13)</f>
        <v>0</v>
      </c>
      <c r="CV68" s="561" t="n">
        <f aca="false">(CV55-CV66)*(CV4&lt;='Executive Summary'!$I$13)</f>
        <v>0</v>
      </c>
      <c r="CW68" s="561" t="n">
        <f aca="false">(CW55-CW66)*(CW4&lt;='Executive Summary'!$I$13)</f>
        <v>0</v>
      </c>
      <c r="CX68" s="561" t="n">
        <f aca="false">(CX55-CX66)*(CX4&lt;='Executive Summary'!$I$13)</f>
        <v>0</v>
      </c>
      <c r="CY68" s="561" t="n">
        <f aca="false">(CY55-CY66)*(CY4&lt;='Executive Summary'!$I$13)</f>
        <v>0</v>
      </c>
      <c r="CZ68" s="561" t="n">
        <f aca="false">(CZ55-CZ66)*(CZ4&lt;='Executive Summary'!$I$13)</f>
        <v>0</v>
      </c>
      <c r="DA68" s="561" t="n">
        <f aca="false">(DA55-DA66)*(DA4&lt;='Executive Summary'!$I$13)</f>
        <v>0</v>
      </c>
      <c r="DB68" s="561" t="n">
        <f aca="false">(DB55-DB66)*(DB4&lt;='Executive Summary'!$I$13)</f>
        <v>0</v>
      </c>
      <c r="DC68" s="561" t="n">
        <f aca="false">(DC55-DC66)*(DC4&lt;='Executive Summary'!$I$13)</f>
        <v>0</v>
      </c>
      <c r="DD68" s="561" t="n">
        <f aca="false">(DD55-DD66)*(DD4&lt;='Executive Summary'!$I$13)</f>
        <v>0</v>
      </c>
      <c r="DE68" s="561" t="n">
        <f aca="false">(DE55-DE66)*(DE4&lt;='Executive Summary'!$I$13)</f>
        <v>0</v>
      </c>
      <c r="DF68" s="561" t="n">
        <f aca="false">(DF55-DF66)*(DF4&lt;='Executive Summary'!$I$13)</f>
        <v>0</v>
      </c>
      <c r="DG68" s="561" t="n">
        <f aca="false">(DG55-DG66)*(DG4&lt;='Executive Summary'!$I$13)</f>
        <v>0</v>
      </c>
      <c r="DH68" s="561" t="n">
        <f aca="false">(DH55-DH66)*(DH4&lt;='Executive Summary'!$I$13)</f>
        <v>0</v>
      </c>
      <c r="DI68" s="561" t="n">
        <f aca="false">(DI55-DI66)*(DI4&lt;='Executive Summary'!$I$13)</f>
        <v>0</v>
      </c>
      <c r="DJ68" s="561" t="n">
        <f aca="false">(DJ55-DJ66)*(DJ4&lt;='Executive Summary'!$I$13)</f>
        <v>0</v>
      </c>
      <c r="DK68" s="561" t="n">
        <f aca="false">(DK55-DK66)*(DK4&lt;='Executive Summary'!$I$13)</f>
        <v>0</v>
      </c>
      <c r="DL68" s="561" t="n">
        <f aca="false">(DL55-DL66)*(DL4&lt;='Executive Summary'!$I$13)</f>
        <v>0</v>
      </c>
      <c r="DM68" s="561" t="n">
        <f aca="false">(DM55-DM66)*(DM4&lt;='Executive Summary'!$I$13)</f>
        <v>0</v>
      </c>
      <c r="DN68" s="561" t="n">
        <f aca="false">(DN55-DN66)*(DN4&lt;='Executive Summary'!$I$13)</f>
        <v>0</v>
      </c>
      <c r="DO68" s="561" t="n">
        <f aca="false">(DO55-DO66)*(DO4&lt;='Executive Summary'!$I$13)</f>
        <v>0</v>
      </c>
      <c r="DP68" s="561" t="n">
        <f aca="false">(DP55-DP66)*(DP4&lt;='Executive Summary'!$I$13)</f>
        <v>0</v>
      </c>
      <c r="DQ68" s="561" t="n">
        <f aca="false">(DQ55-DQ66)*(DQ4&lt;='Executive Summary'!$I$13)</f>
        <v>0</v>
      </c>
      <c r="DR68" s="561" t="n">
        <f aca="false">(DR55-DR66)*(DR4&lt;='Executive Summary'!$I$13)</f>
        <v>0</v>
      </c>
      <c r="DS68" s="561" t="n">
        <f aca="false">(DS55-DS66)*(DS4&lt;='Executive Summary'!$I$13)</f>
        <v>0</v>
      </c>
      <c r="DT68" s="561" t="n">
        <f aca="false">(DT55-DT66)*(DT4&lt;='Executive Summary'!$I$13)</f>
        <v>0</v>
      </c>
      <c r="DU68" s="561" t="n">
        <f aca="false">(DU55-DU66)*(DU4&lt;='Executive Summary'!$I$13)</f>
        <v>0</v>
      </c>
      <c r="DV68" s="561" t="n">
        <f aca="false">(DV55-DV66)*(DV4&lt;='Executive Summary'!$I$13)</f>
        <v>0</v>
      </c>
      <c r="DW68" s="561" t="n">
        <f aca="false">(DW55-DW66)*(DW4&lt;='Executive Summary'!$I$13)</f>
        <v>0</v>
      </c>
      <c r="DX68" s="561" t="n">
        <f aca="false">(DX55-DX66)*(DX4&lt;='Executive Summary'!$I$13)</f>
        <v>0</v>
      </c>
      <c r="DY68" s="561" t="n">
        <f aca="false">(DY55-DY66)*(DY4&lt;='Executive Summary'!$I$13)</f>
        <v>0</v>
      </c>
      <c r="DZ68" s="561" t="n">
        <f aca="false">(DZ55-DZ66)*(DZ4&lt;='Executive Summary'!$I$13)</f>
        <v>0</v>
      </c>
      <c r="EA68" s="561" t="n">
        <f aca="false">(EA55-EA66)*(EA4&lt;='Executive Summary'!$I$13)</f>
        <v>0</v>
      </c>
      <c r="EB68" s="561" t="n">
        <f aca="false">(EB55-EB66)*(EB4&lt;='Executive Summary'!$I$13)</f>
        <v>0</v>
      </c>
      <c r="EC68" s="561" t="n">
        <f aca="false">(EC55-EC66)*(EC4&lt;='Executive Summary'!$I$13)</f>
        <v>0</v>
      </c>
      <c r="ED68" s="561" t="n">
        <f aca="false">(ED55-ED66)*(ED4&lt;='Executive Summary'!$I$13)</f>
        <v>0</v>
      </c>
      <c r="EE68" s="561" t="n">
        <f aca="false">(EE55-EE66)*(EE4&lt;='Executive Summary'!$I$13)</f>
        <v>0</v>
      </c>
      <c r="EF68" s="561" t="n">
        <f aca="false">(EF55-EF66)*(EF4&lt;='Executive Summary'!$I$13)</f>
        <v>0</v>
      </c>
      <c r="EG68" s="561" t="n">
        <f aca="false">(EG55-EG66)*(EG4&lt;='Executive Summary'!$I$13)</f>
        <v>0</v>
      </c>
      <c r="EH68" s="561" t="n">
        <f aca="false">(EH55-EH66)*(EH4&lt;='Executive Summary'!$I$13)</f>
        <v>0</v>
      </c>
      <c r="EI68" s="562" t="n">
        <f aca="false">(EI55-EI66)*(EI4&lt;='Executive Summary'!$I$13)</f>
        <v>0</v>
      </c>
      <c r="EK68" s="560" t="n">
        <f aca="true">SUM(OFFSET($G68,0,EK$24*12-11,1,12))</f>
        <v>426981.477471017</v>
      </c>
      <c r="EL68" s="561" t="n">
        <f aca="true">SUM(OFFSET($G68,0,EL$24*12-11,1,12))</f>
        <v>460716.238351744</v>
      </c>
      <c r="EM68" s="561" t="n">
        <f aca="true">SUM(OFFSET($G68,0,EM$24*12-11,1,12))</f>
        <v>484523.138076906</v>
      </c>
      <c r="EN68" s="561" t="n">
        <f aca="true">SUM(OFFSET($G68,0,EN$24*12-11,1,12))</f>
        <v>501945.280238216</v>
      </c>
      <c r="EO68" s="561" t="n">
        <f aca="true">SUM(OFFSET($G68,0,EO$24*12-11,1,12))</f>
        <v>519699.495157456</v>
      </c>
      <c r="EP68" s="561" t="n">
        <f aca="true">SUM(OFFSET($G68,0,EP$24*12-11,1,12))</f>
        <v>0</v>
      </c>
      <c r="EQ68" s="561" t="n">
        <f aca="true">SUM(OFFSET($G68,0,EQ$24*12-11,1,12))</f>
        <v>0</v>
      </c>
      <c r="ER68" s="561" t="n">
        <f aca="true">SUM(OFFSET($G68,0,ER$24*12-11,1,12))</f>
        <v>0</v>
      </c>
      <c r="ES68" s="561" t="n">
        <f aca="true">SUM(OFFSET($G68,0,ES$24*12-11,1,12))</f>
        <v>0</v>
      </c>
      <c r="ET68" s="562" t="n">
        <f aca="true">SUM(OFFSET($G68,0,ET$24*12-11,1,12))</f>
        <v>0</v>
      </c>
    </row>
    <row r="70" customFormat="false" ht="13.5" hidden="false" customHeight="true" outlineLevel="1" collapsed="false">
      <c r="B70" s="579" t="s">
        <v>581</v>
      </c>
      <c r="C70" s="580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1"/>
      <c r="Q70" s="581"/>
      <c r="R70" s="581"/>
      <c r="S70" s="581"/>
      <c r="T70" s="581"/>
      <c r="U70" s="581"/>
      <c r="V70" s="581"/>
      <c r="W70" s="581"/>
      <c r="X70" s="581"/>
      <c r="Y70" s="581"/>
      <c r="Z70" s="581"/>
      <c r="AA70" s="581"/>
      <c r="AB70" s="581"/>
      <c r="AC70" s="581"/>
      <c r="AD70" s="581"/>
      <c r="AE70" s="581"/>
      <c r="AF70" s="581"/>
      <c r="AG70" s="581"/>
      <c r="AH70" s="581"/>
      <c r="AI70" s="581"/>
      <c r="AJ70" s="581"/>
      <c r="AK70" s="581"/>
      <c r="AL70" s="581"/>
      <c r="AM70" s="581"/>
      <c r="AN70" s="581"/>
      <c r="AO70" s="581"/>
      <c r="AP70" s="581"/>
      <c r="AQ70" s="581"/>
      <c r="AR70" s="581"/>
      <c r="AS70" s="581"/>
      <c r="AT70" s="581"/>
      <c r="AU70" s="581"/>
      <c r="AV70" s="581"/>
      <c r="AW70" s="581"/>
      <c r="AX70" s="581"/>
      <c r="AY70" s="581"/>
      <c r="AZ70" s="581"/>
      <c r="BA70" s="581"/>
      <c r="BB70" s="581"/>
      <c r="BC70" s="581"/>
      <c r="BD70" s="581"/>
      <c r="BE70" s="581"/>
      <c r="BF70" s="581"/>
      <c r="BG70" s="581"/>
      <c r="BH70" s="581"/>
      <c r="BI70" s="581"/>
      <c r="BJ70" s="581"/>
      <c r="BK70" s="581"/>
      <c r="BL70" s="581"/>
      <c r="BM70" s="581"/>
      <c r="BN70" s="581"/>
      <c r="BO70" s="581"/>
      <c r="BP70" s="581"/>
      <c r="BQ70" s="581"/>
      <c r="BR70" s="581"/>
      <c r="BS70" s="581"/>
      <c r="BT70" s="581"/>
      <c r="BU70" s="581"/>
      <c r="BV70" s="581"/>
      <c r="BW70" s="581"/>
      <c r="BX70" s="581"/>
      <c r="BY70" s="581"/>
      <c r="BZ70" s="581"/>
      <c r="CA70" s="581"/>
      <c r="CB70" s="581"/>
      <c r="CC70" s="581"/>
      <c r="CD70" s="581"/>
      <c r="CE70" s="581"/>
      <c r="CF70" s="581"/>
      <c r="CG70" s="581"/>
      <c r="CH70" s="581"/>
      <c r="CI70" s="581"/>
      <c r="CJ70" s="581"/>
      <c r="CK70" s="581"/>
      <c r="CL70" s="581"/>
      <c r="CM70" s="581"/>
      <c r="CN70" s="581"/>
      <c r="CO70" s="581"/>
      <c r="CP70" s="581"/>
      <c r="CQ70" s="581"/>
      <c r="CR70" s="581"/>
      <c r="CS70" s="581"/>
      <c r="CT70" s="581"/>
      <c r="CU70" s="581"/>
      <c r="CV70" s="581"/>
      <c r="CW70" s="581"/>
      <c r="CX70" s="581"/>
      <c r="CY70" s="581"/>
      <c r="CZ70" s="581"/>
      <c r="DA70" s="581"/>
      <c r="DB70" s="581"/>
      <c r="DC70" s="581"/>
      <c r="DD70" s="581"/>
      <c r="DE70" s="581"/>
      <c r="DF70" s="581"/>
      <c r="DG70" s="581"/>
      <c r="DH70" s="581"/>
      <c r="DI70" s="581"/>
      <c r="DJ70" s="581"/>
      <c r="DK70" s="581"/>
      <c r="DL70" s="581"/>
      <c r="DM70" s="581"/>
      <c r="DN70" s="581"/>
      <c r="DO70" s="581"/>
      <c r="DP70" s="581"/>
      <c r="DQ70" s="581"/>
      <c r="DR70" s="581"/>
      <c r="DS70" s="581"/>
      <c r="DT70" s="581"/>
      <c r="DU70" s="581"/>
      <c r="DV70" s="581"/>
      <c r="DW70" s="581"/>
      <c r="DX70" s="581"/>
      <c r="DY70" s="581"/>
      <c r="DZ70" s="581"/>
      <c r="EA70" s="581"/>
      <c r="EB70" s="581"/>
      <c r="EC70" s="581"/>
      <c r="ED70" s="581"/>
      <c r="EE70" s="581"/>
      <c r="EF70" s="581"/>
      <c r="EG70" s="581"/>
      <c r="EH70" s="581"/>
      <c r="EI70" s="582"/>
      <c r="EK70" s="583"/>
      <c r="EL70" s="581"/>
      <c r="EM70" s="581"/>
      <c r="EN70" s="581"/>
      <c r="EO70" s="581"/>
      <c r="EP70" s="581"/>
      <c r="EQ70" s="581"/>
      <c r="ER70" s="581"/>
      <c r="ES70" s="581"/>
      <c r="ET70" s="582"/>
    </row>
    <row r="71" s="522" customFormat="true" ht="13.5" hidden="false" customHeight="true" outlineLevel="1" collapsed="false">
      <c r="B71" s="559" t="s">
        <v>582</v>
      </c>
      <c r="C71" s="557"/>
      <c r="E71" s="522" t="n">
        <f aca="true">SUM(OFFSET(G71,0,0,1,'Executive Summary'!$I$13+1))</f>
        <v>5200000</v>
      </c>
      <c r="G71" s="522" t="n">
        <f aca="false">G100</f>
        <v>5200000</v>
      </c>
      <c r="H71" s="522" t="n">
        <f aca="false">H100</f>
        <v>0</v>
      </c>
      <c r="I71" s="522" t="n">
        <f aca="false">I100</f>
        <v>0</v>
      </c>
      <c r="J71" s="522" t="n">
        <f aca="false">J100</f>
        <v>0</v>
      </c>
      <c r="K71" s="522" t="n">
        <f aca="false">K100</f>
        <v>0</v>
      </c>
      <c r="L71" s="522" t="n">
        <f aca="false">L100</f>
        <v>0</v>
      </c>
      <c r="M71" s="522" t="n">
        <f aca="false">M100</f>
        <v>0</v>
      </c>
      <c r="N71" s="522" t="n">
        <f aca="false">N100</f>
        <v>0</v>
      </c>
      <c r="O71" s="522" t="n">
        <f aca="false">O100</f>
        <v>0</v>
      </c>
      <c r="P71" s="522" t="n">
        <f aca="false">P100</f>
        <v>0</v>
      </c>
      <c r="Q71" s="522" t="n">
        <f aca="false">Q100</f>
        <v>0</v>
      </c>
      <c r="R71" s="522" t="n">
        <f aca="false">R100</f>
        <v>0</v>
      </c>
      <c r="S71" s="522" t="n">
        <f aca="false">S100</f>
        <v>0</v>
      </c>
      <c r="T71" s="522" t="n">
        <f aca="false">T100</f>
        <v>0</v>
      </c>
      <c r="U71" s="522" t="n">
        <f aca="false">U100</f>
        <v>0</v>
      </c>
      <c r="V71" s="522" t="n">
        <f aca="false">V100</f>
        <v>0</v>
      </c>
      <c r="W71" s="522" t="n">
        <f aca="false">W100</f>
        <v>0</v>
      </c>
      <c r="X71" s="522" t="n">
        <f aca="false">X100</f>
        <v>0</v>
      </c>
      <c r="Y71" s="522" t="n">
        <f aca="false">Y100</f>
        <v>0</v>
      </c>
      <c r="Z71" s="522" t="n">
        <f aca="false">Z100</f>
        <v>0</v>
      </c>
      <c r="AA71" s="522" t="n">
        <f aca="false">AA100</f>
        <v>0</v>
      </c>
      <c r="AB71" s="522" t="n">
        <f aca="false">AB100</f>
        <v>0</v>
      </c>
      <c r="AC71" s="522" t="n">
        <f aca="false">AC100</f>
        <v>0</v>
      </c>
      <c r="AD71" s="522" t="n">
        <f aca="false">AD100</f>
        <v>0</v>
      </c>
      <c r="AE71" s="522" t="n">
        <f aca="false">AE100</f>
        <v>0</v>
      </c>
      <c r="AF71" s="522" t="n">
        <f aca="false">AF100</f>
        <v>0</v>
      </c>
      <c r="AG71" s="522" t="n">
        <f aca="false">AG100</f>
        <v>0</v>
      </c>
      <c r="AH71" s="522" t="n">
        <f aca="false">AH100</f>
        <v>0</v>
      </c>
      <c r="AI71" s="522" t="n">
        <f aca="false">AI100</f>
        <v>0</v>
      </c>
      <c r="AJ71" s="522" t="n">
        <f aca="false">AJ100</f>
        <v>0</v>
      </c>
      <c r="AK71" s="522" t="n">
        <f aca="false">AK100</f>
        <v>0</v>
      </c>
      <c r="AL71" s="522" t="n">
        <f aca="false">AL100</f>
        <v>0</v>
      </c>
      <c r="AM71" s="522" t="n">
        <f aca="false">AM100</f>
        <v>0</v>
      </c>
      <c r="AN71" s="522" t="n">
        <f aca="false">AN100</f>
        <v>0</v>
      </c>
      <c r="AO71" s="522" t="n">
        <f aca="false">AO100</f>
        <v>0</v>
      </c>
      <c r="AP71" s="522" t="n">
        <f aca="false">AP100</f>
        <v>0</v>
      </c>
      <c r="AQ71" s="522" t="n">
        <f aca="false">AQ100</f>
        <v>0</v>
      </c>
      <c r="AR71" s="522" t="n">
        <f aca="false">AR100</f>
        <v>0</v>
      </c>
      <c r="AS71" s="522" t="n">
        <f aca="false">AS100</f>
        <v>0</v>
      </c>
      <c r="AT71" s="522" t="n">
        <f aca="false">AT100</f>
        <v>0</v>
      </c>
      <c r="AU71" s="522" t="n">
        <f aca="false">AU100</f>
        <v>0</v>
      </c>
      <c r="AV71" s="522" t="n">
        <f aca="false">AV100</f>
        <v>0</v>
      </c>
      <c r="AW71" s="522" t="n">
        <f aca="false">AW100</f>
        <v>0</v>
      </c>
      <c r="AX71" s="522" t="n">
        <f aca="false">AX100</f>
        <v>0</v>
      </c>
      <c r="AY71" s="522" t="n">
        <f aca="false">AY100</f>
        <v>0</v>
      </c>
      <c r="AZ71" s="522" t="n">
        <f aca="false">AZ100</f>
        <v>0</v>
      </c>
      <c r="BA71" s="522" t="n">
        <f aca="false">BA100</f>
        <v>0</v>
      </c>
      <c r="BB71" s="522" t="n">
        <f aca="false">BB100</f>
        <v>0</v>
      </c>
      <c r="BC71" s="522" t="n">
        <f aca="false">BC100</f>
        <v>0</v>
      </c>
      <c r="BD71" s="522" t="n">
        <f aca="false">BD100</f>
        <v>0</v>
      </c>
      <c r="BE71" s="522" t="n">
        <f aca="false">BE100</f>
        <v>0</v>
      </c>
      <c r="BF71" s="522" t="n">
        <f aca="false">BF100</f>
        <v>0</v>
      </c>
      <c r="BG71" s="522" t="n">
        <f aca="false">BG100</f>
        <v>0</v>
      </c>
      <c r="BH71" s="522" t="n">
        <f aca="false">BH100</f>
        <v>0</v>
      </c>
      <c r="BI71" s="522" t="n">
        <f aca="false">BI100</f>
        <v>0</v>
      </c>
      <c r="BJ71" s="522" t="n">
        <f aca="false">BJ100</f>
        <v>0</v>
      </c>
      <c r="BK71" s="522" t="n">
        <f aca="false">BK100</f>
        <v>0</v>
      </c>
      <c r="BL71" s="522" t="n">
        <f aca="false">BL100</f>
        <v>0</v>
      </c>
      <c r="BM71" s="522" t="n">
        <f aca="false">BM100</f>
        <v>0</v>
      </c>
      <c r="BN71" s="522" t="n">
        <f aca="false">BN100</f>
        <v>0</v>
      </c>
      <c r="BO71" s="522" t="n">
        <f aca="false">BO100</f>
        <v>0</v>
      </c>
      <c r="BP71" s="522" t="n">
        <f aca="false">BP100</f>
        <v>0</v>
      </c>
      <c r="BQ71" s="522" t="n">
        <f aca="false">BQ100</f>
        <v>0</v>
      </c>
      <c r="BR71" s="522" t="n">
        <f aca="false">BR100</f>
        <v>0</v>
      </c>
      <c r="BS71" s="522" t="n">
        <f aca="false">BS100</f>
        <v>0</v>
      </c>
      <c r="BT71" s="522" t="n">
        <f aca="false">BT100</f>
        <v>0</v>
      </c>
      <c r="BU71" s="522" t="n">
        <f aca="false">BU100</f>
        <v>0</v>
      </c>
      <c r="BV71" s="522" t="n">
        <f aca="false">BV100</f>
        <v>0</v>
      </c>
      <c r="BW71" s="522" t="n">
        <f aca="false">BW100</f>
        <v>0</v>
      </c>
      <c r="BX71" s="522" t="n">
        <f aca="false">BX100</f>
        <v>0</v>
      </c>
      <c r="BY71" s="522" t="n">
        <f aca="false">BY100</f>
        <v>0</v>
      </c>
      <c r="BZ71" s="522" t="n">
        <f aca="false">BZ100</f>
        <v>0</v>
      </c>
      <c r="CA71" s="522" t="n">
        <f aca="false">CA100</f>
        <v>0</v>
      </c>
      <c r="CB71" s="522" t="n">
        <f aca="false">CB100</f>
        <v>0</v>
      </c>
      <c r="CC71" s="522" t="n">
        <f aca="false">CC100</f>
        <v>0</v>
      </c>
      <c r="CD71" s="522" t="n">
        <f aca="false">CD100</f>
        <v>0</v>
      </c>
      <c r="CE71" s="522" t="n">
        <f aca="false">CE100</f>
        <v>0</v>
      </c>
      <c r="CF71" s="522" t="n">
        <f aca="false">CF100</f>
        <v>0</v>
      </c>
      <c r="CG71" s="522" t="n">
        <f aca="false">CG100</f>
        <v>0</v>
      </c>
      <c r="CH71" s="522" t="n">
        <f aca="false">CH100</f>
        <v>0</v>
      </c>
      <c r="CI71" s="522" t="n">
        <f aca="false">CI100</f>
        <v>0</v>
      </c>
      <c r="CJ71" s="522" t="n">
        <f aca="false">CJ100</f>
        <v>0</v>
      </c>
      <c r="CK71" s="522" t="n">
        <f aca="false">CK100</f>
        <v>0</v>
      </c>
      <c r="CL71" s="522" t="n">
        <f aca="false">CL100</f>
        <v>0</v>
      </c>
      <c r="CM71" s="522" t="n">
        <f aca="false">CM100</f>
        <v>0</v>
      </c>
      <c r="CN71" s="522" t="n">
        <f aca="false">CN100</f>
        <v>0</v>
      </c>
      <c r="CO71" s="522" t="n">
        <f aca="false">CO100</f>
        <v>0</v>
      </c>
      <c r="CP71" s="522" t="n">
        <f aca="false">CP100</f>
        <v>0</v>
      </c>
      <c r="CQ71" s="522" t="n">
        <f aca="false">CQ100</f>
        <v>0</v>
      </c>
      <c r="CR71" s="522" t="n">
        <f aca="false">CR100</f>
        <v>0</v>
      </c>
      <c r="CS71" s="522" t="n">
        <f aca="false">CS100</f>
        <v>0</v>
      </c>
      <c r="CT71" s="522" t="n">
        <f aca="false">CT100</f>
        <v>0</v>
      </c>
      <c r="CU71" s="522" t="n">
        <f aca="false">CU100</f>
        <v>0</v>
      </c>
      <c r="CV71" s="522" t="n">
        <f aca="false">CV100</f>
        <v>0</v>
      </c>
      <c r="CW71" s="522" t="n">
        <f aca="false">CW100</f>
        <v>0</v>
      </c>
      <c r="CX71" s="522" t="n">
        <f aca="false">CX100</f>
        <v>0</v>
      </c>
      <c r="CY71" s="522" t="n">
        <f aca="false">CY100</f>
        <v>0</v>
      </c>
      <c r="CZ71" s="522" t="n">
        <f aca="false">CZ100</f>
        <v>0</v>
      </c>
      <c r="DA71" s="522" t="n">
        <f aca="false">DA100</f>
        <v>0</v>
      </c>
      <c r="DB71" s="522" t="n">
        <f aca="false">DB100</f>
        <v>0</v>
      </c>
      <c r="DC71" s="522" t="n">
        <f aca="false">DC100</f>
        <v>0</v>
      </c>
      <c r="DD71" s="522" t="n">
        <f aca="false">DD100</f>
        <v>0</v>
      </c>
      <c r="DE71" s="522" t="n">
        <f aca="false">DE100</f>
        <v>0</v>
      </c>
      <c r="DF71" s="522" t="n">
        <f aca="false">DF100</f>
        <v>0</v>
      </c>
      <c r="DG71" s="522" t="n">
        <f aca="false">DG100</f>
        <v>0</v>
      </c>
      <c r="DH71" s="522" t="n">
        <f aca="false">DH100</f>
        <v>0</v>
      </c>
      <c r="DI71" s="522" t="n">
        <f aca="false">DI100</f>
        <v>0</v>
      </c>
      <c r="DJ71" s="522" t="n">
        <f aca="false">DJ100</f>
        <v>0</v>
      </c>
      <c r="DK71" s="522" t="n">
        <f aca="false">DK100</f>
        <v>0</v>
      </c>
      <c r="DL71" s="522" t="n">
        <f aca="false">DL100</f>
        <v>0</v>
      </c>
      <c r="DM71" s="522" t="n">
        <f aca="false">DM100</f>
        <v>0</v>
      </c>
      <c r="DN71" s="522" t="n">
        <f aca="false">DN100</f>
        <v>0</v>
      </c>
      <c r="DO71" s="522" t="n">
        <f aca="false">DO100</f>
        <v>0</v>
      </c>
      <c r="DP71" s="522" t="n">
        <f aca="false">DP100</f>
        <v>0</v>
      </c>
      <c r="DQ71" s="522" t="n">
        <f aca="false">DQ100</f>
        <v>0</v>
      </c>
      <c r="DR71" s="522" t="n">
        <f aca="false">DR100</f>
        <v>0</v>
      </c>
      <c r="DS71" s="522" t="n">
        <f aca="false">DS100</f>
        <v>0</v>
      </c>
      <c r="DT71" s="522" t="n">
        <f aca="false">DT100</f>
        <v>0</v>
      </c>
      <c r="DU71" s="522" t="n">
        <f aca="false">DU100</f>
        <v>0</v>
      </c>
      <c r="DV71" s="522" t="n">
        <f aca="false">DV100</f>
        <v>0</v>
      </c>
      <c r="DW71" s="522" t="n">
        <f aca="false">DW100</f>
        <v>0</v>
      </c>
      <c r="DX71" s="522" t="n">
        <f aca="false">DX100</f>
        <v>0</v>
      </c>
      <c r="DY71" s="522" t="n">
        <f aca="false">DY100</f>
        <v>0</v>
      </c>
      <c r="DZ71" s="522" t="n">
        <f aca="false">DZ100</f>
        <v>0</v>
      </c>
      <c r="EA71" s="522" t="n">
        <f aca="false">EA100</f>
        <v>0</v>
      </c>
      <c r="EB71" s="522" t="n">
        <f aca="false">EB100</f>
        <v>0</v>
      </c>
      <c r="EC71" s="522" t="n">
        <f aca="false">EC100</f>
        <v>0</v>
      </c>
      <c r="ED71" s="522" t="n">
        <f aca="false">ED100</f>
        <v>0</v>
      </c>
      <c r="EE71" s="522" t="n">
        <f aca="false">EE100</f>
        <v>0</v>
      </c>
      <c r="EF71" s="522" t="n">
        <f aca="false">EF100</f>
        <v>0</v>
      </c>
      <c r="EG71" s="522" t="n">
        <f aca="false">EG100</f>
        <v>0</v>
      </c>
      <c r="EH71" s="522" t="n">
        <f aca="false">EH100</f>
        <v>0</v>
      </c>
      <c r="EI71" s="558" t="n">
        <f aca="false">EI100</f>
        <v>0</v>
      </c>
      <c r="EK71" s="559" t="n">
        <f aca="true">SUM(OFFSET($G71,0,EK$24*12-11,1,12))</f>
        <v>0</v>
      </c>
      <c r="EL71" s="522" t="n">
        <f aca="true">SUM(OFFSET($G71,0,EL$24*12-11,1,12))</f>
        <v>0</v>
      </c>
      <c r="EM71" s="522" t="n">
        <f aca="true">SUM(OFFSET($G71,0,EM$24*12-11,1,12))</f>
        <v>0</v>
      </c>
      <c r="EN71" s="522" t="n">
        <f aca="true">SUM(OFFSET($G71,0,EN$24*12-11,1,12))</f>
        <v>0</v>
      </c>
      <c r="EO71" s="522" t="n">
        <f aca="true">SUM(OFFSET($G71,0,EO$24*12-11,1,12))</f>
        <v>0</v>
      </c>
      <c r="EP71" s="522" t="n">
        <f aca="true">SUM(OFFSET($G71,0,EP$24*12-11,1,12))</f>
        <v>0</v>
      </c>
      <c r="EQ71" s="522" t="n">
        <f aca="true">SUM(OFFSET($G71,0,EQ$24*12-11,1,12))</f>
        <v>0</v>
      </c>
      <c r="ER71" s="522" t="n">
        <f aca="true">SUM(OFFSET($G71,0,ER$24*12-11,1,12))</f>
        <v>0</v>
      </c>
      <c r="ES71" s="522" t="n">
        <f aca="true">SUM(OFFSET($G71,0,ES$24*12-11,1,12))</f>
        <v>0</v>
      </c>
      <c r="ET71" s="558" t="n">
        <f aca="true">SUM(OFFSET($G71,0,ET$24*12-11,1,12))</f>
        <v>0</v>
      </c>
    </row>
    <row r="72" s="522" customFormat="true" ht="13.5" hidden="false" customHeight="true" outlineLevel="1" collapsed="false">
      <c r="B72" s="559" t="s">
        <v>60</v>
      </c>
      <c r="C72" s="557"/>
      <c r="E72" s="522" t="n">
        <f aca="true">SUM(OFFSET(G72,0,0,1,'Executive Summary'!$I$13+1))</f>
        <v>-39000</v>
      </c>
      <c r="G72" s="522" t="n">
        <f aca="false">MAX(-'Executive Summary'!D44,-'Executive Summary'!D36-IF('Executive Summary'!L17=0,C139*'Executive Summary'!L18,0))</f>
        <v>-39000</v>
      </c>
      <c r="H72" s="522" t="n">
        <f aca="false">-($C$139*'Executive Summary'!$L$18)*('Executive Summary'!$L$17=H4)</f>
        <v>-0</v>
      </c>
      <c r="I72" s="522" t="n">
        <f aca="false">-($C$139*'Executive Summary'!$L$18)*('Executive Summary'!$L$17=I4)</f>
        <v>-0</v>
      </c>
      <c r="J72" s="522" t="n">
        <f aca="false">-($C$139*'Executive Summary'!$L$18)*('Executive Summary'!$L$17=J4)</f>
        <v>-0</v>
      </c>
      <c r="K72" s="522" t="n">
        <f aca="false">-($C$139*'Executive Summary'!$L$18)*('Executive Summary'!$L$17=K4)</f>
        <v>-0</v>
      </c>
      <c r="L72" s="522" t="n">
        <f aca="false">-($C$139*'Executive Summary'!$L$18)*('Executive Summary'!$L$17=L4)</f>
        <v>-0</v>
      </c>
      <c r="M72" s="522" t="n">
        <f aca="false">-($C$139*'Executive Summary'!$L$18)*('Executive Summary'!$L$17=M4)</f>
        <v>-0</v>
      </c>
      <c r="N72" s="522" t="n">
        <f aca="false">-($C$139*'Executive Summary'!$L$18)*('Executive Summary'!$L$17=N4)</f>
        <v>-0</v>
      </c>
      <c r="O72" s="522" t="n">
        <f aca="false">-($C$139*'Executive Summary'!$L$18)*('Executive Summary'!$L$17=O4)</f>
        <v>-0</v>
      </c>
      <c r="P72" s="522" t="n">
        <f aca="false">-($C$139*'Executive Summary'!$L$18)*('Executive Summary'!$L$17=P4)</f>
        <v>-0</v>
      </c>
      <c r="Q72" s="522" t="n">
        <f aca="false">-($C$139*'Executive Summary'!$L$18)*('Executive Summary'!$L$17=Q4)</f>
        <v>-0</v>
      </c>
      <c r="R72" s="522" t="n">
        <f aca="false">-($C$139*'Executive Summary'!$L$18)*('Executive Summary'!$L$17=R4)</f>
        <v>-0</v>
      </c>
      <c r="S72" s="522" t="n">
        <f aca="false">-($C$139*'Executive Summary'!$L$18)*('Executive Summary'!$L$17=S4)</f>
        <v>-0</v>
      </c>
      <c r="T72" s="522" t="n">
        <f aca="false">-($C$139*'Executive Summary'!$L$18)*('Executive Summary'!$L$17=T4)</f>
        <v>-0</v>
      </c>
      <c r="U72" s="522" t="n">
        <f aca="false">-($C$139*'Executive Summary'!$L$18)*('Executive Summary'!$L$17=U4)</f>
        <v>-0</v>
      </c>
      <c r="V72" s="522" t="n">
        <f aca="false">-($C$139*'Executive Summary'!$L$18)*('Executive Summary'!$L$17=V4)</f>
        <v>-0</v>
      </c>
      <c r="W72" s="522" t="n">
        <f aca="false">-($C$139*'Executive Summary'!$L$18)*('Executive Summary'!$L$17=W4)</f>
        <v>-0</v>
      </c>
      <c r="X72" s="522" t="n">
        <f aca="false">-($C$139*'Executive Summary'!$L$18)*('Executive Summary'!$L$17=X4)</f>
        <v>-0</v>
      </c>
      <c r="Y72" s="522" t="n">
        <f aca="false">-($C$139*'Executive Summary'!$L$18)*('Executive Summary'!$L$17=Y4)</f>
        <v>-0</v>
      </c>
      <c r="Z72" s="522" t="n">
        <f aca="false">-($C$139*'Executive Summary'!$L$18)*('Executive Summary'!$L$17=Z4)</f>
        <v>-0</v>
      </c>
      <c r="AA72" s="522" t="n">
        <f aca="false">-($C$139*'Executive Summary'!$L$18)*('Executive Summary'!$L$17=AA4)</f>
        <v>-0</v>
      </c>
      <c r="AB72" s="522" t="n">
        <f aca="false">-($C$139*'Executive Summary'!$L$18)*('Executive Summary'!$L$17=AB4)</f>
        <v>-0</v>
      </c>
      <c r="AC72" s="522" t="n">
        <f aca="false">-($C$139*'Executive Summary'!$L$18)*('Executive Summary'!$L$17=AC4)</f>
        <v>-0</v>
      </c>
      <c r="AD72" s="522" t="n">
        <f aca="false">-($C$139*'Executive Summary'!$L$18)*('Executive Summary'!$L$17=AD4)</f>
        <v>-0</v>
      </c>
      <c r="AE72" s="522" t="n">
        <f aca="false">-($C$139*'Executive Summary'!$L$18)*('Executive Summary'!$L$17=AE4)</f>
        <v>-0</v>
      </c>
      <c r="AF72" s="522" t="n">
        <f aca="false">-($C$139*'Executive Summary'!$L$18)*('Executive Summary'!$L$17=AF4)</f>
        <v>-0</v>
      </c>
      <c r="AG72" s="522" t="n">
        <f aca="false">-($C$139*'Executive Summary'!$L$18)*('Executive Summary'!$L$17=AG4)</f>
        <v>-0</v>
      </c>
      <c r="AH72" s="522" t="n">
        <f aca="false">-($C$139*'Executive Summary'!$L$18)*('Executive Summary'!$L$17=AH4)</f>
        <v>-0</v>
      </c>
      <c r="AI72" s="522" t="n">
        <f aca="false">-($C$139*'Executive Summary'!$L$18)*('Executive Summary'!$L$17=AI4)</f>
        <v>-0</v>
      </c>
      <c r="AJ72" s="522" t="n">
        <f aca="false">-($C$139*'Executive Summary'!$L$18)*('Executive Summary'!$L$17=AJ4)</f>
        <v>-0</v>
      </c>
      <c r="AK72" s="522" t="n">
        <f aca="false">-($C$139*'Executive Summary'!$L$18)*('Executive Summary'!$L$17=AK4)</f>
        <v>-0</v>
      </c>
      <c r="AL72" s="522" t="n">
        <f aca="false">-($C$139*'Executive Summary'!$L$18)*('Executive Summary'!$L$17=AL4)</f>
        <v>-0</v>
      </c>
      <c r="AM72" s="522" t="n">
        <f aca="false">-($C$139*'Executive Summary'!$L$18)*('Executive Summary'!$L$17=AM4)</f>
        <v>-0</v>
      </c>
      <c r="AN72" s="522" t="n">
        <f aca="false">-($C$139*'Executive Summary'!$L$18)*('Executive Summary'!$L$17=AN4)</f>
        <v>-0</v>
      </c>
      <c r="AO72" s="522" t="n">
        <f aca="false">-($C$139*'Executive Summary'!$L$18)*('Executive Summary'!$L$17=AO4)</f>
        <v>-0</v>
      </c>
      <c r="AP72" s="522" t="n">
        <f aca="false">-($C$139*'Executive Summary'!$L$18)*('Executive Summary'!$L$17=AP4)</f>
        <v>-0</v>
      </c>
      <c r="AQ72" s="522" t="n">
        <f aca="false">-($C$139*'Executive Summary'!$L$18)*('Executive Summary'!$L$17=AQ4)</f>
        <v>-0</v>
      </c>
      <c r="AR72" s="522" t="n">
        <f aca="false">-($C$139*'Executive Summary'!$L$18)*('Executive Summary'!$L$17=AR4)</f>
        <v>-0</v>
      </c>
      <c r="AS72" s="522" t="n">
        <f aca="false">-($C$139*'Executive Summary'!$L$18)*('Executive Summary'!$L$17=AS4)</f>
        <v>-0</v>
      </c>
      <c r="AT72" s="522" t="n">
        <f aca="false">-($C$139*'Executive Summary'!$L$18)*('Executive Summary'!$L$17=AT4)</f>
        <v>-0</v>
      </c>
      <c r="AU72" s="522" t="n">
        <f aca="false">-($C$139*'Executive Summary'!$L$18)*('Executive Summary'!$L$17=AU4)</f>
        <v>-0</v>
      </c>
      <c r="AV72" s="522" t="n">
        <f aca="false">-($C$139*'Executive Summary'!$L$18)*('Executive Summary'!$L$17=AV4)</f>
        <v>-0</v>
      </c>
      <c r="AW72" s="522" t="n">
        <f aca="false">-($C$139*'Executive Summary'!$L$18)*('Executive Summary'!$L$17=AW4)</f>
        <v>-0</v>
      </c>
      <c r="AX72" s="522" t="n">
        <f aca="false">-($C$139*'Executive Summary'!$L$18)*('Executive Summary'!$L$17=AX4)</f>
        <v>-0</v>
      </c>
      <c r="AY72" s="522" t="n">
        <f aca="false">-($C$139*'Executive Summary'!$L$18)*('Executive Summary'!$L$17=AY4)</f>
        <v>-0</v>
      </c>
      <c r="AZ72" s="522" t="n">
        <f aca="false">-($C$139*'Executive Summary'!$L$18)*('Executive Summary'!$L$17=AZ4)</f>
        <v>-0</v>
      </c>
      <c r="BA72" s="522" t="n">
        <f aca="false">-($C$139*'Executive Summary'!$L$18)*('Executive Summary'!$L$17=BA4)</f>
        <v>-0</v>
      </c>
      <c r="BB72" s="522" t="n">
        <f aca="false">-($C$139*'Executive Summary'!$L$18)*('Executive Summary'!$L$17=BB4)</f>
        <v>-0</v>
      </c>
      <c r="BC72" s="522" t="n">
        <f aca="false">-($C$139*'Executive Summary'!$L$18)*('Executive Summary'!$L$17=BC4)</f>
        <v>-0</v>
      </c>
      <c r="BD72" s="522" t="n">
        <f aca="false">-($C$139*'Executive Summary'!$L$18)*('Executive Summary'!$L$17=BD4)</f>
        <v>-0</v>
      </c>
      <c r="BE72" s="522" t="n">
        <f aca="false">-($C$139*'Executive Summary'!$L$18)*('Executive Summary'!$L$17=BE4)</f>
        <v>-0</v>
      </c>
      <c r="BF72" s="522" t="n">
        <f aca="false">-($C$139*'Executive Summary'!$L$18)*('Executive Summary'!$L$17=BF4)</f>
        <v>-0</v>
      </c>
      <c r="BG72" s="522" t="n">
        <f aca="false">-($C$139*'Executive Summary'!$L$18)*('Executive Summary'!$L$17=BG4)</f>
        <v>-0</v>
      </c>
      <c r="BH72" s="522" t="n">
        <f aca="false">-($C$139*'Executive Summary'!$L$18)*('Executive Summary'!$L$17=BH4)</f>
        <v>-0</v>
      </c>
      <c r="BI72" s="522" t="n">
        <f aca="false">-($C$139*'Executive Summary'!$L$18)*('Executive Summary'!$L$17=BI4)</f>
        <v>-0</v>
      </c>
      <c r="BJ72" s="522" t="n">
        <f aca="false">-($C$139*'Executive Summary'!$L$18)*('Executive Summary'!$L$17=BJ4)</f>
        <v>-0</v>
      </c>
      <c r="BK72" s="522" t="n">
        <f aca="false">-($C$139*'Executive Summary'!$L$18)*('Executive Summary'!$L$17=BK4)</f>
        <v>-0</v>
      </c>
      <c r="BL72" s="522" t="n">
        <f aca="false">-($C$139*'Executive Summary'!$L$18)*('Executive Summary'!$L$17=BL4)</f>
        <v>-0</v>
      </c>
      <c r="BM72" s="522" t="n">
        <f aca="false">-($C$139*'Executive Summary'!$L$18)*('Executive Summary'!$L$17=BM4)</f>
        <v>-0</v>
      </c>
      <c r="BN72" s="522" t="n">
        <f aca="false">-($C$139*'Executive Summary'!$L$18)*('Executive Summary'!$L$17=BN4)</f>
        <v>-0</v>
      </c>
      <c r="BO72" s="522" t="n">
        <f aca="false">-($C$139*'Executive Summary'!$L$18)*('Executive Summary'!$L$17=BO4)</f>
        <v>-0</v>
      </c>
      <c r="BP72" s="522" t="n">
        <f aca="false">-($C$139*'Executive Summary'!$L$18)*('Executive Summary'!$L$17=BP4)</f>
        <v>-0</v>
      </c>
      <c r="BQ72" s="522" t="n">
        <f aca="false">-($C$139*'Executive Summary'!$L$18)*('Executive Summary'!$L$17=BQ4)</f>
        <v>-0</v>
      </c>
      <c r="BR72" s="522" t="n">
        <f aca="false">-($C$139*'Executive Summary'!$L$18)*('Executive Summary'!$L$17=BR4)</f>
        <v>-0</v>
      </c>
      <c r="BS72" s="522" t="n">
        <f aca="false">-($C$139*'Executive Summary'!$L$18)*('Executive Summary'!$L$17=BS4)</f>
        <v>-0</v>
      </c>
      <c r="BT72" s="522" t="n">
        <f aca="false">-($C$139*'Executive Summary'!$L$18)*('Executive Summary'!$L$17=BT4)</f>
        <v>-0</v>
      </c>
      <c r="BU72" s="522" t="n">
        <f aca="false">-($C$139*'Executive Summary'!$L$18)*('Executive Summary'!$L$17=BU4)</f>
        <v>-0</v>
      </c>
      <c r="BV72" s="522" t="n">
        <f aca="false">-($C$139*'Executive Summary'!$L$18)*('Executive Summary'!$L$17=BV4)</f>
        <v>-0</v>
      </c>
      <c r="BW72" s="522" t="n">
        <f aca="false">-($C$139*'Executive Summary'!$L$18)*('Executive Summary'!$L$17=BW4)</f>
        <v>-0</v>
      </c>
      <c r="BX72" s="522" t="n">
        <f aca="false">-($C$139*'Executive Summary'!$L$18)*('Executive Summary'!$L$17=BX4)</f>
        <v>-0</v>
      </c>
      <c r="BY72" s="522" t="n">
        <f aca="false">-($C$139*'Executive Summary'!$L$18)*('Executive Summary'!$L$17=BY4)</f>
        <v>-0</v>
      </c>
      <c r="BZ72" s="522" t="n">
        <f aca="false">-($C$139*'Executive Summary'!$L$18)*('Executive Summary'!$L$17=BZ4)</f>
        <v>-0</v>
      </c>
      <c r="CA72" s="522" t="n">
        <f aca="false">-($C$139*'Executive Summary'!$L$18)*('Executive Summary'!$L$17=CA4)</f>
        <v>-0</v>
      </c>
      <c r="CB72" s="522" t="n">
        <f aca="false">-($C$139*'Executive Summary'!$L$18)*('Executive Summary'!$L$17=CB4)</f>
        <v>-0</v>
      </c>
      <c r="CC72" s="522" t="n">
        <f aca="false">-($C$139*'Executive Summary'!$L$18)*('Executive Summary'!$L$17=CC4)</f>
        <v>-0</v>
      </c>
      <c r="CD72" s="522" t="n">
        <f aca="false">-($C$139*'Executive Summary'!$L$18)*('Executive Summary'!$L$17=CD4)</f>
        <v>-0</v>
      </c>
      <c r="CE72" s="522" t="n">
        <f aca="false">-($C$139*'Executive Summary'!$L$18)*('Executive Summary'!$L$17=CE4)</f>
        <v>-0</v>
      </c>
      <c r="CF72" s="522" t="n">
        <f aca="false">-($C$139*'Executive Summary'!$L$18)*('Executive Summary'!$L$17=CF4)</f>
        <v>-0</v>
      </c>
      <c r="CG72" s="522" t="n">
        <f aca="false">-($C$139*'Executive Summary'!$L$18)*('Executive Summary'!$L$17=CG4)</f>
        <v>-0</v>
      </c>
      <c r="CH72" s="522" t="n">
        <f aca="false">-($C$139*'Executive Summary'!$L$18)*('Executive Summary'!$L$17=CH4)</f>
        <v>-0</v>
      </c>
      <c r="CI72" s="522" t="n">
        <f aca="false">-($C$139*'Executive Summary'!$L$18)*('Executive Summary'!$L$17=CI4)</f>
        <v>-0</v>
      </c>
      <c r="CJ72" s="522" t="n">
        <f aca="false">-($C$139*'Executive Summary'!$L$18)*('Executive Summary'!$L$17=CJ4)</f>
        <v>-0</v>
      </c>
      <c r="CK72" s="522" t="n">
        <f aca="false">-($C$139*'Executive Summary'!$L$18)*('Executive Summary'!$L$17=CK4)</f>
        <v>-0</v>
      </c>
      <c r="CL72" s="522" t="n">
        <f aca="false">-($C$139*'Executive Summary'!$L$18)*('Executive Summary'!$L$17=CL4)</f>
        <v>-0</v>
      </c>
      <c r="CM72" s="522" t="n">
        <f aca="false">-($C$139*'Executive Summary'!$L$18)*('Executive Summary'!$L$17=CM4)</f>
        <v>-0</v>
      </c>
      <c r="CN72" s="522" t="n">
        <f aca="false">-($C$139*'Executive Summary'!$L$18)*('Executive Summary'!$L$17=CN4)</f>
        <v>-0</v>
      </c>
      <c r="CO72" s="522" t="n">
        <f aca="false">-($C$139*'Executive Summary'!$L$18)*('Executive Summary'!$L$17=CO4)</f>
        <v>-0</v>
      </c>
      <c r="CP72" s="522" t="n">
        <f aca="false">-($C$139*'Executive Summary'!$L$18)*('Executive Summary'!$L$17=CP4)</f>
        <v>-0</v>
      </c>
      <c r="CQ72" s="522" t="n">
        <f aca="false">-($C$139*'Executive Summary'!$L$18)*('Executive Summary'!$L$17=CQ4)</f>
        <v>-0</v>
      </c>
      <c r="CR72" s="522" t="n">
        <f aca="false">-($C$139*'Executive Summary'!$L$18)*('Executive Summary'!$L$17=CR4)</f>
        <v>-0</v>
      </c>
      <c r="CS72" s="522" t="n">
        <f aca="false">-($C$139*'Executive Summary'!$L$18)*('Executive Summary'!$L$17=CS4)</f>
        <v>-0</v>
      </c>
      <c r="CT72" s="522" t="n">
        <f aca="false">-($C$139*'Executive Summary'!$L$18)*('Executive Summary'!$L$17=CT4)</f>
        <v>-0</v>
      </c>
      <c r="CU72" s="522" t="n">
        <f aca="false">-($C$139*'Executive Summary'!$L$18)*('Executive Summary'!$L$17=CU4)</f>
        <v>-0</v>
      </c>
      <c r="CV72" s="522" t="n">
        <f aca="false">-($C$139*'Executive Summary'!$L$18)*('Executive Summary'!$L$17=CV4)</f>
        <v>-0</v>
      </c>
      <c r="CW72" s="522" t="n">
        <f aca="false">-($C$139*'Executive Summary'!$L$18)*('Executive Summary'!$L$17=CW4)</f>
        <v>-0</v>
      </c>
      <c r="CX72" s="522" t="n">
        <f aca="false">-($C$139*'Executive Summary'!$L$18)*('Executive Summary'!$L$17=CX4)</f>
        <v>-0</v>
      </c>
      <c r="CY72" s="522" t="n">
        <f aca="false">-($C$139*'Executive Summary'!$L$18)*('Executive Summary'!$L$17=CY4)</f>
        <v>-0</v>
      </c>
      <c r="CZ72" s="522" t="n">
        <f aca="false">-($C$139*'Executive Summary'!$L$18)*('Executive Summary'!$L$17=CZ4)</f>
        <v>-0</v>
      </c>
      <c r="DA72" s="522" t="n">
        <f aca="false">-($C$139*'Executive Summary'!$L$18)*('Executive Summary'!$L$17=DA4)</f>
        <v>-0</v>
      </c>
      <c r="DB72" s="522" t="n">
        <f aca="false">-($C$139*'Executive Summary'!$L$18)*('Executive Summary'!$L$17=DB4)</f>
        <v>-0</v>
      </c>
      <c r="DC72" s="522" t="n">
        <f aca="false">-($C$139*'Executive Summary'!$L$18)*('Executive Summary'!$L$17=DC4)</f>
        <v>-0</v>
      </c>
      <c r="DD72" s="522" t="n">
        <f aca="false">-($C$139*'Executive Summary'!$L$18)*('Executive Summary'!$L$17=DD4)</f>
        <v>-0</v>
      </c>
      <c r="DE72" s="522" t="n">
        <f aca="false">-($C$139*'Executive Summary'!$L$18)*('Executive Summary'!$L$17=DE4)</f>
        <v>-0</v>
      </c>
      <c r="DF72" s="522" t="n">
        <f aca="false">-($C$139*'Executive Summary'!$L$18)*('Executive Summary'!$L$17=DF4)</f>
        <v>-0</v>
      </c>
      <c r="DG72" s="522" t="n">
        <f aca="false">-($C$139*'Executive Summary'!$L$18)*('Executive Summary'!$L$17=DG4)</f>
        <v>-0</v>
      </c>
      <c r="DH72" s="522" t="n">
        <f aca="false">-($C$139*'Executive Summary'!$L$18)*('Executive Summary'!$L$17=DH4)</f>
        <v>-0</v>
      </c>
      <c r="DI72" s="522" t="n">
        <f aca="false">-($C$139*'Executive Summary'!$L$18)*('Executive Summary'!$L$17=DI4)</f>
        <v>-0</v>
      </c>
      <c r="DJ72" s="522" t="n">
        <f aca="false">-($C$139*'Executive Summary'!$L$18)*('Executive Summary'!$L$17=DJ4)</f>
        <v>-0</v>
      </c>
      <c r="DK72" s="522" t="n">
        <f aca="false">-($C$139*'Executive Summary'!$L$18)*('Executive Summary'!$L$17=DK4)</f>
        <v>-0</v>
      </c>
      <c r="DL72" s="522" t="n">
        <f aca="false">-($C$139*'Executive Summary'!$L$18)*('Executive Summary'!$L$17=DL4)</f>
        <v>-0</v>
      </c>
      <c r="DM72" s="522" t="n">
        <f aca="false">-($C$139*'Executive Summary'!$L$18)*('Executive Summary'!$L$17=DM4)</f>
        <v>-0</v>
      </c>
      <c r="DN72" s="522" t="n">
        <f aca="false">-($C$139*'Executive Summary'!$L$18)*('Executive Summary'!$L$17=DN4)</f>
        <v>-0</v>
      </c>
      <c r="DO72" s="522" t="n">
        <f aca="false">-($C$139*'Executive Summary'!$L$18)*('Executive Summary'!$L$17=DO4)</f>
        <v>-0</v>
      </c>
      <c r="DP72" s="522" t="n">
        <f aca="false">-($C$139*'Executive Summary'!$L$18)*('Executive Summary'!$L$17=DP4)</f>
        <v>-0</v>
      </c>
      <c r="DQ72" s="522" t="n">
        <f aca="false">-($C$139*'Executive Summary'!$L$18)*('Executive Summary'!$L$17=DQ4)</f>
        <v>-0</v>
      </c>
      <c r="DR72" s="522" t="n">
        <f aca="false">-($C$139*'Executive Summary'!$L$18)*('Executive Summary'!$L$17=DR4)</f>
        <v>-0</v>
      </c>
      <c r="DS72" s="522" t="n">
        <f aca="false">-($C$139*'Executive Summary'!$L$18)*('Executive Summary'!$L$17=DS4)</f>
        <v>-0</v>
      </c>
      <c r="DT72" s="522" t="n">
        <f aca="false">-($C$139*'Executive Summary'!$L$18)*('Executive Summary'!$L$17=DT4)</f>
        <v>-0</v>
      </c>
      <c r="DU72" s="522" t="n">
        <f aca="false">-($C$139*'Executive Summary'!$L$18)*('Executive Summary'!$L$17=DU4)</f>
        <v>-0</v>
      </c>
      <c r="DV72" s="522" t="n">
        <f aca="false">-($C$139*'Executive Summary'!$L$18)*('Executive Summary'!$L$17=DV4)</f>
        <v>-0</v>
      </c>
      <c r="DW72" s="522" t="n">
        <f aca="false">-($C$139*'Executive Summary'!$L$18)*('Executive Summary'!$L$17=DW4)</f>
        <v>-0</v>
      </c>
      <c r="DX72" s="522" t="n">
        <f aca="false">-($C$139*'Executive Summary'!$L$18)*('Executive Summary'!$L$17=DX4)</f>
        <v>-0</v>
      </c>
      <c r="DY72" s="522" t="n">
        <f aca="false">-($C$139*'Executive Summary'!$L$18)*('Executive Summary'!$L$17=DY4)</f>
        <v>-0</v>
      </c>
      <c r="DZ72" s="522" t="n">
        <f aca="false">-($C$139*'Executive Summary'!$L$18)*('Executive Summary'!$L$17=DZ4)</f>
        <v>-0</v>
      </c>
      <c r="EA72" s="522" t="n">
        <f aca="false">-($C$139*'Executive Summary'!$L$18)*('Executive Summary'!$L$17=EA4)</f>
        <v>-0</v>
      </c>
      <c r="EB72" s="522" t="n">
        <f aca="false">-($C$139*'Executive Summary'!$L$18)*('Executive Summary'!$L$17=EB4)</f>
        <v>-0</v>
      </c>
      <c r="EC72" s="522" t="n">
        <f aca="false">-($C$139*'Executive Summary'!$L$18)*('Executive Summary'!$L$17=EC4)</f>
        <v>-0</v>
      </c>
      <c r="ED72" s="522" t="n">
        <f aca="false">-($C$139*'Executive Summary'!$L$18)*('Executive Summary'!$L$17=ED4)</f>
        <v>-0</v>
      </c>
      <c r="EE72" s="522" t="n">
        <f aca="false">-($C$139*'Executive Summary'!$L$18)*('Executive Summary'!$L$17=EE4)</f>
        <v>-0</v>
      </c>
      <c r="EF72" s="522" t="n">
        <f aca="false">-($C$139*'Executive Summary'!$L$18)*('Executive Summary'!$L$17=EF4)</f>
        <v>-0</v>
      </c>
      <c r="EG72" s="522" t="n">
        <f aca="false">-($C$139*'Executive Summary'!$L$18)*('Executive Summary'!$L$17=EG4)</f>
        <v>-0</v>
      </c>
      <c r="EH72" s="522" t="n">
        <f aca="false">-($C$139*'Executive Summary'!$L$18)*('Executive Summary'!$L$17=EH4)</f>
        <v>-0</v>
      </c>
      <c r="EI72" s="558" t="n">
        <f aca="false">-($C$139*'Executive Summary'!$L$18)*('Executive Summary'!$L$17=EI4)</f>
        <v>-0</v>
      </c>
      <c r="EK72" s="559" t="n">
        <f aca="true">SUM(OFFSET($G72,0,EK$24*12-11,1,12))</f>
        <v>0</v>
      </c>
      <c r="EL72" s="522" t="n">
        <f aca="true">SUM(OFFSET($G72,0,EL$24*12-11,1,12))</f>
        <v>0</v>
      </c>
      <c r="EM72" s="522" t="n">
        <f aca="true">SUM(OFFSET($G72,0,EM$24*12-11,1,12))</f>
        <v>0</v>
      </c>
      <c r="EN72" s="522" t="n">
        <f aca="true">SUM(OFFSET($G72,0,EN$24*12-11,1,12))</f>
        <v>0</v>
      </c>
      <c r="EO72" s="522" t="n">
        <f aca="true">SUM(OFFSET($G72,0,EO$24*12-11,1,12))</f>
        <v>0</v>
      </c>
      <c r="EP72" s="522" t="n">
        <f aca="true">SUM(OFFSET($G72,0,EP$24*12-11,1,12))</f>
        <v>0</v>
      </c>
      <c r="EQ72" s="522" t="n">
        <f aca="true">SUM(OFFSET($G72,0,EQ$24*12-11,1,12))</f>
        <v>0</v>
      </c>
      <c r="ER72" s="522" t="n">
        <f aca="true">SUM(OFFSET($G72,0,ER$24*12-11,1,12))</f>
        <v>0</v>
      </c>
      <c r="ES72" s="522" t="n">
        <f aca="true">SUM(OFFSET($G72,0,ES$24*12-11,1,12))</f>
        <v>0</v>
      </c>
      <c r="ET72" s="558" t="n">
        <f aca="true">SUM(OFFSET($G72,0,ET$24*12-11,1,12))</f>
        <v>0</v>
      </c>
    </row>
    <row r="73" s="522" customFormat="true" ht="13.5" hidden="false" customHeight="true" outlineLevel="1" collapsed="false">
      <c r="B73" s="559" t="s">
        <v>161</v>
      </c>
      <c r="C73" s="557"/>
      <c r="E73" s="522" t="n">
        <f aca="true">SUM(OFFSET(G73,0,0,1,'Executive Summary'!$I$13+1))</f>
        <v>0</v>
      </c>
      <c r="G73" s="522" t="n">
        <f aca="false">-'Executive Summary'!$D$43</f>
        <v>-16000</v>
      </c>
      <c r="H73" s="522" t="n">
        <f aca="false">'Executive Summary'!$D$43*(H4='Executive Summary'!$I$13)</f>
        <v>0</v>
      </c>
      <c r="I73" s="522" t="n">
        <f aca="false">'Executive Summary'!$D$43*(I4='Executive Summary'!$I$13)</f>
        <v>0</v>
      </c>
      <c r="J73" s="522" t="n">
        <f aca="false">'Executive Summary'!$D$43*(J4='Executive Summary'!$I$13)</f>
        <v>0</v>
      </c>
      <c r="K73" s="522" t="n">
        <f aca="false">'Executive Summary'!$D$43*(K4='Executive Summary'!$I$13)</f>
        <v>0</v>
      </c>
      <c r="L73" s="522" t="n">
        <f aca="false">'Executive Summary'!$D$43*(L4='Executive Summary'!$I$13)</f>
        <v>0</v>
      </c>
      <c r="M73" s="522" t="n">
        <f aca="false">'Executive Summary'!$D$43*(M4='Executive Summary'!$I$13)</f>
        <v>0</v>
      </c>
      <c r="N73" s="522" t="n">
        <f aca="false">'Executive Summary'!$D$43*(N4='Executive Summary'!$I$13)</f>
        <v>0</v>
      </c>
      <c r="O73" s="522" t="n">
        <f aca="false">'Executive Summary'!$D$43*(O4='Executive Summary'!$I$13)</f>
        <v>0</v>
      </c>
      <c r="P73" s="522" t="n">
        <f aca="false">'Executive Summary'!$D$43*(P4='Executive Summary'!$I$13)</f>
        <v>0</v>
      </c>
      <c r="Q73" s="522" t="n">
        <f aca="false">'Executive Summary'!$D$43*(Q4='Executive Summary'!$I$13)</f>
        <v>0</v>
      </c>
      <c r="R73" s="522" t="n">
        <f aca="false">'Executive Summary'!$D$43*(R4='Executive Summary'!$I$13)</f>
        <v>0</v>
      </c>
      <c r="S73" s="522" t="n">
        <f aca="false">'Executive Summary'!$D$43*(S4='Executive Summary'!$I$13)</f>
        <v>0</v>
      </c>
      <c r="T73" s="522" t="n">
        <f aca="false">'Executive Summary'!$D$43*(T4='Executive Summary'!$I$13)</f>
        <v>0</v>
      </c>
      <c r="U73" s="522" t="n">
        <f aca="false">'Executive Summary'!$D$43*(U4='Executive Summary'!$I$13)</f>
        <v>0</v>
      </c>
      <c r="V73" s="522" t="n">
        <f aca="false">'Executive Summary'!$D$43*(V4='Executive Summary'!$I$13)</f>
        <v>0</v>
      </c>
      <c r="W73" s="522" t="n">
        <f aca="false">'Executive Summary'!$D$43*(W4='Executive Summary'!$I$13)</f>
        <v>0</v>
      </c>
      <c r="X73" s="522" t="n">
        <f aca="false">'Executive Summary'!$D$43*(X4='Executive Summary'!$I$13)</f>
        <v>0</v>
      </c>
      <c r="Y73" s="522" t="n">
        <f aca="false">'Executive Summary'!$D$43*(Y4='Executive Summary'!$I$13)</f>
        <v>0</v>
      </c>
      <c r="Z73" s="522" t="n">
        <f aca="false">'Executive Summary'!$D$43*(Z4='Executive Summary'!$I$13)</f>
        <v>0</v>
      </c>
      <c r="AA73" s="522" t="n">
        <f aca="false">'Executive Summary'!$D$43*(AA4='Executive Summary'!$I$13)</f>
        <v>0</v>
      </c>
      <c r="AB73" s="522" t="n">
        <f aca="false">'Executive Summary'!$D$43*(AB4='Executive Summary'!$I$13)</f>
        <v>0</v>
      </c>
      <c r="AC73" s="522" t="n">
        <f aca="false">'Executive Summary'!$D$43*(AC4='Executive Summary'!$I$13)</f>
        <v>0</v>
      </c>
      <c r="AD73" s="522" t="n">
        <f aca="false">'Executive Summary'!$D$43*(AD4='Executive Summary'!$I$13)</f>
        <v>0</v>
      </c>
      <c r="AE73" s="522" t="n">
        <f aca="false">'Executive Summary'!$D$43*(AE4='Executive Summary'!$I$13)</f>
        <v>0</v>
      </c>
      <c r="AF73" s="522" t="n">
        <f aca="false">'Executive Summary'!$D$43*(AF4='Executive Summary'!$I$13)</f>
        <v>0</v>
      </c>
      <c r="AG73" s="522" t="n">
        <f aca="false">'Executive Summary'!$D$43*(AG4='Executive Summary'!$I$13)</f>
        <v>0</v>
      </c>
      <c r="AH73" s="522" t="n">
        <f aca="false">'Executive Summary'!$D$43*(AH4='Executive Summary'!$I$13)</f>
        <v>0</v>
      </c>
      <c r="AI73" s="522" t="n">
        <f aca="false">'Executive Summary'!$D$43*(AI4='Executive Summary'!$I$13)</f>
        <v>0</v>
      </c>
      <c r="AJ73" s="522" t="n">
        <f aca="false">'Executive Summary'!$D$43*(AJ4='Executive Summary'!$I$13)</f>
        <v>0</v>
      </c>
      <c r="AK73" s="522" t="n">
        <f aca="false">'Executive Summary'!$D$43*(AK4='Executive Summary'!$I$13)</f>
        <v>0</v>
      </c>
      <c r="AL73" s="522" t="n">
        <f aca="false">'Executive Summary'!$D$43*(AL4='Executive Summary'!$I$13)</f>
        <v>0</v>
      </c>
      <c r="AM73" s="522" t="n">
        <f aca="false">'Executive Summary'!$D$43*(AM4='Executive Summary'!$I$13)</f>
        <v>0</v>
      </c>
      <c r="AN73" s="522" t="n">
        <f aca="false">'Executive Summary'!$D$43*(AN4='Executive Summary'!$I$13)</f>
        <v>0</v>
      </c>
      <c r="AO73" s="522" t="n">
        <f aca="false">'Executive Summary'!$D$43*(AO4='Executive Summary'!$I$13)</f>
        <v>0</v>
      </c>
      <c r="AP73" s="522" t="n">
        <f aca="false">'Executive Summary'!$D$43*(AP4='Executive Summary'!$I$13)</f>
        <v>0</v>
      </c>
      <c r="AQ73" s="522" t="n">
        <f aca="false">'Executive Summary'!$D$43*(AQ4='Executive Summary'!$I$13)</f>
        <v>0</v>
      </c>
      <c r="AR73" s="522" t="n">
        <f aca="false">'Executive Summary'!$D$43*(AR4='Executive Summary'!$I$13)</f>
        <v>0</v>
      </c>
      <c r="AS73" s="522" t="n">
        <f aca="false">'Executive Summary'!$D$43*(AS4='Executive Summary'!$I$13)</f>
        <v>0</v>
      </c>
      <c r="AT73" s="522" t="n">
        <f aca="false">'Executive Summary'!$D$43*(AT4='Executive Summary'!$I$13)</f>
        <v>0</v>
      </c>
      <c r="AU73" s="522" t="n">
        <f aca="false">'Executive Summary'!$D$43*(AU4='Executive Summary'!$I$13)</f>
        <v>0</v>
      </c>
      <c r="AV73" s="522" t="n">
        <f aca="false">'Executive Summary'!$D$43*(AV4='Executive Summary'!$I$13)</f>
        <v>0</v>
      </c>
      <c r="AW73" s="522" t="n">
        <f aca="false">'Executive Summary'!$D$43*(AW4='Executive Summary'!$I$13)</f>
        <v>0</v>
      </c>
      <c r="AX73" s="522" t="n">
        <f aca="false">'Executive Summary'!$D$43*(AX4='Executive Summary'!$I$13)</f>
        <v>0</v>
      </c>
      <c r="AY73" s="522" t="n">
        <f aca="false">'Executive Summary'!$D$43*(AY4='Executive Summary'!$I$13)</f>
        <v>0</v>
      </c>
      <c r="AZ73" s="522" t="n">
        <f aca="false">'Executive Summary'!$D$43*(AZ4='Executive Summary'!$I$13)</f>
        <v>0</v>
      </c>
      <c r="BA73" s="522" t="n">
        <f aca="false">'Executive Summary'!$D$43*(BA4='Executive Summary'!$I$13)</f>
        <v>0</v>
      </c>
      <c r="BB73" s="522" t="n">
        <f aca="false">'Executive Summary'!$D$43*(BB4='Executive Summary'!$I$13)</f>
        <v>0</v>
      </c>
      <c r="BC73" s="522" t="n">
        <f aca="false">'Executive Summary'!$D$43*(BC4='Executive Summary'!$I$13)</f>
        <v>0</v>
      </c>
      <c r="BD73" s="522" t="n">
        <f aca="false">'Executive Summary'!$D$43*(BD4='Executive Summary'!$I$13)</f>
        <v>0</v>
      </c>
      <c r="BE73" s="522" t="n">
        <f aca="false">'Executive Summary'!$D$43*(BE4='Executive Summary'!$I$13)</f>
        <v>0</v>
      </c>
      <c r="BF73" s="522" t="n">
        <f aca="false">'Executive Summary'!$D$43*(BF4='Executive Summary'!$I$13)</f>
        <v>0</v>
      </c>
      <c r="BG73" s="522" t="n">
        <f aca="false">'Executive Summary'!$D$43*(BG4='Executive Summary'!$I$13)</f>
        <v>0</v>
      </c>
      <c r="BH73" s="522" t="n">
        <f aca="false">'Executive Summary'!$D$43*(BH4='Executive Summary'!$I$13)</f>
        <v>0</v>
      </c>
      <c r="BI73" s="522" t="n">
        <f aca="false">'Executive Summary'!$D$43*(BI4='Executive Summary'!$I$13)</f>
        <v>0</v>
      </c>
      <c r="BJ73" s="522" t="n">
        <f aca="false">'Executive Summary'!$D$43*(BJ4='Executive Summary'!$I$13)</f>
        <v>0</v>
      </c>
      <c r="BK73" s="522" t="n">
        <f aca="false">'Executive Summary'!$D$43*(BK4='Executive Summary'!$I$13)</f>
        <v>0</v>
      </c>
      <c r="BL73" s="522" t="n">
        <f aca="false">'Executive Summary'!$D$43*(BL4='Executive Summary'!$I$13)</f>
        <v>0</v>
      </c>
      <c r="BM73" s="522" t="n">
        <f aca="false">'Executive Summary'!$D$43*(BM4='Executive Summary'!$I$13)</f>
        <v>0</v>
      </c>
      <c r="BN73" s="522" t="n">
        <f aca="false">'Executive Summary'!$D$43*(BN4='Executive Summary'!$I$13)</f>
        <v>0</v>
      </c>
      <c r="BO73" s="522" t="n">
        <f aca="false">'Executive Summary'!$D$43*(BO4='Executive Summary'!$I$13)</f>
        <v>16000</v>
      </c>
      <c r="BP73" s="522" t="n">
        <f aca="false">'Executive Summary'!$D$43*(BP4='Executive Summary'!$I$13)</f>
        <v>0</v>
      </c>
      <c r="BQ73" s="522" t="n">
        <f aca="false">'Executive Summary'!$D$43*(BQ4='Executive Summary'!$I$13)</f>
        <v>0</v>
      </c>
      <c r="BR73" s="522" t="n">
        <f aca="false">'Executive Summary'!$D$43*(BR4='Executive Summary'!$I$13)</f>
        <v>0</v>
      </c>
      <c r="BS73" s="522" t="n">
        <f aca="false">'Executive Summary'!$D$43*(BS4='Executive Summary'!$I$13)</f>
        <v>0</v>
      </c>
      <c r="BT73" s="522" t="n">
        <f aca="false">'Executive Summary'!$D$43*(BT4='Executive Summary'!$I$13)</f>
        <v>0</v>
      </c>
      <c r="BU73" s="522" t="n">
        <f aca="false">'Executive Summary'!$D$43*(BU4='Executive Summary'!$I$13)</f>
        <v>0</v>
      </c>
      <c r="BV73" s="522" t="n">
        <f aca="false">'Executive Summary'!$D$43*(BV4='Executive Summary'!$I$13)</f>
        <v>0</v>
      </c>
      <c r="BW73" s="522" t="n">
        <f aca="false">'Executive Summary'!$D$43*(BW4='Executive Summary'!$I$13)</f>
        <v>0</v>
      </c>
      <c r="BX73" s="522" t="n">
        <f aca="false">'Executive Summary'!$D$43*(BX4='Executive Summary'!$I$13)</f>
        <v>0</v>
      </c>
      <c r="BY73" s="522" t="n">
        <f aca="false">'Executive Summary'!$D$43*(BY4='Executive Summary'!$I$13)</f>
        <v>0</v>
      </c>
      <c r="BZ73" s="522" t="n">
        <f aca="false">'Executive Summary'!$D$43*(BZ4='Executive Summary'!$I$13)</f>
        <v>0</v>
      </c>
      <c r="CA73" s="522" t="n">
        <f aca="false">'Executive Summary'!$D$43*(CA4='Executive Summary'!$I$13)</f>
        <v>0</v>
      </c>
      <c r="CB73" s="522" t="n">
        <f aca="false">'Executive Summary'!$D$43*(CB4='Executive Summary'!$I$13)</f>
        <v>0</v>
      </c>
      <c r="CC73" s="522" t="n">
        <f aca="false">'Executive Summary'!$D$43*(CC4='Executive Summary'!$I$13)</f>
        <v>0</v>
      </c>
      <c r="CD73" s="522" t="n">
        <f aca="false">'Executive Summary'!$D$43*(CD4='Executive Summary'!$I$13)</f>
        <v>0</v>
      </c>
      <c r="CE73" s="522" t="n">
        <f aca="false">'Executive Summary'!$D$43*(CE4='Executive Summary'!$I$13)</f>
        <v>0</v>
      </c>
      <c r="CF73" s="522" t="n">
        <f aca="false">'Executive Summary'!$D$43*(CF4='Executive Summary'!$I$13)</f>
        <v>0</v>
      </c>
      <c r="CG73" s="522" t="n">
        <f aca="false">'Executive Summary'!$D$43*(CG4='Executive Summary'!$I$13)</f>
        <v>0</v>
      </c>
      <c r="CH73" s="522" t="n">
        <f aca="false">'Executive Summary'!$D$43*(CH4='Executive Summary'!$I$13)</f>
        <v>0</v>
      </c>
      <c r="CI73" s="522" t="n">
        <f aca="false">'Executive Summary'!$D$43*(CI4='Executive Summary'!$I$13)</f>
        <v>0</v>
      </c>
      <c r="CJ73" s="522" t="n">
        <f aca="false">'Executive Summary'!$D$43*(CJ4='Executive Summary'!$I$13)</f>
        <v>0</v>
      </c>
      <c r="CK73" s="522" t="n">
        <f aca="false">'Executive Summary'!$D$43*(CK4='Executive Summary'!$I$13)</f>
        <v>0</v>
      </c>
      <c r="CL73" s="522" t="n">
        <f aca="false">'Executive Summary'!$D$43*(CL4='Executive Summary'!$I$13)</f>
        <v>0</v>
      </c>
      <c r="CM73" s="522" t="n">
        <f aca="false">'Executive Summary'!$D$43*(CM4='Executive Summary'!$I$13)</f>
        <v>0</v>
      </c>
      <c r="CN73" s="522" t="n">
        <f aca="false">'Executive Summary'!$D$43*(CN4='Executive Summary'!$I$13)</f>
        <v>0</v>
      </c>
      <c r="CO73" s="522" t="n">
        <f aca="false">'Executive Summary'!$D$43*(CO4='Executive Summary'!$I$13)</f>
        <v>0</v>
      </c>
      <c r="CP73" s="522" t="n">
        <f aca="false">'Executive Summary'!$D$43*(CP4='Executive Summary'!$I$13)</f>
        <v>0</v>
      </c>
      <c r="CQ73" s="522" t="n">
        <f aca="false">'Executive Summary'!$D$43*(CQ4='Executive Summary'!$I$13)</f>
        <v>0</v>
      </c>
      <c r="CR73" s="522" t="n">
        <f aca="false">'Executive Summary'!$D$43*(CR4='Executive Summary'!$I$13)</f>
        <v>0</v>
      </c>
      <c r="CS73" s="522" t="n">
        <f aca="false">'Executive Summary'!$D$43*(CS4='Executive Summary'!$I$13)</f>
        <v>0</v>
      </c>
      <c r="CT73" s="522" t="n">
        <f aca="false">'Executive Summary'!$D$43*(CT4='Executive Summary'!$I$13)</f>
        <v>0</v>
      </c>
      <c r="CU73" s="522" t="n">
        <f aca="false">'Executive Summary'!$D$43*(CU4='Executive Summary'!$I$13)</f>
        <v>0</v>
      </c>
      <c r="CV73" s="522" t="n">
        <f aca="false">'Executive Summary'!$D$43*(CV4='Executive Summary'!$I$13)</f>
        <v>0</v>
      </c>
      <c r="CW73" s="522" t="n">
        <f aca="false">'Executive Summary'!$D$43*(CW4='Executive Summary'!$I$13)</f>
        <v>0</v>
      </c>
      <c r="CX73" s="522" t="n">
        <f aca="false">'Executive Summary'!$D$43*(CX4='Executive Summary'!$I$13)</f>
        <v>0</v>
      </c>
      <c r="CY73" s="522" t="n">
        <f aca="false">'Executive Summary'!$D$43*(CY4='Executive Summary'!$I$13)</f>
        <v>0</v>
      </c>
      <c r="CZ73" s="522" t="n">
        <f aca="false">'Executive Summary'!$D$43*(CZ4='Executive Summary'!$I$13)</f>
        <v>0</v>
      </c>
      <c r="DA73" s="522" t="n">
        <f aca="false">'Executive Summary'!$D$43*(DA4='Executive Summary'!$I$13)</f>
        <v>0</v>
      </c>
      <c r="DB73" s="522" t="n">
        <f aca="false">'Executive Summary'!$D$43*(DB4='Executive Summary'!$I$13)</f>
        <v>0</v>
      </c>
      <c r="DC73" s="522" t="n">
        <f aca="false">'Executive Summary'!$D$43*(DC4='Executive Summary'!$I$13)</f>
        <v>0</v>
      </c>
      <c r="DD73" s="522" t="n">
        <f aca="false">'Executive Summary'!$D$43*(DD4='Executive Summary'!$I$13)</f>
        <v>0</v>
      </c>
      <c r="DE73" s="522" t="n">
        <f aca="false">'Executive Summary'!$D$43*(DE4='Executive Summary'!$I$13)</f>
        <v>0</v>
      </c>
      <c r="DF73" s="522" t="n">
        <f aca="false">'Executive Summary'!$D$43*(DF4='Executive Summary'!$I$13)</f>
        <v>0</v>
      </c>
      <c r="DG73" s="522" t="n">
        <f aca="false">'Executive Summary'!$D$43*(DG4='Executive Summary'!$I$13)</f>
        <v>0</v>
      </c>
      <c r="DH73" s="522" t="n">
        <f aca="false">'Executive Summary'!$D$43*(DH4='Executive Summary'!$I$13)</f>
        <v>0</v>
      </c>
      <c r="DI73" s="522" t="n">
        <f aca="false">'Executive Summary'!$D$43*(DI4='Executive Summary'!$I$13)</f>
        <v>0</v>
      </c>
      <c r="DJ73" s="522" t="n">
        <f aca="false">'Executive Summary'!$D$43*(DJ4='Executive Summary'!$I$13)</f>
        <v>0</v>
      </c>
      <c r="DK73" s="522" t="n">
        <f aca="false">'Executive Summary'!$D$43*(DK4='Executive Summary'!$I$13)</f>
        <v>0</v>
      </c>
      <c r="DL73" s="522" t="n">
        <f aca="false">'Executive Summary'!$D$43*(DL4='Executive Summary'!$I$13)</f>
        <v>0</v>
      </c>
      <c r="DM73" s="522" t="n">
        <f aca="false">'Executive Summary'!$D$43*(DM4='Executive Summary'!$I$13)</f>
        <v>0</v>
      </c>
      <c r="DN73" s="522" t="n">
        <f aca="false">'Executive Summary'!$D$43*(DN4='Executive Summary'!$I$13)</f>
        <v>0</v>
      </c>
      <c r="DO73" s="522" t="n">
        <f aca="false">'Executive Summary'!$D$43*(DO4='Executive Summary'!$I$13)</f>
        <v>0</v>
      </c>
      <c r="DP73" s="522" t="n">
        <f aca="false">'Executive Summary'!$D$43*(DP4='Executive Summary'!$I$13)</f>
        <v>0</v>
      </c>
      <c r="DQ73" s="522" t="n">
        <f aca="false">'Executive Summary'!$D$43*(DQ4='Executive Summary'!$I$13)</f>
        <v>0</v>
      </c>
      <c r="DR73" s="522" t="n">
        <f aca="false">'Executive Summary'!$D$43*(DR4='Executive Summary'!$I$13)</f>
        <v>0</v>
      </c>
      <c r="DS73" s="522" t="n">
        <f aca="false">'Executive Summary'!$D$43*(DS4='Executive Summary'!$I$13)</f>
        <v>0</v>
      </c>
      <c r="DT73" s="522" t="n">
        <f aca="false">'Executive Summary'!$D$43*(DT4='Executive Summary'!$I$13)</f>
        <v>0</v>
      </c>
      <c r="DU73" s="522" t="n">
        <f aca="false">'Executive Summary'!$D$43*(DU4='Executive Summary'!$I$13)</f>
        <v>0</v>
      </c>
      <c r="DV73" s="522" t="n">
        <f aca="false">'Executive Summary'!$D$43*(DV4='Executive Summary'!$I$13)</f>
        <v>0</v>
      </c>
      <c r="DW73" s="522" t="n">
        <f aca="false">'Executive Summary'!$D$43*(DW4='Executive Summary'!$I$13)</f>
        <v>0</v>
      </c>
      <c r="DX73" s="522" t="n">
        <f aca="false">'Executive Summary'!$D$43*(DX4='Executive Summary'!$I$13)</f>
        <v>0</v>
      </c>
      <c r="DY73" s="522" t="n">
        <f aca="false">'Executive Summary'!$D$43*(DY4='Executive Summary'!$I$13)</f>
        <v>0</v>
      </c>
      <c r="DZ73" s="522" t="n">
        <f aca="false">'Executive Summary'!$D$43*(DZ4='Executive Summary'!$I$13)</f>
        <v>0</v>
      </c>
      <c r="EA73" s="522" t="n">
        <f aca="false">'Executive Summary'!$D$43*(EA4='Executive Summary'!$I$13)</f>
        <v>0</v>
      </c>
      <c r="EB73" s="522" t="n">
        <f aca="false">'Executive Summary'!$D$43*(EB4='Executive Summary'!$I$13)</f>
        <v>0</v>
      </c>
      <c r="EC73" s="522" t="n">
        <f aca="false">'Executive Summary'!$D$43*(EC4='Executive Summary'!$I$13)</f>
        <v>0</v>
      </c>
      <c r="ED73" s="522" t="n">
        <f aca="false">'Executive Summary'!$D$43*(ED4='Executive Summary'!$I$13)</f>
        <v>0</v>
      </c>
      <c r="EE73" s="522" t="n">
        <f aca="false">'Executive Summary'!$D$43*(EE4='Executive Summary'!$I$13)</f>
        <v>0</v>
      </c>
      <c r="EF73" s="522" t="n">
        <f aca="false">'Executive Summary'!$D$43*(EF4='Executive Summary'!$I$13)</f>
        <v>0</v>
      </c>
      <c r="EG73" s="522" t="n">
        <f aca="false">'Executive Summary'!$D$43*(EG4='Executive Summary'!$I$13)</f>
        <v>0</v>
      </c>
      <c r="EH73" s="522" t="n">
        <f aca="false">'Executive Summary'!$D$43*(EH4='Executive Summary'!$I$13)</f>
        <v>0</v>
      </c>
      <c r="EI73" s="558" t="n">
        <f aca="false">'Executive Summary'!$D$43*(EI4='Executive Summary'!$I$13)</f>
        <v>0</v>
      </c>
      <c r="EK73" s="559" t="n">
        <f aca="true">SUM(OFFSET($G73,0,EK$24*12-11,1,12))</f>
        <v>0</v>
      </c>
      <c r="EL73" s="522" t="n">
        <f aca="true">SUM(OFFSET($G73,0,EL$24*12-11,1,12))</f>
        <v>0</v>
      </c>
      <c r="EM73" s="522" t="n">
        <f aca="true">SUM(OFFSET($G73,0,EM$24*12-11,1,12))</f>
        <v>0</v>
      </c>
      <c r="EN73" s="522" t="n">
        <f aca="true">SUM(OFFSET($G73,0,EN$24*12-11,1,12))</f>
        <v>0</v>
      </c>
      <c r="EO73" s="522" t="n">
        <f aca="true">SUM(OFFSET($G73,0,EO$24*12-11,1,12))</f>
        <v>16000</v>
      </c>
      <c r="EP73" s="522" t="n">
        <f aca="true">SUM(OFFSET($G73,0,EP$24*12-11,1,12))</f>
        <v>0</v>
      </c>
      <c r="EQ73" s="522" t="n">
        <f aca="true">SUM(OFFSET($G73,0,EQ$24*12-11,1,12))</f>
        <v>0</v>
      </c>
      <c r="ER73" s="522" t="n">
        <f aca="true">SUM(OFFSET($G73,0,ER$24*12-11,1,12))</f>
        <v>0</v>
      </c>
      <c r="ES73" s="522" t="n">
        <f aca="true">SUM(OFFSET($G73,0,ES$24*12-11,1,12))</f>
        <v>0</v>
      </c>
      <c r="ET73" s="558" t="n">
        <f aca="true">SUM(OFFSET($G73,0,ET$24*12-11,1,12))</f>
        <v>0</v>
      </c>
    </row>
    <row r="74" s="522" customFormat="true" ht="13.5" hidden="false" customHeight="true" outlineLevel="1" collapsed="false">
      <c r="B74" s="559" t="s">
        <v>583</v>
      </c>
      <c r="C74" s="557"/>
      <c r="E74" s="522" t="n">
        <f aca="true">SUM(OFFSET(G74,0,0,1,'Executive Summary'!$I$13+1))</f>
        <v>-1252606.7504745</v>
      </c>
      <c r="G74" s="522" t="n">
        <f aca="false">G102</f>
        <v>0</v>
      </c>
      <c r="H74" s="522" t="n">
        <f aca="false">H102</f>
        <v>-21016.6666666667</v>
      </c>
      <c r="I74" s="522" t="n">
        <f aca="false">I102</f>
        <v>-21016.6666666667</v>
      </c>
      <c r="J74" s="522" t="n">
        <f aca="false">J102</f>
        <v>-21016.6666666667</v>
      </c>
      <c r="K74" s="522" t="n">
        <f aca="false">K102</f>
        <v>-21016.6666666667</v>
      </c>
      <c r="L74" s="522" t="n">
        <f aca="false">L102</f>
        <v>-21016.6666666667</v>
      </c>
      <c r="M74" s="522" t="n">
        <f aca="false">M102</f>
        <v>-21016.6666666667</v>
      </c>
      <c r="N74" s="522" t="n">
        <f aca="false">N102</f>
        <v>-21016.6666666667</v>
      </c>
      <c r="O74" s="522" t="n">
        <f aca="false">O102</f>
        <v>-21016.6666666667</v>
      </c>
      <c r="P74" s="522" t="n">
        <f aca="false">P102</f>
        <v>-21016.6666666667</v>
      </c>
      <c r="Q74" s="522" t="n">
        <f aca="false">Q102</f>
        <v>-21016.6666666667</v>
      </c>
      <c r="R74" s="522" t="n">
        <f aca="false">R102</f>
        <v>-21016.6666666667</v>
      </c>
      <c r="S74" s="522" t="n">
        <f aca="false">S102</f>
        <v>-21016.6666666667</v>
      </c>
      <c r="T74" s="522" t="n">
        <f aca="false">T102</f>
        <v>-21016.6666666667</v>
      </c>
      <c r="U74" s="522" t="n">
        <f aca="false">U102</f>
        <v>-21016.6666666667</v>
      </c>
      <c r="V74" s="522" t="n">
        <f aca="false">V102</f>
        <v>-21016.6666666667</v>
      </c>
      <c r="W74" s="522" t="n">
        <f aca="false">W102</f>
        <v>-21016.6666666667</v>
      </c>
      <c r="X74" s="522" t="n">
        <f aca="false">X102</f>
        <v>-21016.6666666667</v>
      </c>
      <c r="Y74" s="522" t="n">
        <f aca="false">Y102</f>
        <v>-21016.6666666667</v>
      </c>
      <c r="Z74" s="522" t="n">
        <f aca="false">Z102</f>
        <v>-21016.6666666667</v>
      </c>
      <c r="AA74" s="522" t="n">
        <f aca="false">AA102</f>
        <v>-21016.6666666667</v>
      </c>
      <c r="AB74" s="522" t="n">
        <f aca="false">AB102</f>
        <v>-21016.6666666667</v>
      </c>
      <c r="AC74" s="522" t="n">
        <f aca="false">AC102</f>
        <v>-21016.6666666667</v>
      </c>
      <c r="AD74" s="522" t="n">
        <f aca="false">AD102</f>
        <v>-21016.6666666667</v>
      </c>
      <c r="AE74" s="522" t="n">
        <f aca="false">AE102</f>
        <v>-21016.6666666667</v>
      </c>
      <c r="AF74" s="522" t="n">
        <f aca="false">AF102</f>
        <v>-21016.6666666667</v>
      </c>
      <c r="AG74" s="522" t="n">
        <f aca="false">AG102</f>
        <v>-21016.6666666667</v>
      </c>
      <c r="AH74" s="522" t="n">
        <f aca="false">AH102</f>
        <v>-21016.6666666667</v>
      </c>
      <c r="AI74" s="522" t="n">
        <f aca="false">AI102</f>
        <v>-21016.6666666667</v>
      </c>
      <c r="AJ74" s="522" t="n">
        <f aca="false">AJ102</f>
        <v>-21016.6666666667</v>
      </c>
      <c r="AK74" s="522" t="n">
        <f aca="false">AK102</f>
        <v>-21016.6666666667</v>
      </c>
      <c r="AL74" s="522" t="n">
        <f aca="false">AL102</f>
        <v>-21016.6666666667</v>
      </c>
      <c r="AM74" s="522" t="n">
        <f aca="false">AM102</f>
        <v>-21016.6666666667</v>
      </c>
      <c r="AN74" s="522" t="n">
        <f aca="false">AN102</f>
        <v>-21016.6666666667</v>
      </c>
      <c r="AO74" s="522" t="n">
        <f aca="false">AO102</f>
        <v>-21016.6666666667</v>
      </c>
      <c r="AP74" s="522" t="n">
        <f aca="false">AP102</f>
        <v>-21016.6666666667</v>
      </c>
      <c r="AQ74" s="522" t="n">
        <f aca="false">AQ102</f>
        <v>-21016.6666666667</v>
      </c>
      <c r="AR74" s="522" t="n">
        <f aca="false">AR102</f>
        <v>-21016.6666666667</v>
      </c>
      <c r="AS74" s="522" t="n">
        <f aca="false">AS102</f>
        <v>-20987.1500490382</v>
      </c>
      <c r="AT74" s="522" t="n">
        <f aca="false">AT102</f>
        <v>-20957.5141350801</v>
      </c>
      <c r="AU74" s="522" t="n">
        <f aca="false">AU102</f>
        <v>-20927.7584426365</v>
      </c>
      <c r="AV74" s="522" t="n">
        <f aca="false">AV102</f>
        <v>-20897.8824876026</v>
      </c>
      <c r="AW74" s="522" t="n">
        <f aca="false">AW102</f>
        <v>-20867.8857839171</v>
      </c>
      <c r="AX74" s="522" t="n">
        <f aca="false">AX102</f>
        <v>-20837.7678435541</v>
      </c>
      <c r="AY74" s="522" t="n">
        <f aca="false">AY102</f>
        <v>-20807.5281765156</v>
      </c>
      <c r="AZ74" s="522" t="n">
        <f aca="false">AZ102</f>
        <v>-20777.1662908227</v>
      </c>
      <c r="BA74" s="522" t="n">
        <f aca="false">BA102</f>
        <v>-20746.6816925086</v>
      </c>
      <c r="BB74" s="522" t="n">
        <f aca="false">BB102</f>
        <v>-20716.0738856096</v>
      </c>
      <c r="BC74" s="522" t="n">
        <f aca="false">BC102</f>
        <v>-20685.3423721576</v>
      </c>
      <c r="BD74" s="522" t="n">
        <f aca="false">BD102</f>
        <v>-20654.4866521722</v>
      </c>
      <c r="BE74" s="522" t="n">
        <f aca="false">BE102</f>
        <v>-20623.5062236518</v>
      </c>
      <c r="BF74" s="522" t="n">
        <f aca="false">BF102</f>
        <v>-20592.4005825661</v>
      </c>
      <c r="BG74" s="522" t="n">
        <f aca="false">BG102</f>
        <v>-20561.1692228478</v>
      </c>
      <c r="BH74" s="522" t="n">
        <f aca="false">BH102</f>
        <v>-20529.8116363839</v>
      </c>
      <c r="BI74" s="522" t="n">
        <f aca="false">BI102</f>
        <v>-20498.327313008</v>
      </c>
      <c r="BJ74" s="522" t="n">
        <f aca="false">BJ102</f>
        <v>-20466.7157404918</v>
      </c>
      <c r="BK74" s="522" t="n">
        <f aca="false">BK102</f>
        <v>-20434.9764045367</v>
      </c>
      <c r="BL74" s="522" t="n">
        <f aca="false">BL102</f>
        <v>-20403.1087887655</v>
      </c>
      <c r="BM74" s="522" t="n">
        <f aca="false">BM102</f>
        <v>-20371.1123747138</v>
      </c>
      <c r="BN74" s="522" t="n">
        <f aca="false">BN102</f>
        <v>-20338.986641822</v>
      </c>
      <c r="BO74" s="522" t="n">
        <f aca="false">BO102</f>
        <v>-20306.7310674265</v>
      </c>
      <c r="BP74" s="522" t="n">
        <f aca="false">BP102</f>
        <v>0</v>
      </c>
      <c r="BQ74" s="522" t="n">
        <f aca="false">BQ102</f>
        <v>0</v>
      </c>
      <c r="BR74" s="522" t="n">
        <f aca="false">BR102</f>
        <v>0</v>
      </c>
      <c r="BS74" s="522" t="n">
        <f aca="false">BS102</f>
        <v>0</v>
      </c>
      <c r="BT74" s="522" t="n">
        <f aca="false">BT102</f>
        <v>0</v>
      </c>
      <c r="BU74" s="522" t="n">
        <f aca="false">BU102</f>
        <v>0</v>
      </c>
      <c r="BV74" s="522" t="n">
        <f aca="false">BV102</f>
        <v>0</v>
      </c>
      <c r="BW74" s="522" t="n">
        <f aca="false">BW102</f>
        <v>0</v>
      </c>
      <c r="BX74" s="522" t="n">
        <f aca="false">BX102</f>
        <v>0</v>
      </c>
      <c r="BY74" s="522" t="n">
        <f aca="false">BY102</f>
        <v>0</v>
      </c>
      <c r="BZ74" s="522" t="n">
        <f aca="false">BZ102</f>
        <v>0</v>
      </c>
      <c r="CA74" s="522" t="n">
        <f aca="false">CA102</f>
        <v>0</v>
      </c>
      <c r="CB74" s="522" t="n">
        <f aca="false">CB102</f>
        <v>0</v>
      </c>
      <c r="CC74" s="522" t="n">
        <f aca="false">CC102</f>
        <v>0</v>
      </c>
      <c r="CD74" s="522" t="n">
        <f aca="false">CD102</f>
        <v>0</v>
      </c>
      <c r="CE74" s="522" t="n">
        <f aca="false">CE102</f>
        <v>0</v>
      </c>
      <c r="CF74" s="522" t="n">
        <f aca="false">CF102</f>
        <v>0</v>
      </c>
      <c r="CG74" s="522" t="n">
        <f aca="false">CG102</f>
        <v>0</v>
      </c>
      <c r="CH74" s="522" t="n">
        <f aca="false">CH102</f>
        <v>0</v>
      </c>
      <c r="CI74" s="522" t="n">
        <f aca="false">CI102</f>
        <v>0</v>
      </c>
      <c r="CJ74" s="522" t="n">
        <f aca="false">CJ102</f>
        <v>0</v>
      </c>
      <c r="CK74" s="522" t="n">
        <f aca="false">CK102</f>
        <v>0</v>
      </c>
      <c r="CL74" s="522" t="n">
        <f aca="false">CL102</f>
        <v>0</v>
      </c>
      <c r="CM74" s="522" t="n">
        <f aca="false">CM102</f>
        <v>0</v>
      </c>
      <c r="CN74" s="522" t="n">
        <f aca="false">CN102</f>
        <v>0</v>
      </c>
      <c r="CO74" s="522" t="n">
        <f aca="false">CO102</f>
        <v>0</v>
      </c>
      <c r="CP74" s="522" t="n">
        <f aca="false">CP102</f>
        <v>0</v>
      </c>
      <c r="CQ74" s="522" t="n">
        <f aca="false">CQ102</f>
        <v>0</v>
      </c>
      <c r="CR74" s="522" t="n">
        <f aca="false">CR102</f>
        <v>0</v>
      </c>
      <c r="CS74" s="522" t="n">
        <f aca="false">CS102</f>
        <v>0</v>
      </c>
      <c r="CT74" s="522" t="n">
        <f aca="false">CT102</f>
        <v>0</v>
      </c>
      <c r="CU74" s="522" t="n">
        <f aca="false">CU102</f>
        <v>0</v>
      </c>
      <c r="CV74" s="522" t="n">
        <f aca="false">CV102</f>
        <v>0</v>
      </c>
      <c r="CW74" s="522" t="n">
        <f aca="false">CW102</f>
        <v>0</v>
      </c>
      <c r="CX74" s="522" t="n">
        <f aca="false">CX102</f>
        <v>0</v>
      </c>
      <c r="CY74" s="522" t="n">
        <f aca="false">CY102</f>
        <v>0</v>
      </c>
      <c r="CZ74" s="522" t="n">
        <f aca="false">CZ102</f>
        <v>0</v>
      </c>
      <c r="DA74" s="522" t="n">
        <f aca="false">DA102</f>
        <v>0</v>
      </c>
      <c r="DB74" s="522" t="n">
        <f aca="false">DB102</f>
        <v>0</v>
      </c>
      <c r="DC74" s="522" t="n">
        <f aca="false">DC102</f>
        <v>0</v>
      </c>
      <c r="DD74" s="522" t="n">
        <f aca="false">DD102</f>
        <v>0</v>
      </c>
      <c r="DE74" s="522" t="n">
        <f aca="false">DE102</f>
        <v>0</v>
      </c>
      <c r="DF74" s="522" t="n">
        <f aca="false">DF102</f>
        <v>0</v>
      </c>
      <c r="DG74" s="522" t="n">
        <f aca="false">DG102</f>
        <v>0</v>
      </c>
      <c r="DH74" s="522" t="n">
        <f aca="false">DH102</f>
        <v>0</v>
      </c>
      <c r="DI74" s="522" t="n">
        <f aca="false">DI102</f>
        <v>0</v>
      </c>
      <c r="DJ74" s="522" t="n">
        <f aca="false">DJ102</f>
        <v>0</v>
      </c>
      <c r="DK74" s="522" t="n">
        <f aca="false">DK102</f>
        <v>0</v>
      </c>
      <c r="DL74" s="522" t="n">
        <f aca="false">DL102</f>
        <v>0</v>
      </c>
      <c r="DM74" s="522" t="n">
        <f aca="false">DM102</f>
        <v>0</v>
      </c>
      <c r="DN74" s="522" t="n">
        <f aca="false">DN102</f>
        <v>0</v>
      </c>
      <c r="DO74" s="522" t="n">
        <f aca="false">DO102</f>
        <v>0</v>
      </c>
      <c r="DP74" s="522" t="n">
        <f aca="false">DP102</f>
        <v>0</v>
      </c>
      <c r="DQ74" s="522" t="n">
        <f aca="false">DQ102</f>
        <v>0</v>
      </c>
      <c r="DR74" s="522" t="n">
        <f aca="false">DR102</f>
        <v>0</v>
      </c>
      <c r="DS74" s="522" t="n">
        <f aca="false">DS102</f>
        <v>0</v>
      </c>
      <c r="DT74" s="522" t="n">
        <f aca="false">DT102</f>
        <v>0</v>
      </c>
      <c r="DU74" s="522" t="n">
        <f aca="false">DU102</f>
        <v>0</v>
      </c>
      <c r="DV74" s="522" t="n">
        <f aca="false">DV102</f>
        <v>0</v>
      </c>
      <c r="DW74" s="522" t="n">
        <f aca="false">DW102</f>
        <v>0</v>
      </c>
      <c r="DX74" s="522" t="n">
        <f aca="false">DX102</f>
        <v>0</v>
      </c>
      <c r="DY74" s="522" t="n">
        <f aca="false">DY102</f>
        <v>0</v>
      </c>
      <c r="DZ74" s="522" t="n">
        <f aca="false">DZ102</f>
        <v>0</v>
      </c>
      <c r="EA74" s="522" t="n">
        <f aca="false">EA102</f>
        <v>0</v>
      </c>
      <c r="EB74" s="522" t="n">
        <f aca="false">EB102</f>
        <v>0</v>
      </c>
      <c r="EC74" s="522" t="n">
        <f aca="false">EC102</f>
        <v>0</v>
      </c>
      <c r="ED74" s="522" t="n">
        <f aca="false">ED102</f>
        <v>0</v>
      </c>
      <c r="EE74" s="522" t="n">
        <f aca="false">EE102</f>
        <v>0</v>
      </c>
      <c r="EF74" s="522" t="n">
        <f aca="false">EF102</f>
        <v>0</v>
      </c>
      <c r="EG74" s="522" t="n">
        <f aca="false">EG102</f>
        <v>0</v>
      </c>
      <c r="EH74" s="522" t="n">
        <f aca="false">EH102</f>
        <v>0</v>
      </c>
      <c r="EI74" s="558" t="n">
        <f aca="false">EI102</f>
        <v>0</v>
      </c>
      <c r="EK74" s="559" t="n">
        <f aca="true">SUM(OFFSET($G74,0,EK$24*12-11,1,12))</f>
        <v>-252200</v>
      </c>
      <c r="EL74" s="522" t="n">
        <f aca="true">SUM(OFFSET($G74,0,EL$24*12-11,1,12))</f>
        <v>-252200</v>
      </c>
      <c r="EM74" s="522" t="n">
        <f aca="true">SUM(OFFSET($G74,0,EM$24*12-11,1,12))</f>
        <v>-252200</v>
      </c>
      <c r="EN74" s="522" t="n">
        <f aca="true">SUM(OFFSET($G74,0,EN$24*12-11,1,12))</f>
        <v>-250225.417826109</v>
      </c>
      <c r="EO74" s="522" t="n">
        <f aca="true">SUM(OFFSET($G74,0,EO$24*12-11,1,12))</f>
        <v>-245781.332648386</v>
      </c>
      <c r="EP74" s="522" t="n">
        <f aca="true">SUM(OFFSET($G74,0,EP$24*12-11,1,12))</f>
        <v>0</v>
      </c>
      <c r="EQ74" s="522" t="n">
        <f aca="true">SUM(OFFSET($G74,0,EQ$24*12-11,1,12))</f>
        <v>0</v>
      </c>
      <c r="ER74" s="522" t="n">
        <f aca="true">SUM(OFFSET($G74,0,ER$24*12-11,1,12))</f>
        <v>0</v>
      </c>
      <c r="ES74" s="522" t="n">
        <f aca="true">SUM(OFFSET($G74,0,ES$24*12-11,1,12))</f>
        <v>0</v>
      </c>
      <c r="ET74" s="558" t="n">
        <f aca="true">SUM(OFFSET($G74,0,ET$24*12-11,1,12))</f>
        <v>0</v>
      </c>
    </row>
    <row r="75" s="522" customFormat="true" ht="13.5" hidden="false" customHeight="true" outlineLevel="1" collapsed="false">
      <c r="B75" s="559" t="s">
        <v>584</v>
      </c>
      <c r="C75" s="557"/>
      <c r="E75" s="522" t="n">
        <f aca="true">SUM(OFFSET(G75,0,0,1,'Executive Summary'!$I$13+1))</f>
        <v>-5200000</v>
      </c>
      <c r="G75" s="522" t="n">
        <f aca="false">G101</f>
        <v>0</v>
      </c>
      <c r="H75" s="522" t="n">
        <f aca="false">H101</f>
        <v>0</v>
      </c>
      <c r="I75" s="522" t="n">
        <f aca="false">I101</f>
        <v>0</v>
      </c>
      <c r="J75" s="522" t="n">
        <f aca="false">J101</f>
        <v>0</v>
      </c>
      <c r="K75" s="522" t="n">
        <f aca="false">K101</f>
        <v>0</v>
      </c>
      <c r="L75" s="522" t="n">
        <f aca="false">L101</f>
        <v>0</v>
      </c>
      <c r="M75" s="522" t="n">
        <f aca="false">M101</f>
        <v>0</v>
      </c>
      <c r="N75" s="522" t="n">
        <f aca="false">N101</f>
        <v>0</v>
      </c>
      <c r="O75" s="522" t="n">
        <f aca="false">O101</f>
        <v>0</v>
      </c>
      <c r="P75" s="522" t="n">
        <f aca="false">P101</f>
        <v>0</v>
      </c>
      <c r="Q75" s="522" t="n">
        <f aca="false">Q101</f>
        <v>0</v>
      </c>
      <c r="R75" s="522" t="n">
        <f aca="false">R101</f>
        <v>0</v>
      </c>
      <c r="S75" s="522" t="n">
        <f aca="false">S101</f>
        <v>0</v>
      </c>
      <c r="T75" s="522" t="n">
        <f aca="false">T101</f>
        <v>0</v>
      </c>
      <c r="U75" s="522" t="n">
        <f aca="false">U101</f>
        <v>0</v>
      </c>
      <c r="V75" s="522" t="n">
        <f aca="false">V101</f>
        <v>0</v>
      </c>
      <c r="W75" s="522" t="n">
        <f aca="false">W101</f>
        <v>0</v>
      </c>
      <c r="X75" s="522" t="n">
        <f aca="false">X101</f>
        <v>0</v>
      </c>
      <c r="Y75" s="522" t="n">
        <f aca="false">Y101</f>
        <v>0</v>
      </c>
      <c r="Z75" s="522" t="n">
        <f aca="false">Z101</f>
        <v>0</v>
      </c>
      <c r="AA75" s="522" t="n">
        <f aca="false">AA101</f>
        <v>0</v>
      </c>
      <c r="AB75" s="522" t="n">
        <f aca="false">AB101</f>
        <v>0</v>
      </c>
      <c r="AC75" s="522" t="n">
        <f aca="false">AC101</f>
        <v>0</v>
      </c>
      <c r="AD75" s="522" t="n">
        <f aca="false">AD101</f>
        <v>0</v>
      </c>
      <c r="AE75" s="522" t="n">
        <f aca="false">AE101</f>
        <v>0</v>
      </c>
      <c r="AF75" s="522" t="n">
        <f aca="false">AF101</f>
        <v>0</v>
      </c>
      <c r="AG75" s="522" t="n">
        <f aca="false">AG101</f>
        <v>0</v>
      </c>
      <c r="AH75" s="522" t="n">
        <f aca="false">AH101</f>
        <v>0</v>
      </c>
      <c r="AI75" s="522" t="n">
        <f aca="false">AI101</f>
        <v>0</v>
      </c>
      <c r="AJ75" s="522" t="n">
        <f aca="false">AJ101</f>
        <v>0</v>
      </c>
      <c r="AK75" s="522" t="n">
        <f aca="false">AK101</f>
        <v>0</v>
      </c>
      <c r="AL75" s="522" t="n">
        <f aca="false">AL101</f>
        <v>0</v>
      </c>
      <c r="AM75" s="522" t="n">
        <f aca="false">AM101</f>
        <v>0</v>
      </c>
      <c r="AN75" s="522" t="n">
        <f aca="false">AN101</f>
        <v>0</v>
      </c>
      <c r="AO75" s="522" t="n">
        <f aca="false">AO101</f>
        <v>0</v>
      </c>
      <c r="AP75" s="522" t="n">
        <f aca="false">AP101</f>
        <v>0</v>
      </c>
      <c r="AQ75" s="522" t="n">
        <f aca="false">AQ101</f>
        <v>0</v>
      </c>
      <c r="AR75" s="522" t="n">
        <f aca="false">AR101</f>
        <v>-7303.08065034358</v>
      </c>
      <c r="AS75" s="522" t="n">
        <f aca="false">AS101</f>
        <v>-7332.59726797205</v>
      </c>
      <c r="AT75" s="522" t="n">
        <f aca="false">AT101</f>
        <v>-7362.23318193011</v>
      </c>
      <c r="AU75" s="522" t="n">
        <f aca="false">AU101</f>
        <v>-7391.98887437374</v>
      </c>
      <c r="AV75" s="522" t="n">
        <f aca="false">AV101</f>
        <v>-7421.86482940767</v>
      </c>
      <c r="AW75" s="522" t="n">
        <f aca="false">AW101</f>
        <v>-7451.86153309319</v>
      </c>
      <c r="AX75" s="522" t="n">
        <f aca="false">AX101</f>
        <v>-7481.97947345611</v>
      </c>
      <c r="AY75" s="522" t="n">
        <f aca="false">AY101</f>
        <v>-7512.21914049466</v>
      </c>
      <c r="AZ75" s="522" t="n">
        <f aca="false">AZ101</f>
        <v>-7542.5810261875</v>
      </c>
      <c r="BA75" s="522" t="n">
        <f aca="false">BA101</f>
        <v>-7573.06562450167</v>
      </c>
      <c r="BB75" s="522" t="n">
        <f aca="false">BB101</f>
        <v>-7603.6734314007</v>
      </c>
      <c r="BC75" s="522" t="n">
        <f aca="false">BC101</f>
        <v>-7634.40494485261</v>
      </c>
      <c r="BD75" s="522" t="n">
        <f aca="false">BD101</f>
        <v>-7665.26066483805</v>
      </c>
      <c r="BE75" s="522" t="n">
        <f aca="false">BE101</f>
        <v>-7696.24109335845</v>
      </c>
      <c r="BF75" s="522" t="n">
        <f aca="false">BF101</f>
        <v>-7727.3467344441</v>
      </c>
      <c r="BG75" s="522" t="n">
        <f aca="false">BG101</f>
        <v>-7758.57809416248</v>
      </c>
      <c r="BH75" s="522" t="n">
        <f aca="false">BH101</f>
        <v>-7789.93568062639</v>
      </c>
      <c r="BI75" s="522" t="n">
        <f aca="false">BI101</f>
        <v>-7821.42000400225</v>
      </c>
      <c r="BJ75" s="522" t="n">
        <f aca="false">BJ101</f>
        <v>-7853.03157651843</v>
      </c>
      <c r="BK75" s="522" t="n">
        <f aca="false">BK101</f>
        <v>-7884.77091247352</v>
      </c>
      <c r="BL75" s="522" t="n">
        <f aca="false">BL101</f>
        <v>-7916.63852824477</v>
      </c>
      <c r="BM75" s="522" t="n">
        <f aca="false">BM101</f>
        <v>-7948.63494229643</v>
      </c>
      <c r="BN75" s="522" t="n">
        <f aca="false">BN101</f>
        <v>-7980.76067518821</v>
      </c>
      <c r="BO75" s="522" t="n">
        <f aca="false">BO101</f>
        <v>-5024345.83111584</v>
      </c>
      <c r="BP75" s="522" t="n">
        <f aca="false">BP101</f>
        <v>0</v>
      </c>
      <c r="BQ75" s="522" t="n">
        <f aca="false">BQ101</f>
        <v>0</v>
      </c>
      <c r="BR75" s="522" t="n">
        <f aca="false">BR101</f>
        <v>0</v>
      </c>
      <c r="BS75" s="522" t="n">
        <f aca="false">BS101</f>
        <v>0</v>
      </c>
      <c r="BT75" s="522" t="n">
        <f aca="false">BT101</f>
        <v>0</v>
      </c>
      <c r="BU75" s="522" t="n">
        <f aca="false">BU101</f>
        <v>0</v>
      </c>
      <c r="BV75" s="522" t="n">
        <f aca="false">BV101</f>
        <v>0</v>
      </c>
      <c r="BW75" s="522" t="n">
        <f aca="false">BW101</f>
        <v>0</v>
      </c>
      <c r="BX75" s="522" t="n">
        <f aca="false">BX101</f>
        <v>0</v>
      </c>
      <c r="BY75" s="522" t="n">
        <f aca="false">BY101</f>
        <v>0</v>
      </c>
      <c r="BZ75" s="522" t="n">
        <f aca="false">BZ101</f>
        <v>0</v>
      </c>
      <c r="CA75" s="522" t="n">
        <f aca="false">CA101</f>
        <v>0</v>
      </c>
      <c r="CB75" s="522" t="n">
        <f aca="false">CB101</f>
        <v>0</v>
      </c>
      <c r="CC75" s="522" t="n">
        <f aca="false">CC101</f>
        <v>0</v>
      </c>
      <c r="CD75" s="522" t="n">
        <f aca="false">CD101</f>
        <v>0</v>
      </c>
      <c r="CE75" s="522" t="n">
        <f aca="false">CE101</f>
        <v>0</v>
      </c>
      <c r="CF75" s="522" t="n">
        <f aca="false">CF101</f>
        <v>0</v>
      </c>
      <c r="CG75" s="522" t="n">
        <f aca="false">CG101</f>
        <v>0</v>
      </c>
      <c r="CH75" s="522" t="n">
        <f aca="false">CH101</f>
        <v>0</v>
      </c>
      <c r="CI75" s="522" t="n">
        <f aca="false">CI101</f>
        <v>0</v>
      </c>
      <c r="CJ75" s="522" t="n">
        <f aca="false">CJ101</f>
        <v>0</v>
      </c>
      <c r="CK75" s="522" t="n">
        <f aca="false">CK101</f>
        <v>0</v>
      </c>
      <c r="CL75" s="522" t="n">
        <f aca="false">CL101</f>
        <v>0</v>
      </c>
      <c r="CM75" s="522" t="n">
        <f aca="false">CM101</f>
        <v>0</v>
      </c>
      <c r="CN75" s="522" t="n">
        <f aca="false">CN101</f>
        <v>0</v>
      </c>
      <c r="CO75" s="522" t="n">
        <f aca="false">CO101</f>
        <v>0</v>
      </c>
      <c r="CP75" s="522" t="n">
        <f aca="false">CP101</f>
        <v>0</v>
      </c>
      <c r="CQ75" s="522" t="n">
        <f aca="false">CQ101</f>
        <v>0</v>
      </c>
      <c r="CR75" s="522" t="n">
        <f aca="false">CR101</f>
        <v>0</v>
      </c>
      <c r="CS75" s="522" t="n">
        <f aca="false">CS101</f>
        <v>0</v>
      </c>
      <c r="CT75" s="522" t="n">
        <f aca="false">CT101</f>
        <v>0</v>
      </c>
      <c r="CU75" s="522" t="n">
        <f aca="false">CU101</f>
        <v>0</v>
      </c>
      <c r="CV75" s="522" t="n">
        <f aca="false">CV101</f>
        <v>0</v>
      </c>
      <c r="CW75" s="522" t="n">
        <f aca="false">CW101</f>
        <v>0</v>
      </c>
      <c r="CX75" s="522" t="n">
        <f aca="false">CX101</f>
        <v>0</v>
      </c>
      <c r="CY75" s="522" t="n">
        <f aca="false">CY101</f>
        <v>0</v>
      </c>
      <c r="CZ75" s="522" t="n">
        <f aca="false">CZ101</f>
        <v>0</v>
      </c>
      <c r="DA75" s="522" t="n">
        <f aca="false">DA101</f>
        <v>0</v>
      </c>
      <c r="DB75" s="522" t="n">
        <f aca="false">DB101</f>
        <v>0</v>
      </c>
      <c r="DC75" s="522" t="n">
        <f aca="false">DC101</f>
        <v>0</v>
      </c>
      <c r="DD75" s="522" t="n">
        <f aca="false">DD101</f>
        <v>0</v>
      </c>
      <c r="DE75" s="522" t="n">
        <f aca="false">DE101</f>
        <v>0</v>
      </c>
      <c r="DF75" s="522" t="n">
        <f aca="false">DF101</f>
        <v>0</v>
      </c>
      <c r="DG75" s="522" t="n">
        <f aca="false">DG101</f>
        <v>0</v>
      </c>
      <c r="DH75" s="522" t="n">
        <f aca="false">DH101</f>
        <v>0</v>
      </c>
      <c r="DI75" s="522" t="n">
        <f aca="false">DI101</f>
        <v>0</v>
      </c>
      <c r="DJ75" s="522" t="n">
        <f aca="false">DJ101</f>
        <v>0</v>
      </c>
      <c r="DK75" s="522" t="n">
        <f aca="false">DK101</f>
        <v>0</v>
      </c>
      <c r="DL75" s="522" t="n">
        <f aca="false">DL101</f>
        <v>0</v>
      </c>
      <c r="DM75" s="522" t="n">
        <f aca="false">DM101</f>
        <v>0</v>
      </c>
      <c r="DN75" s="522" t="n">
        <f aca="false">DN101</f>
        <v>0</v>
      </c>
      <c r="DO75" s="522" t="n">
        <f aca="false">DO101</f>
        <v>0</v>
      </c>
      <c r="DP75" s="522" t="n">
        <f aca="false">DP101</f>
        <v>0</v>
      </c>
      <c r="DQ75" s="522" t="n">
        <f aca="false">DQ101</f>
        <v>0</v>
      </c>
      <c r="DR75" s="522" t="n">
        <f aca="false">DR101</f>
        <v>0</v>
      </c>
      <c r="DS75" s="522" t="n">
        <f aca="false">DS101</f>
        <v>0</v>
      </c>
      <c r="DT75" s="522" t="n">
        <f aca="false">DT101</f>
        <v>0</v>
      </c>
      <c r="DU75" s="522" t="n">
        <f aca="false">DU101</f>
        <v>0</v>
      </c>
      <c r="DV75" s="522" t="n">
        <f aca="false">DV101</f>
        <v>0</v>
      </c>
      <c r="DW75" s="522" t="n">
        <f aca="false">DW101</f>
        <v>0</v>
      </c>
      <c r="DX75" s="522" t="n">
        <f aca="false">DX101</f>
        <v>0</v>
      </c>
      <c r="DY75" s="522" t="n">
        <f aca="false">DY101</f>
        <v>0</v>
      </c>
      <c r="DZ75" s="522" t="n">
        <f aca="false">DZ101</f>
        <v>0</v>
      </c>
      <c r="EA75" s="522" t="n">
        <f aca="false">EA101</f>
        <v>0</v>
      </c>
      <c r="EB75" s="522" t="n">
        <f aca="false">EB101</f>
        <v>0</v>
      </c>
      <c r="EC75" s="522" t="n">
        <f aca="false">EC101</f>
        <v>0</v>
      </c>
      <c r="ED75" s="522" t="n">
        <f aca="false">ED101</f>
        <v>0</v>
      </c>
      <c r="EE75" s="522" t="n">
        <f aca="false">EE101</f>
        <v>0</v>
      </c>
      <c r="EF75" s="522" t="n">
        <f aca="false">EF101</f>
        <v>0</v>
      </c>
      <c r="EG75" s="522" t="n">
        <f aca="false">EG101</f>
        <v>0</v>
      </c>
      <c r="EH75" s="522" t="n">
        <f aca="false">EH101</f>
        <v>0</v>
      </c>
      <c r="EI75" s="558" t="n">
        <f aca="false">EI101</f>
        <v>0</v>
      </c>
      <c r="EK75" s="559" t="n">
        <f aca="true">SUM(OFFSET($G75,0,EK$24*12-11,1,12))</f>
        <v>0</v>
      </c>
      <c r="EL75" s="522" t="n">
        <f aca="true">SUM(OFFSET($G75,0,EL$24*12-11,1,12))</f>
        <v>0</v>
      </c>
      <c r="EM75" s="522" t="n">
        <f aca="true">SUM(OFFSET($G75,0,EM$24*12-11,1,12))</f>
        <v>0</v>
      </c>
      <c r="EN75" s="522" t="n">
        <f aca="true">SUM(OFFSET($G75,0,EN$24*12-11,1,12))</f>
        <v>-89611.5499780136</v>
      </c>
      <c r="EO75" s="522" t="n">
        <f aca="true">SUM(OFFSET($G75,0,EO$24*12-11,1,12))</f>
        <v>-5110388.45002199</v>
      </c>
      <c r="EP75" s="522" t="n">
        <f aca="true">SUM(OFFSET($G75,0,EP$24*12-11,1,12))</f>
        <v>0</v>
      </c>
      <c r="EQ75" s="522" t="n">
        <f aca="true">SUM(OFFSET($G75,0,EQ$24*12-11,1,12))</f>
        <v>0</v>
      </c>
      <c r="ER75" s="522" t="n">
        <f aca="true">SUM(OFFSET($G75,0,ER$24*12-11,1,12))</f>
        <v>0</v>
      </c>
      <c r="ES75" s="522" t="n">
        <f aca="true">SUM(OFFSET($G75,0,ES$24*12-11,1,12))</f>
        <v>0</v>
      </c>
      <c r="ET75" s="558" t="n">
        <f aca="true">SUM(OFFSET($G75,0,ET$24*12-11,1,12))</f>
        <v>0</v>
      </c>
    </row>
    <row r="76" s="522" customFormat="true" ht="13.5" hidden="false" customHeight="true" outlineLevel="1" collapsed="false">
      <c r="B76" s="559" t="s">
        <v>585</v>
      </c>
      <c r="C76" s="557"/>
      <c r="E76" s="522" t="n">
        <f aca="false">SUM(G76:EI76)</f>
        <v>0</v>
      </c>
      <c r="G76" s="522" t="n">
        <v>0</v>
      </c>
      <c r="H76" s="522" t="n">
        <f aca="false">H64</f>
        <v>0</v>
      </c>
      <c r="I76" s="522" t="n">
        <f aca="false">I64</f>
        <v>0</v>
      </c>
      <c r="J76" s="522" t="n">
        <f aca="false">J64</f>
        <v>0</v>
      </c>
      <c r="K76" s="522" t="n">
        <f aca="false">K64</f>
        <v>0</v>
      </c>
      <c r="L76" s="522" t="n">
        <f aca="false">L64</f>
        <v>0</v>
      </c>
      <c r="M76" s="522" t="n">
        <f aca="false">M64</f>
        <v>0</v>
      </c>
      <c r="N76" s="522" t="n">
        <f aca="false">N64</f>
        <v>0</v>
      </c>
      <c r="O76" s="522" t="n">
        <f aca="false">O64</f>
        <v>0</v>
      </c>
      <c r="P76" s="522" t="n">
        <f aca="false">P64</f>
        <v>0</v>
      </c>
      <c r="Q76" s="522" t="n">
        <f aca="false">Q64</f>
        <v>0</v>
      </c>
      <c r="R76" s="522" t="n">
        <f aca="false">R64</f>
        <v>0</v>
      </c>
      <c r="S76" s="522" t="n">
        <f aca="false">S64</f>
        <v>0</v>
      </c>
      <c r="T76" s="522" t="n">
        <f aca="false">T64</f>
        <v>0</v>
      </c>
      <c r="U76" s="522" t="n">
        <f aca="false">U64</f>
        <v>0</v>
      </c>
      <c r="V76" s="522" t="n">
        <f aca="false">-(V109+V110)</f>
        <v>-0</v>
      </c>
      <c r="W76" s="522" t="n">
        <f aca="false">-(W109+W110)</f>
        <v>-0</v>
      </c>
      <c r="X76" s="522" t="n">
        <f aca="false">-(X109+X110)</f>
        <v>-0</v>
      </c>
      <c r="Y76" s="522" t="n">
        <f aca="false">-(Y109+Y110)</f>
        <v>-0</v>
      </c>
      <c r="Z76" s="522" t="n">
        <f aca="false">-(Z109+Z110)</f>
        <v>-0</v>
      </c>
      <c r="AA76" s="522" t="n">
        <f aca="false">-(AA109+AA110)</f>
        <v>-0</v>
      </c>
      <c r="AB76" s="522" t="n">
        <f aca="false">-(AB109+AB110)</f>
        <v>-0</v>
      </c>
      <c r="AC76" s="522" t="n">
        <f aca="false">-(AC109+AC110)</f>
        <v>-0</v>
      </c>
      <c r="AD76" s="522" t="n">
        <f aca="false">-(AD109+AD110)</f>
        <v>-0</v>
      </c>
      <c r="AE76" s="522" t="n">
        <f aca="false">-(AE109+AE110)</f>
        <v>-0</v>
      </c>
      <c r="AF76" s="522" t="n">
        <f aca="false">-(AF109+AF110)</f>
        <v>-0</v>
      </c>
      <c r="AG76" s="522" t="n">
        <f aca="false">-(AG109+AG110)</f>
        <v>-0</v>
      </c>
      <c r="AH76" s="522" t="n">
        <f aca="false">-(AH109+AH110)</f>
        <v>-0</v>
      </c>
      <c r="AI76" s="522" t="n">
        <f aca="false">-(AI109+AI110)</f>
        <v>-0</v>
      </c>
      <c r="AJ76" s="522" t="n">
        <f aca="false">-(AJ109+AJ110)</f>
        <v>-0</v>
      </c>
      <c r="AK76" s="522" t="n">
        <f aca="false">-(AK109+AK110)</f>
        <v>-0</v>
      </c>
      <c r="AL76" s="522" t="n">
        <f aca="false">-(AL109+AL110)</f>
        <v>-0</v>
      </c>
      <c r="AM76" s="522" t="n">
        <f aca="false">-(AM109+AM110)</f>
        <v>-0</v>
      </c>
      <c r="AN76" s="522" t="n">
        <f aca="false">-(AN109+AN110)</f>
        <v>-0</v>
      </c>
      <c r="AO76" s="522" t="n">
        <f aca="false">-(AO109+AO110)</f>
        <v>-0</v>
      </c>
      <c r="AP76" s="522" t="n">
        <f aca="false">-(AP109+AP110)</f>
        <v>-0</v>
      </c>
      <c r="AQ76" s="522" t="n">
        <f aca="false">-(AQ109+AQ110)</f>
        <v>-0</v>
      </c>
      <c r="AR76" s="522" t="n">
        <f aca="false">-(AR109+AR110)</f>
        <v>-0</v>
      </c>
      <c r="AS76" s="522" t="n">
        <f aca="false">-(AS109+AS110)</f>
        <v>-0</v>
      </c>
      <c r="AT76" s="522" t="n">
        <f aca="false">-(AT109+AT110)</f>
        <v>-0</v>
      </c>
      <c r="AU76" s="522" t="n">
        <f aca="false">-(AU109+AU110)</f>
        <v>-0</v>
      </c>
      <c r="AV76" s="522" t="n">
        <f aca="false">-(AV109+AV110)</f>
        <v>-0</v>
      </c>
      <c r="AW76" s="522" t="n">
        <f aca="false">-(AW109+AW110)</f>
        <v>-0</v>
      </c>
      <c r="AX76" s="522" t="n">
        <f aca="false">-(AX109+AX110)</f>
        <v>-0</v>
      </c>
      <c r="AY76" s="522" t="n">
        <f aca="false">-(AY109+AY110)</f>
        <v>-0</v>
      </c>
      <c r="AZ76" s="522" t="n">
        <f aca="false">-(AZ109+AZ110)</f>
        <v>-0</v>
      </c>
      <c r="BA76" s="522" t="n">
        <f aca="false">-(BA109+BA110)</f>
        <v>-0</v>
      </c>
      <c r="BB76" s="522" t="n">
        <f aca="false">-(BB109+BB110)</f>
        <v>-0</v>
      </c>
      <c r="BC76" s="522" t="n">
        <f aca="false">-(BC109+BC110)</f>
        <v>-0</v>
      </c>
      <c r="BD76" s="522" t="n">
        <f aca="false">-(BD109+BD110)</f>
        <v>-0</v>
      </c>
      <c r="BE76" s="522" t="n">
        <f aca="false">-(BE109+BE110)</f>
        <v>-0</v>
      </c>
      <c r="BF76" s="522" t="n">
        <f aca="false">-(BF109+BF110)</f>
        <v>-0</v>
      </c>
      <c r="BG76" s="522" t="n">
        <f aca="false">-(BG109+BG110)</f>
        <v>-0</v>
      </c>
      <c r="BH76" s="522" t="n">
        <f aca="false">-(BH109+BH110)</f>
        <v>-0</v>
      </c>
      <c r="BI76" s="522" t="n">
        <f aca="false">-(BI109+BI110)</f>
        <v>-0</v>
      </c>
      <c r="BJ76" s="522" t="n">
        <f aca="false">-(BJ109+BJ110)</f>
        <v>-0</v>
      </c>
      <c r="BK76" s="522" t="n">
        <f aca="false">-(BK109+BK110)</f>
        <v>-0</v>
      </c>
      <c r="BL76" s="522" t="n">
        <f aca="false">-(BL109+BL110)</f>
        <v>-0</v>
      </c>
      <c r="BM76" s="522" t="n">
        <f aca="false">-(BM109+BM110)</f>
        <v>-0</v>
      </c>
      <c r="BN76" s="522" t="n">
        <f aca="false">-(BN109+BN110)</f>
        <v>-0</v>
      </c>
      <c r="BO76" s="522" t="n">
        <f aca="false">-(BO109+BO110)</f>
        <v>-0</v>
      </c>
      <c r="BP76" s="522" t="n">
        <f aca="false">-(BP109+BP110)</f>
        <v>-0</v>
      </c>
      <c r="BQ76" s="522" t="n">
        <f aca="false">-(BQ109+BQ110)</f>
        <v>-0</v>
      </c>
      <c r="BR76" s="522" t="n">
        <f aca="false">-(BR109+BR110)</f>
        <v>-0</v>
      </c>
      <c r="BS76" s="522" t="n">
        <f aca="false">-(BS109+BS110)</f>
        <v>-0</v>
      </c>
      <c r="BT76" s="522" t="n">
        <f aca="false">-(BT109+BT110)</f>
        <v>-0</v>
      </c>
      <c r="BU76" s="522" t="n">
        <f aca="false">-(BU109+BU110)</f>
        <v>-0</v>
      </c>
      <c r="BV76" s="522" t="n">
        <f aca="false">-(BV109+BV110)</f>
        <v>-0</v>
      </c>
      <c r="BW76" s="522" t="n">
        <f aca="false">-(BW109+BW110)</f>
        <v>-0</v>
      </c>
      <c r="BX76" s="522" t="n">
        <f aca="false">-(BX109+BX110)</f>
        <v>-0</v>
      </c>
      <c r="BY76" s="522" t="n">
        <f aca="false">-(BY109+BY110)</f>
        <v>-0</v>
      </c>
      <c r="BZ76" s="522" t="n">
        <f aca="false">-(BZ109+BZ110)</f>
        <v>-0</v>
      </c>
      <c r="CA76" s="522" t="n">
        <f aca="false">-(CA109+CA110)</f>
        <v>-0</v>
      </c>
      <c r="CB76" s="522" t="n">
        <f aca="false">-(CB109+CB110)</f>
        <v>-0</v>
      </c>
      <c r="CC76" s="522" t="n">
        <f aca="false">-(CC109+CC110)</f>
        <v>-0</v>
      </c>
      <c r="CD76" s="522" t="n">
        <f aca="false">-(CD109+CD110)</f>
        <v>-0</v>
      </c>
      <c r="CE76" s="522" t="n">
        <f aca="false">-(CE109+CE110)</f>
        <v>-0</v>
      </c>
      <c r="CF76" s="522" t="n">
        <f aca="false">-(CF109+CF110)</f>
        <v>-0</v>
      </c>
      <c r="CG76" s="522" t="n">
        <f aca="false">-(CG109+CG110)</f>
        <v>-0</v>
      </c>
      <c r="CH76" s="522" t="n">
        <f aca="false">-(CH109+CH110)</f>
        <v>-0</v>
      </c>
      <c r="CI76" s="522" t="n">
        <f aca="false">-(CI109+CI110)</f>
        <v>-0</v>
      </c>
      <c r="CJ76" s="522" t="n">
        <f aca="false">-(CJ109+CJ110)</f>
        <v>-0</v>
      </c>
      <c r="CK76" s="522" t="n">
        <f aca="false">-(CK109+CK110)</f>
        <v>-0</v>
      </c>
      <c r="CL76" s="522" t="n">
        <f aca="false">-(CL109+CL110)</f>
        <v>-0</v>
      </c>
      <c r="CM76" s="522" t="n">
        <f aca="false">-(CM109+CM110)</f>
        <v>-0</v>
      </c>
      <c r="CN76" s="522" t="n">
        <f aca="false">-(CN109+CN110)</f>
        <v>-0</v>
      </c>
      <c r="CO76" s="522" t="n">
        <f aca="false">-(CO109+CO110)</f>
        <v>-0</v>
      </c>
      <c r="CP76" s="522" t="n">
        <f aca="false">-(CP109+CP110)</f>
        <v>-0</v>
      </c>
      <c r="CQ76" s="522" t="n">
        <f aca="false">-(CQ109+CQ110)</f>
        <v>-0</v>
      </c>
      <c r="CR76" s="522" t="n">
        <f aca="false">-(CR109+CR110)</f>
        <v>-0</v>
      </c>
      <c r="CS76" s="522" t="n">
        <f aca="false">-(CS109+CS110)</f>
        <v>-0</v>
      </c>
      <c r="CT76" s="522" t="n">
        <f aca="false">-(CT109+CT110)</f>
        <v>-0</v>
      </c>
      <c r="CU76" s="522" t="n">
        <f aca="false">-(CU109+CU110)</f>
        <v>-0</v>
      </c>
      <c r="CV76" s="522" t="n">
        <f aca="false">-(CV109+CV110)</f>
        <v>-0</v>
      </c>
      <c r="CW76" s="522" t="n">
        <f aca="false">-(CW109+CW110)</f>
        <v>-0</v>
      </c>
      <c r="CX76" s="522" t="n">
        <f aca="false">-(CX109+CX110)</f>
        <v>-0</v>
      </c>
      <c r="CY76" s="522" t="n">
        <f aca="false">-(CY109+CY110)</f>
        <v>-0</v>
      </c>
      <c r="CZ76" s="522" t="n">
        <f aca="false">-(CZ109+CZ110)</f>
        <v>-0</v>
      </c>
      <c r="DA76" s="522" t="n">
        <f aca="false">-(DA109+DA110)</f>
        <v>-0</v>
      </c>
      <c r="DB76" s="522" t="n">
        <f aca="false">-(DB109+DB110)</f>
        <v>-0</v>
      </c>
      <c r="DC76" s="522" t="n">
        <f aca="false">-(DC109+DC110)</f>
        <v>-0</v>
      </c>
      <c r="DD76" s="522" t="n">
        <f aca="false">-(DD109+DD110)</f>
        <v>-0</v>
      </c>
      <c r="DE76" s="522" t="n">
        <f aca="false">-(DE109+DE110)</f>
        <v>-0</v>
      </c>
      <c r="DF76" s="522" t="n">
        <f aca="false">-(DF109+DF110)</f>
        <v>-0</v>
      </c>
      <c r="DG76" s="522" t="n">
        <f aca="false">-(DG109+DG110)</f>
        <v>-0</v>
      </c>
      <c r="DH76" s="522" t="n">
        <f aca="false">-(DH109+DH110)</f>
        <v>-0</v>
      </c>
      <c r="DI76" s="522" t="n">
        <f aca="false">-(DI109+DI110)</f>
        <v>-0</v>
      </c>
      <c r="DJ76" s="522" t="n">
        <f aca="false">-(DJ109+DJ110)</f>
        <v>-0</v>
      </c>
      <c r="DK76" s="522" t="n">
        <f aca="false">-(DK109+DK110)</f>
        <v>-0</v>
      </c>
      <c r="DL76" s="522" t="n">
        <f aca="false">-(DL109+DL110)</f>
        <v>-0</v>
      </c>
      <c r="DM76" s="522" t="n">
        <f aca="false">-(DM109+DM110)</f>
        <v>-0</v>
      </c>
      <c r="DN76" s="522" t="n">
        <f aca="false">-(DN109+DN110)</f>
        <v>-0</v>
      </c>
      <c r="DO76" s="522" t="n">
        <f aca="false">-(DO109+DO110)</f>
        <v>-0</v>
      </c>
      <c r="DP76" s="522" t="n">
        <f aca="false">-(DP109+DP110)</f>
        <v>-0</v>
      </c>
      <c r="DQ76" s="522" t="n">
        <f aca="false">-(DQ109+DQ110)</f>
        <v>-0</v>
      </c>
      <c r="DR76" s="522" t="n">
        <f aca="false">-(DR109+DR110)</f>
        <v>-0</v>
      </c>
      <c r="DS76" s="522" t="n">
        <f aca="false">-(DS109+DS110)</f>
        <v>-0</v>
      </c>
      <c r="DT76" s="522" t="n">
        <f aca="false">-(DT109+DT110)</f>
        <v>-0</v>
      </c>
      <c r="DU76" s="522" t="n">
        <f aca="false">-(DU109+DU110)</f>
        <v>-0</v>
      </c>
      <c r="DV76" s="522" t="n">
        <f aca="false">-(DV109+DV110)</f>
        <v>-0</v>
      </c>
      <c r="DW76" s="522" t="n">
        <f aca="false">-(DW109+DW110)</f>
        <v>-0</v>
      </c>
      <c r="DX76" s="522" t="n">
        <f aca="false">-(DX109+DX110)</f>
        <v>-0</v>
      </c>
      <c r="DY76" s="522" t="n">
        <f aca="false">-(DY109+DY110)</f>
        <v>-0</v>
      </c>
      <c r="DZ76" s="522" t="n">
        <f aca="false">-(DZ109+DZ110)</f>
        <v>-0</v>
      </c>
      <c r="EA76" s="522" t="n">
        <f aca="false">-(EA109+EA110)</f>
        <v>-0</v>
      </c>
      <c r="EB76" s="522" t="n">
        <f aca="false">-(EB109+EB110)</f>
        <v>-0</v>
      </c>
      <c r="EC76" s="522" t="n">
        <f aca="false">-(EC109+EC110)</f>
        <v>-0</v>
      </c>
      <c r="ED76" s="522" t="n">
        <f aca="false">-(ED109+ED110)</f>
        <v>-0</v>
      </c>
      <c r="EE76" s="522" t="n">
        <f aca="false">-(EE109+EE110)</f>
        <v>-0</v>
      </c>
      <c r="EF76" s="522" t="n">
        <f aca="false">-(EF109+EF110)</f>
        <v>-0</v>
      </c>
      <c r="EG76" s="522" t="n">
        <f aca="false">-(EG109+EG110)</f>
        <v>-0</v>
      </c>
      <c r="EH76" s="522" t="n">
        <f aca="false">-(EH109+EH110)</f>
        <v>-0</v>
      </c>
      <c r="EI76" s="558" t="n">
        <f aca="false">-(EI109+EI110)</f>
        <v>-0</v>
      </c>
      <c r="EK76" s="559" t="n">
        <f aca="true">SUM(OFFSET($G76,0,EK$24*12-11,1,12))</f>
        <v>0</v>
      </c>
      <c r="EL76" s="522" t="n">
        <f aca="true">SUM(OFFSET($G76,0,EL$24*12-11,1,12))</f>
        <v>0</v>
      </c>
      <c r="EM76" s="522" t="n">
        <f aca="true">SUM(OFFSET($G76,0,EM$24*12-11,1,12))</f>
        <v>0</v>
      </c>
      <c r="EN76" s="522" t="n">
        <f aca="true">SUM(OFFSET($G76,0,EN$24*12-11,1,12))</f>
        <v>0</v>
      </c>
      <c r="EO76" s="522" t="n">
        <f aca="true">SUM(OFFSET($G76,0,EO$24*12-11,1,12))</f>
        <v>0</v>
      </c>
      <c r="EP76" s="522" t="n">
        <f aca="true">SUM(OFFSET($G76,0,EP$24*12-11,1,12))</f>
        <v>0</v>
      </c>
      <c r="EQ76" s="522" t="n">
        <f aca="true">SUM(OFFSET($G76,0,EQ$24*12-11,1,12))</f>
        <v>0</v>
      </c>
      <c r="ER76" s="522" t="n">
        <f aca="true">SUM(OFFSET($G76,0,ER$24*12-11,1,12))</f>
        <v>0</v>
      </c>
      <c r="ES76" s="522" t="n">
        <f aca="true">SUM(OFFSET($G76,0,ES$24*12-11,1,12))</f>
        <v>0</v>
      </c>
      <c r="ET76" s="558" t="n">
        <f aca="true">SUM(OFFSET($G76,0,ET$24*12-11,1,12))</f>
        <v>0</v>
      </c>
    </row>
    <row r="77" s="550" customFormat="true" ht="13.5" hidden="false" customHeight="true" outlineLevel="1" collapsed="false">
      <c r="B77" s="584" t="s">
        <v>586</v>
      </c>
      <c r="C77" s="585"/>
      <c r="E77" s="550" t="n">
        <f aca="true">SUM(OFFSET(G77,0,0,1,'Executive Summary'!$I$13+1))</f>
        <v>-1291606.7504745</v>
      </c>
      <c r="G77" s="550" t="n">
        <f aca="false">SUM(G71:G76)</f>
        <v>5145000</v>
      </c>
      <c r="H77" s="550" t="n">
        <f aca="false">SUM(H71:H76)</f>
        <v>-21016.6666666667</v>
      </c>
      <c r="I77" s="550" t="n">
        <f aca="false">SUM(I71:I76)</f>
        <v>-21016.6666666667</v>
      </c>
      <c r="J77" s="550" t="n">
        <f aca="false">SUM(J71:J76)</f>
        <v>-21016.6666666667</v>
      </c>
      <c r="K77" s="550" t="n">
        <f aca="false">SUM(K71:K76)</f>
        <v>-21016.6666666667</v>
      </c>
      <c r="L77" s="550" t="n">
        <f aca="false">SUM(L71:L76)</f>
        <v>-21016.6666666667</v>
      </c>
      <c r="M77" s="550" t="n">
        <f aca="false">SUM(M71:M76)</f>
        <v>-21016.6666666667</v>
      </c>
      <c r="N77" s="550" t="n">
        <f aca="false">SUM(N71:N76)</f>
        <v>-21016.6666666667</v>
      </c>
      <c r="O77" s="550" t="n">
        <f aca="false">SUM(O71:O76)</f>
        <v>-21016.6666666667</v>
      </c>
      <c r="P77" s="550" t="n">
        <f aca="false">SUM(P71:P76)</f>
        <v>-21016.6666666667</v>
      </c>
      <c r="Q77" s="550" t="n">
        <f aca="false">SUM(Q71:Q76)</f>
        <v>-21016.6666666667</v>
      </c>
      <c r="R77" s="550" t="n">
        <f aca="false">SUM(R71:R76)</f>
        <v>-21016.6666666667</v>
      </c>
      <c r="S77" s="550" t="n">
        <f aca="false">SUM(S71:S76)</f>
        <v>-21016.6666666667</v>
      </c>
      <c r="T77" s="550" t="n">
        <f aca="false">SUM(T71:T76)</f>
        <v>-21016.6666666667</v>
      </c>
      <c r="U77" s="550" t="n">
        <f aca="false">SUM(U71:U76)</f>
        <v>-21016.6666666667</v>
      </c>
      <c r="V77" s="550" t="n">
        <f aca="false">SUM(V71:V76)</f>
        <v>-21016.6666666667</v>
      </c>
      <c r="W77" s="550" t="n">
        <f aca="false">SUM(W71:W76)</f>
        <v>-21016.6666666667</v>
      </c>
      <c r="X77" s="550" t="n">
        <f aca="false">SUM(X71:X76)</f>
        <v>-21016.6666666667</v>
      </c>
      <c r="Y77" s="550" t="n">
        <f aca="false">SUM(Y71:Y76)</f>
        <v>-21016.6666666667</v>
      </c>
      <c r="Z77" s="550" t="n">
        <f aca="false">SUM(Z71:Z76)</f>
        <v>-21016.6666666667</v>
      </c>
      <c r="AA77" s="550" t="n">
        <f aca="false">SUM(AA71:AA76)</f>
        <v>-21016.6666666667</v>
      </c>
      <c r="AB77" s="550" t="n">
        <f aca="false">SUM(AB71:AB76)</f>
        <v>-21016.6666666667</v>
      </c>
      <c r="AC77" s="550" t="n">
        <f aca="false">SUM(AC71:AC76)</f>
        <v>-21016.6666666667</v>
      </c>
      <c r="AD77" s="550" t="n">
        <f aca="false">SUM(AD71:AD76)</f>
        <v>-21016.6666666667</v>
      </c>
      <c r="AE77" s="550" t="n">
        <f aca="false">SUM(AE71:AE76)</f>
        <v>-21016.6666666667</v>
      </c>
      <c r="AF77" s="550" t="n">
        <f aca="false">SUM(AF71:AF76)</f>
        <v>-21016.6666666667</v>
      </c>
      <c r="AG77" s="550" t="n">
        <f aca="false">SUM(AG71:AG76)</f>
        <v>-21016.6666666667</v>
      </c>
      <c r="AH77" s="550" t="n">
        <f aca="false">SUM(AH71:AH76)</f>
        <v>-21016.6666666667</v>
      </c>
      <c r="AI77" s="550" t="n">
        <f aca="false">SUM(AI71:AI76)</f>
        <v>-21016.6666666667</v>
      </c>
      <c r="AJ77" s="550" t="n">
        <f aca="false">SUM(AJ71:AJ76)</f>
        <v>-21016.6666666667</v>
      </c>
      <c r="AK77" s="550" t="n">
        <f aca="false">SUM(AK71:AK76)</f>
        <v>-21016.6666666667</v>
      </c>
      <c r="AL77" s="550" t="n">
        <f aca="false">SUM(AL71:AL76)</f>
        <v>-21016.6666666667</v>
      </c>
      <c r="AM77" s="550" t="n">
        <f aca="false">SUM(AM71:AM76)</f>
        <v>-21016.6666666667</v>
      </c>
      <c r="AN77" s="550" t="n">
        <f aca="false">SUM(AN71:AN76)</f>
        <v>-21016.6666666667</v>
      </c>
      <c r="AO77" s="550" t="n">
        <f aca="false">SUM(AO71:AO76)</f>
        <v>-21016.6666666667</v>
      </c>
      <c r="AP77" s="550" t="n">
        <f aca="false">SUM(AP71:AP76)</f>
        <v>-21016.6666666667</v>
      </c>
      <c r="AQ77" s="550" t="n">
        <f aca="false">SUM(AQ71:AQ76)</f>
        <v>-21016.6666666667</v>
      </c>
      <c r="AR77" s="550" t="n">
        <f aca="false">SUM(AR71:AR76)</f>
        <v>-28319.7473170102</v>
      </c>
      <c r="AS77" s="550" t="n">
        <f aca="false">SUM(AS71:AS76)</f>
        <v>-28319.7473170102</v>
      </c>
      <c r="AT77" s="550" t="n">
        <f aca="false">SUM(AT71:AT76)</f>
        <v>-28319.7473170102</v>
      </c>
      <c r="AU77" s="550" t="n">
        <f aca="false">SUM(AU71:AU76)</f>
        <v>-28319.7473170102</v>
      </c>
      <c r="AV77" s="550" t="n">
        <f aca="false">SUM(AV71:AV76)</f>
        <v>-28319.7473170102</v>
      </c>
      <c r="AW77" s="550" t="n">
        <f aca="false">SUM(AW71:AW76)</f>
        <v>-28319.7473170102</v>
      </c>
      <c r="AX77" s="550" t="n">
        <f aca="false">SUM(AX71:AX76)</f>
        <v>-28319.7473170102</v>
      </c>
      <c r="AY77" s="550" t="n">
        <f aca="false">SUM(AY71:AY76)</f>
        <v>-28319.7473170102</v>
      </c>
      <c r="AZ77" s="550" t="n">
        <f aca="false">SUM(AZ71:AZ76)</f>
        <v>-28319.7473170102</v>
      </c>
      <c r="BA77" s="550" t="n">
        <f aca="false">SUM(BA71:BA76)</f>
        <v>-28319.7473170102</v>
      </c>
      <c r="BB77" s="550" t="n">
        <f aca="false">SUM(BB71:BB76)</f>
        <v>-28319.7473170102</v>
      </c>
      <c r="BC77" s="550" t="n">
        <f aca="false">SUM(BC71:BC76)</f>
        <v>-28319.7473170102</v>
      </c>
      <c r="BD77" s="550" t="n">
        <f aca="false">SUM(BD71:BD76)</f>
        <v>-28319.7473170102</v>
      </c>
      <c r="BE77" s="550" t="n">
        <f aca="false">SUM(BE71:BE76)</f>
        <v>-28319.7473170102</v>
      </c>
      <c r="BF77" s="550" t="n">
        <f aca="false">SUM(BF71:BF76)</f>
        <v>-28319.7473170102</v>
      </c>
      <c r="BG77" s="550" t="n">
        <f aca="false">SUM(BG71:BG76)</f>
        <v>-28319.7473170102</v>
      </c>
      <c r="BH77" s="550" t="n">
        <f aca="false">SUM(BH71:BH76)</f>
        <v>-28319.7473170102</v>
      </c>
      <c r="BI77" s="550" t="n">
        <f aca="false">SUM(BI71:BI76)</f>
        <v>-28319.7473170102</v>
      </c>
      <c r="BJ77" s="550" t="n">
        <f aca="false">SUM(BJ71:BJ76)</f>
        <v>-28319.7473170102</v>
      </c>
      <c r="BK77" s="550" t="n">
        <f aca="false">SUM(BK71:BK76)</f>
        <v>-28319.7473170102</v>
      </c>
      <c r="BL77" s="550" t="n">
        <f aca="false">SUM(BL71:BL76)</f>
        <v>-28319.7473170102</v>
      </c>
      <c r="BM77" s="550" t="n">
        <f aca="false">SUM(BM71:BM76)</f>
        <v>-28319.7473170102</v>
      </c>
      <c r="BN77" s="550" t="n">
        <f aca="false">SUM(BN71:BN76)</f>
        <v>-28319.7473170102</v>
      </c>
      <c r="BO77" s="550" t="n">
        <f aca="false">SUM(BO71:BO76)</f>
        <v>-5028652.56218326</v>
      </c>
      <c r="BP77" s="550" t="n">
        <f aca="false">SUM(BP71:BP76)</f>
        <v>0</v>
      </c>
      <c r="BQ77" s="550" t="n">
        <f aca="false">SUM(BQ71:BQ76)</f>
        <v>0</v>
      </c>
      <c r="BR77" s="550" t="n">
        <f aca="false">SUM(BR71:BR76)</f>
        <v>0</v>
      </c>
      <c r="BS77" s="550" t="n">
        <f aca="false">SUM(BS71:BS76)</f>
        <v>0</v>
      </c>
      <c r="BT77" s="550" t="n">
        <f aca="false">SUM(BT71:BT76)</f>
        <v>0</v>
      </c>
      <c r="BU77" s="550" t="n">
        <f aca="false">SUM(BU71:BU76)</f>
        <v>0</v>
      </c>
      <c r="BV77" s="550" t="n">
        <f aca="false">SUM(BV71:BV76)</f>
        <v>0</v>
      </c>
      <c r="BW77" s="550" t="n">
        <f aca="false">SUM(BW71:BW76)</f>
        <v>0</v>
      </c>
      <c r="BX77" s="550" t="n">
        <f aca="false">SUM(BX71:BX76)</f>
        <v>0</v>
      </c>
      <c r="BY77" s="550" t="n">
        <f aca="false">SUM(BY71:BY76)</f>
        <v>0</v>
      </c>
      <c r="BZ77" s="550" t="n">
        <f aca="false">SUM(BZ71:BZ76)</f>
        <v>0</v>
      </c>
      <c r="CA77" s="550" t="n">
        <f aca="false">SUM(CA71:CA76)</f>
        <v>0</v>
      </c>
      <c r="CB77" s="550" t="n">
        <f aca="false">SUM(CB71:CB76)</f>
        <v>0</v>
      </c>
      <c r="CC77" s="550" t="n">
        <f aca="false">SUM(CC71:CC76)</f>
        <v>0</v>
      </c>
      <c r="CD77" s="550" t="n">
        <f aca="false">SUM(CD71:CD76)</f>
        <v>0</v>
      </c>
      <c r="CE77" s="550" t="n">
        <f aca="false">SUM(CE71:CE76)</f>
        <v>0</v>
      </c>
      <c r="CF77" s="550" t="n">
        <f aca="false">SUM(CF71:CF76)</f>
        <v>0</v>
      </c>
      <c r="CG77" s="550" t="n">
        <f aca="false">SUM(CG71:CG76)</f>
        <v>0</v>
      </c>
      <c r="CH77" s="550" t="n">
        <f aca="false">SUM(CH71:CH76)</f>
        <v>0</v>
      </c>
      <c r="CI77" s="550" t="n">
        <f aca="false">SUM(CI71:CI76)</f>
        <v>0</v>
      </c>
      <c r="CJ77" s="550" t="n">
        <f aca="false">SUM(CJ71:CJ76)</f>
        <v>0</v>
      </c>
      <c r="CK77" s="550" t="n">
        <f aca="false">SUM(CK71:CK76)</f>
        <v>0</v>
      </c>
      <c r="CL77" s="550" t="n">
        <f aca="false">SUM(CL71:CL76)</f>
        <v>0</v>
      </c>
      <c r="CM77" s="550" t="n">
        <f aca="false">SUM(CM71:CM76)</f>
        <v>0</v>
      </c>
      <c r="CN77" s="550" t="n">
        <f aca="false">SUM(CN71:CN76)</f>
        <v>0</v>
      </c>
      <c r="CO77" s="550" t="n">
        <f aca="false">SUM(CO71:CO76)</f>
        <v>0</v>
      </c>
      <c r="CP77" s="550" t="n">
        <f aca="false">SUM(CP71:CP76)</f>
        <v>0</v>
      </c>
      <c r="CQ77" s="550" t="n">
        <f aca="false">SUM(CQ71:CQ76)</f>
        <v>0</v>
      </c>
      <c r="CR77" s="550" t="n">
        <f aca="false">SUM(CR71:CR76)</f>
        <v>0</v>
      </c>
      <c r="CS77" s="550" t="n">
        <f aca="false">SUM(CS71:CS76)</f>
        <v>0</v>
      </c>
      <c r="CT77" s="550" t="n">
        <f aca="false">SUM(CT71:CT76)</f>
        <v>0</v>
      </c>
      <c r="CU77" s="550" t="n">
        <f aca="false">SUM(CU71:CU76)</f>
        <v>0</v>
      </c>
      <c r="CV77" s="550" t="n">
        <f aca="false">SUM(CV71:CV76)</f>
        <v>0</v>
      </c>
      <c r="CW77" s="550" t="n">
        <f aca="false">SUM(CW71:CW76)</f>
        <v>0</v>
      </c>
      <c r="CX77" s="550" t="n">
        <f aca="false">SUM(CX71:CX76)</f>
        <v>0</v>
      </c>
      <c r="CY77" s="550" t="n">
        <f aca="false">SUM(CY71:CY76)</f>
        <v>0</v>
      </c>
      <c r="CZ77" s="550" t="n">
        <f aca="false">SUM(CZ71:CZ76)</f>
        <v>0</v>
      </c>
      <c r="DA77" s="550" t="n">
        <f aca="false">SUM(DA71:DA76)</f>
        <v>0</v>
      </c>
      <c r="DB77" s="550" t="n">
        <f aca="false">SUM(DB71:DB76)</f>
        <v>0</v>
      </c>
      <c r="DC77" s="550" t="n">
        <f aca="false">SUM(DC71:DC76)</f>
        <v>0</v>
      </c>
      <c r="DD77" s="550" t="n">
        <f aca="false">SUM(DD71:DD76)</f>
        <v>0</v>
      </c>
      <c r="DE77" s="550" t="n">
        <f aca="false">SUM(DE71:DE76)</f>
        <v>0</v>
      </c>
      <c r="DF77" s="550" t="n">
        <f aca="false">SUM(DF71:DF76)</f>
        <v>0</v>
      </c>
      <c r="DG77" s="550" t="n">
        <f aca="false">SUM(DG71:DG76)</f>
        <v>0</v>
      </c>
      <c r="DH77" s="550" t="n">
        <f aca="false">SUM(DH71:DH76)</f>
        <v>0</v>
      </c>
      <c r="DI77" s="550" t="n">
        <f aca="false">SUM(DI71:DI76)</f>
        <v>0</v>
      </c>
      <c r="DJ77" s="550" t="n">
        <f aca="false">SUM(DJ71:DJ76)</f>
        <v>0</v>
      </c>
      <c r="DK77" s="550" t="n">
        <f aca="false">SUM(DK71:DK76)</f>
        <v>0</v>
      </c>
      <c r="DL77" s="550" t="n">
        <f aca="false">SUM(DL71:DL76)</f>
        <v>0</v>
      </c>
      <c r="DM77" s="550" t="n">
        <f aca="false">SUM(DM71:DM76)</f>
        <v>0</v>
      </c>
      <c r="DN77" s="550" t="n">
        <f aca="false">SUM(DN71:DN76)</f>
        <v>0</v>
      </c>
      <c r="DO77" s="550" t="n">
        <f aca="false">SUM(DO71:DO76)</f>
        <v>0</v>
      </c>
      <c r="DP77" s="550" t="n">
        <f aca="false">SUM(DP71:DP76)</f>
        <v>0</v>
      </c>
      <c r="DQ77" s="550" t="n">
        <f aca="false">SUM(DQ71:DQ76)</f>
        <v>0</v>
      </c>
      <c r="DR77" s="550" t="n">
        <f aca="false">SUM(DR71:DR76)</f>
        <v>0</v>
      </c>
      <c r="DS77" s="550" t="n">
        <f aca="false">SUM(DS71:DS76)</f>
        <v>0</v>
      </c>
      <c r="DT77" s="550" t="n">
        <f aca="false">SUM(DT71:DT76)</f>
        <v>0</v>
      </c>
      <c r="DU77" s="550" t="n">
        <f aca="false">SUM(DU71:DU76)</f>
        <v>0</v>
      </c>
      <c r="DV77" s="550" t="n">
        <f aca="false">SUM(DV71:DV76)</f>
        <v>0</v>
      </c>
      <c r="DW77" s="550" t="n">
        <f aca="false">SUM(DW71:DW76)</f>
        <v>0</v>
      </c>
      <c r="DX77" s="550" t="n">
        <f aca="false">SUM(DX71:DX76)</f>
        <v>0</v>
      </c>
      <c r="DY77" s="550" t="n">
        <f aca="false">SUM(DY71:DY76)</f>
        <v>0</v>
      </c>
      <c r="DZ77" s="550" t="n">
        <f aca="false">SUM(DZ71:DZ76)</f>
        <v>0</v>
      </c>
      <c r="EA77" s="550" t="n">
        <f aca="false">SUM(EA71:EA76)</f>
        <v>0</v>
      </c>
      <c r="EB77" s="550" t="n">
        <f aca="false">SUM(EB71:EB76)</f>
        <v>0</v>
      </c>
      <c r="EC77" s="550" t="n">
        <f aca="false">SUM(EC71:EC76)</f>
        <v>0</v>
      </c>
      <c r="ED77" s="550" t="n">
        <f aca="false">SUM(ED71:ED76)</f>
        <v>0</v>
      </c>
      <c r="EE77" s="550" t="n">
        <f aca="false">SUM(EE71:EE76)</f>
        <v>0</v>
      </c>
      <c r="EF77" s="550" t="n">
        <f aca="false">SUM(EF71:EF76)</f>
        <v>0</v>
      </c>
      <c r="EG77" s="550" t="n">
        <f aca="false">SUM(EG71:EG76)</f>
        <v>0</v>
      </c>
      <c r="EH77" s="550" t="n">
        <f aca="false">SUM(EH71:EH76)</f>
        <v>0</v>
      </c>
      <c r="EI77" s="586" t="n">
        <f aca="false">SUM(EI71:EI76)</f>
        <v>0</v>
      </c>
      <c r="EK77" s="584" t="n">
        <f aca="true">SUM(OFFSET($G77,0,EK$24*12-11,1,12))</f>
        <v>-252200</v>
      </c>
      <c r="EL77" s="550" t="n">
        <f aca="true">SUM(OFFSET($G77,0,EL$24*12-11,1,12))</f>
        <v>-252200</v>
      </c>
      <c r="EM77" s="550" t="n">
        <f aca="true">SUM(OFFSET($G77,0,EM$24*12-11,1,12))</f>
        <v>-252200</v>
      </c>
      <c r="EN77" s="550" t="n">
        <f aca="true">SUM(OFFSET($G77,0,EN$24*12-11,1,12))</f>
        <v>-339836.967804123</v>
      </c>
      <c r="EO77" s="550" t="n">
        <f aca="true">SUM(OFFSET($G77,0,EO$24*12-11,1,12))</f>
        <v>-5340169.78267038</v>
      </c>
      <c r="EP77" s="550" t="n">
        <f aca="true">SUM(OFFSET($G77,0,EP$24*12-11,1,12))</f>
        <v>0</v>
      </c>
      <c r="EQ77" s="550" t="n">
        <f aca="true">SUM(OFFSET($G77,0,EQ$24*12-11,1,12))</f>
        <v>0</v>
      </c>
      <c r="ER77" s="550" t="n">
        <f aca="true">SUM(OFFSET($G77,0,ER$24*12-11,1,12))</f>
        <v>0</v>
      </c>
      <c r="ES77" s="550" t="n">
        <f aca="true">SUM(OFFSET($G77,0,ES$24*12-11,1,12))</f>
        <v>0</v>
      </c>
      <c r="ET77" s="586" t="n">
        <f aca="true">SUM(OFFSET($G77,0,ET$24*12-11,1,12))</f>
        <v>0</v>
      </c>
    </row>
    <row r="78" customFormat="false" ht="13.5" hidden="false" customHeight="true" outlineLevel="1" collapsed="false">
      <c r="B78" s="587"/>
      <c r="EI78" s="588"/>
      <c r="EK78" s="58"/>
      <c r="ET78" s="588"/>
    </row>
    <row r="79" customFormat="false" ht="13.5" hidden="false" customHeight="true" outlineLevel="1" collapsed="false">
      <c r="B79" s="589" t="s">
        <v>587</v>
      </c>
      <c r="C79" s="498"/>
      <c r="EI79" s="588"/>
      <c r="EK79" s="58"/>
      <c r="ET79" s="588"/>
    </row>
    <row r="80" s="522" customFormat="true" ht="13.5" hidden="false" customHeight="true" outlineLevel="1" collapsed="false">
      <c r="B80" s="556" t="s">
        <v>588</v>
      </c>
      <c r="C80" s="557"/>
      <c r="E80" s="522" t="n">
        <f aca="false">'Executive Summary'!L5</f>
        <v>5200000</v>
      </c>
      <c r="EI80" s="558"/>
      <c r="EK80" s="559"/>
      <c r="ET80" s="558"/>
    </row>
    <row r="81" customFormat="false" ht="13.5" hidden="false" customHeight="true" outlineLevel="1" collapsed="false">
      <c r="B81" s="58" t="s">
        <v>589</v>
      </c>
      <c r="C81" s="498"/>
      <c r="G81" s="10" t="n">
        <f aca="false">'Executive Summary'!$L$12-1-'Executive Summary'!$L$10</f>
        <v>-36</v>
      </c>
      <c r="H81" s="10" t="n">
        <f aca="false">$G$81+H4</f>
        <v>-35</v>
      </c>
      <c r="I81" s="10" t="n">
        <f aca="false">$G$81+I4</f>
        <v>-34</v>
      </c>
      <c r="J81" s="10" t="n">
        <f aca="false">$G$81+J4</f>
        <v>-33</v>
      </c>
      <c r="K81" s="10" t="n">
        <f aca="false">$G$81+K4</f>
        <v>-32</v>
      </c>
      <c r="L81" s="10" t="n">
        <f aca="false">$G$81+L4</f>
        <v>-31</v>
      </c>
      <c r="M81" s="10" t="n">
        <f aca="false">$G$81+M4</f>
        <v>-30</v>
      </c>
      <c r="N81" s="10" t="n">
        <f aca="false">$G$81+N4</f>
        <v>-29</v>
      </c>
      <c r="O81" s="10" t="n">
        <f aca="false">$G$81+O4</f>
        <v>-28</v>
      </c>
      <c r="P81" s="10" t="n">
        <f aca="false">$G$81+P4</f>
        <v>-27</v>
      </c>
      <c r="Q81" s="10" t="n">
        <f aca="false">$G$81+Q4</f>
        <v>-26</v>
      </c>
      <c r="R81" s="10" t="n">
        <f aca="false">$G$81+R4</f>
        <v>-25</v>
      </c>
      <c r="S81" s="10" t="n">
        <f aca="false">$G$81+S4</f>
        <v>-24</v>
      </c>
      <c r="T81" s="10" t="n">
        <f aca="false">$G$81+T4</f>
        <v>-23</v>
      </c>
      <c r="U81" s="10" t="n">
        <f aca="false">$G$81+U4</f>
        <v>-22</v>
      </c>
      <c r="V81" s="10" t="n">
        <f aca="false">$G$81+V4</f>
        <v>-21</v>
      </c>
      <c r="W81" s="10" t="n">
        <f aca="false">$G$81+W4</f>
        <v>-20</v>
      </c>
      <c r="X81" s="10" t="n">
        <f aca="false">$G$81+X4</f>
        <v>-19</v>
      </c>
      <c r="Y81" s="10" t="n">
        <f aca="false">$G$81+Y4</f>
        <v>-18</v>
      </c>
      <c r="Z81" s="10" t="n">
        <f aca="false">$G$81+Z4</f>
        <v>-17</v>
      </c>
      <c r="AA81" s="10" t="n">
        <f aca="false">$G$81+AA4</f>
        <v>-16</v>
      </c>
      <c r="AB81" s="10" t="n">
        <f aca="false">$G$81+AB4</f>
        <v>-15</v>
      </c>
      <c r="AC81" s="10" t="n">
        <f aca="false">$G$81+AC4</f>
        <v>-14</v>
      </c>
      <c r="AD81" s="10" t="n">
        <f aca="false">$G$81+AD4</f>
        <v>-13</v>
      </c>
      <c r="AE81" s="10" t="n">
        <f aca="false">$G$81+AE4</f>
        <v>-12</v>
      </c>
      <c r="AF81" s="10" t="n">
        <f aca="false">$G$81+AF4</f>
        <v>-11</v>
      </c>
      <c r="AG81" s="10" t="n">
        <f aca="false">$G$81+AG4</f>
        <v>-10</v>
      </c>
      <c r="AH81" s="10" t="n">
        <f aca="false">$G$81+AH4</f>
        <v>-9</v>
      </c>
      <c r="AI81" s="10" t="n">
        <f aca="false">$G$81+AI4</f>
        <v>-8</v>
      </c>
      <c r="AJ81" s="10" t="n">
        <f aca="false">$G$81+AJ4</f>
        <v>-7</v>
      </c>
      <c r="AK81" s="10" t="n">
        <f aca="false">$G$81+AK4</f>
        <v>-6</v>
      </c>
      <c r="AL81" s="10" t="n">
        <f aca="false">$G$81+AL4</f>
        <v>-5</v>
      </c>
      <c r="AM81" s="10" t="n">
        <f aca="false">$G$81+AM4</f>
        <v>-4</v>
      </c>
      <c r="AN81" s="10" t="n">
        <f aca="false">$G$81+AN4</f>
        <v>-3</v>
      </c>
      <c r="AO81" s="10" t="n">
        <f aca="false">$G$81+AO4</f>
        <v>-2</v>
      </c>
      <c r="AP81" s="10" t="n">
        <f aca="false">$G$81+AP4</f>
        <v>-1</v>
      </c>
      <c r="AQ81" s="10" t="n">
        <f aca="false">$G$81+AQ4</f>
        <v>0</v>
      </c>
      <c r="AR81" s="10" t="n">
        <f aca="false">$G$81+AR4</f>
        <v>1</v>
      </c>
      <c r="AS81" s="10" t="n">
        <f aca="false">$G$81+AS4</f>
        <v>2</v>
      </c>
      <c r="AT81" s="10" t="n">
        <f aca="false">$G$81+AT4</f>
        <v>3</v>
      </c>
      <c r="AU81" s="10" t="n">
        <f aca="false">$G$81+AU4</f>
        <v>4</v>
      </c>
      <c r="AV81" s="10" t="n">
        <f aca="false">$G$81+AV4</f>
        <v>5</v>
      </c>
      <c r="AW81" s="10" t="n">
        <f aca="false">$G$81+AW4</f>
        <v>6</v>
      </c>
      <c r="AX81" s="10" t="n">
        <f aca="false">$G$81+AX4</f>
        <v>7</v>
      </c>
      <c r="AY81" s="10" t="n">
        <f aca="false">$G$81+AY4</f>
        <v>8</v>
      </c>
      <c r="AZ81" s="10" t="n">
        <f aca="false">$G$81+AZ4</f>
        <v>9</v>
      </c>
      <c r="BA81" s="10" t="n">
        <f aca="false">$G$81+BA4</f>
        <v>10</v>
      </c>
      <c r="BB81" s="10" t="n">
        <f aca="false">$G$81+BB4</f>
        <v>11</v>
      </c>
      <c r="BC81" s="10" t="n">
        <f aca="false">$G$81+BC4</f>
        <v>12</v>
      </c>
      <c r="BD81" s="10" t="n">
        <f aca="false">$G$81+BD4</f>
        <v>13</v>
      </c>
      <c r="BE81" s="10" t="n">
        <f aca="false">$G$81+BE4</f>
        <v>14</v>
      </c>
      <c r="BF81" s="10" t="n">
        <f aca="false">$G$81+BF4</f>
        <v>15</v>
      </c>
      <c r="BG81" s="10" t="n">
        <f aca="false">$G$81+BG4</f>
        <v>16</v>
      </c>
      <c r="BH81" s="10" t="n">
        <f aca="false">$G$81+BH4</f>
        <v>17</v>
      </c>
      <c r="BI81" s="10" t="n">
        <f aca="false">$G$81+BI4</f>
        <v>18</v>
      </c>
      <c r="BJ81" s="10" t="n">
        <f aca="false">$G$81+BJ4</f>
        <v>19</v>
      </c>
      <c r="BK81" s="10" t="n">
        <f aca="false">$G$81+BK4</f>
        <v>20</v>
      </c>
      <c r="BL81" s="10" t="n">
        <f aca="false">$G$81+BL4</f>
        <v>21</v>
      </c>
      <c r="BM81" s="10" t="n">
        <f aca="false">$G$81+BM4</f>
        <v>22</v>
      </c>
      <c r="BN81" s="10" t="n">
        <f aca="false">$G$81+BN4</f>
        <v>23</v>
      </c>
      <c r="BO81" s="10" t="n">
        <f aca="false">$G$81+BO4</f>
        <v>24</v>
      </c>
      <c r="BP81" s="10" t="n">
        <f aca="false">$G$81+BP4</f>
        <v>25</v>
      </c>
      <c r="BQ81" s="10" t="n">
        <f aca="false">$G$81+BQ4</f>
        <v>26</v>
      </c>
      <c r="BR81" s="10" t="n">
        <f aca="false">$G$81+BR4</f>
        <v>27</v>
      </c>
      <c r="BS81" s="10" t="n">
        <f aca="false">$G$81+BS4</f>
        <v>28</v>
      </c>
      <c r="BT81" s="10" t="n">
        <f aca="false">$G$81+BT4</f>
        <v>29</v>
      </c>
      <c r="BU81" s="10" t="n">
        <f aca="false">$G$81+BU4</f>
        <v>30</v>
      </c>
      <c r="BV81" s="10" t="n">
        <f aca="false">$G$81+BV4</f>
        <v>31</v>
      </c>
      <c r="BW81" s="10" t="n">
        <f aca="false">$G$81+BW4</f>
        <v>32</v>
      </c>
      <c r="BX81" s="10" t="n">
        <f aca="false">$G$81+BX4</f>
        <v>33</v>
      </c>
      <c r="BY81" s="10" t="n">
        <f aca="false">$G$81+BY4</f>
        <v>34</v>
      </c>
      <c r="BZ81" s="10" t="n">
        <f aca="false">$G$81+BZ4</f>
        <v>35</v>
      </c>
      <c r="CA81" s="10" t="n">
        <f aca="false">$G$81+CA4</f>
        <v>36</v>
      </c>
      <c r="CB81" s="10" t="n">
        <f aca="false">$G$81+CB4</f>
        <v>37</v>
      </c>
      <c r="CC81" s="10" t="n">
        <f aca="false">$G$81+CC4</f>
        <v>38</v>
      </c>
      <c r="CD81" s="10" t="n">
        <f aca="false">$G$81+CD4</f>
        <v>39</v>
      </c>
      <c r="CE81" s="10" t="n">
        <f aca="false">$G$81+CE4</f>
        <v>40</v>
      </c>
      <c r="CF81" s="10" t="n">
        <f aca="false">$G$81+CF4</f>
        <v>41</v>
      </c>
      <c r="CG81" s="10" t="n">
        <f aca="false">$G$81+CG4</f>
        <v>42</v>
      </c>
      <c r="CH81" s="10" t="n">
        <f aca="false">$G$81+CH4</f>
        <v>43</v>
      </c>
      <c r="CI81" s="10" t="n">
        <f aca="false">$G$81+CI4</f>
        <v>44</v>
      </c>
      <c r="CJ81" s="10" t="n">
        <f aca="false">$G$81+CJ4</f>
        <v>45</v>
      </c>
      <c r="CK81" s="10" t="n">
        <f aca="false">$G$81+CK4</f>
        <v>46</v>
      </c>
      <c r="CL81" s="10" t="n">
        <f aca="false">$G$81+CL4</f>
        <v>47</v>
      </c>
      <c r="CM81" s="10" t="n">
        <f aca="false">$G$81+CM4</f>
        <v>48</v>
      </c>
      <c r="CN81" s="10" t="n">
        <f aca="false">$G$81+CN4</f>
        <v>49</v>
      </c>
      <c r="CO81" s="10" t="n">
        <f aca="false">$G$81+CO4</f>
        <v>50</v>
      </c>
      <c r="CP81" s="10" t="n">
        <f aca="false">$G$81+CP4</f>
        <v>51</v>
      </c>
      <c r="CQ81" s="10" t="n">
        <f aca="false">$G$81+CQ4</f>
        <v>52</v>
      </c>
      <c r="CR81" s="10" t="n">
        <f aca="false">$G$81+CR4</f>
        <v>53</v>
      </c>
      <c r="CS81" s="10" t="n">
        <f aca="false">$G$81+CS4</f>
        <v>54</v>
      </c>
      <c r="CT81" s="10" t="n">
        <f aca="false">$G$81+CT4</f>
        <v>55</v>
      </c>
      <c r="CU81" s="10" t="n">
        <f aca="false">$G$81+CU4</f>
        <v>56</v>
      </c>
      <c r="CV81" s="10" t="n">
        <f aca="false">$G$81+CV4</f>
        <v>57</v>
      </c>
      <c r="CW81" s="10" t="n">
        <f aca="false">$G$81+CW4</f>
        <v>58</v>
      </c>
      <c r="CX81" s="10" t="n">
        <f aca="false">$G$81+CX4</f>
        <v>59</v>
      </c>
      <c r="CY81" s="10" t="n">
        <f aca="false">$G$81+CY4</f>
        <v>60</v>
      </c>
      <c r="CZ81" s="10" t="n">
        <f aca="false">$G$81+CZ4</f>
        <v>61</v>
      </c>
      <c r="DA81" s="10" t="n">
        <f aca="false">$G$81+DA4</f>
        <v>62</v>
      </c>
      <c r="DB81" s="10" t="n">
        <f aca="false">$G$81+DB4</f>
        <v>63</v>
      </c>
      <c r="DC81" s="10" t="n">
        <f aca="false">$G$81+DC4</f>
        <v>64</v>
      </c>
      <c r="DD81" s="10" t="n">
        <f aca="false">$G$81+DD4</f>
        <v>65</v>
      </c>
      <c r="DE81" s="10" t="n">
        <f aca="false">$G$81+DE4</f>
        <v>66</v>
      </c>
      <c r="DF81" s="10" t="n">
        <f aca="false">$G$81+DF4</f>
        <v>67</v>
      </c>
      <c r="DG81" s="10" t="n">
        <f aca="false">$G$81+DG4</f>
        <v>68</v>
      </c>
      <c r="DH81" s="10" t="n">
        <f aca="false">$G$81+DH4</f>
        <v>69</v>
      </c>
      <c r="DI81" s="10" t="n">
        <f aca="false">$G$81+DI4</f>
        <v>70</v>
      </c>
      <c r="DJ81" s="10" t="n">
        <f aca="false">$G$81+DJ4</f>
        <v>71</v>
      </c>
      <c r="DK81" s="10" t="n">
        <f aca="false">$G$81+DK4</f>
        <v>72</v>
      </c>
      <c r="DL81" s="10" t="n">
        <f aca="false">$G$81+DL4</f>
        <v>73</v>
      </c>
      <c r="DM81" s="10" t="n">
        <f aca="false">$G$81+DM4</f>
        <v>74</v>
      </c>
      <c r="DN81" s="10" t="n">
        <f aca="false">$G$81+DN4</f>
        <v>75</v>
      </c>
      <c r="DO81" s="10" t="n">
        <f aca="false">$G$81+DO4</f>
        <v>76</v>
      </c>
      <c r="DP81" s="10" t="n">
        <f aca="false">$G$81+DP4</f>
        <v>77</v>
      </c>
      <c r="DQ81" s="10" t="n">
        <f aca="false">$G$81+DQ4</f>
        <v>78</v>
      </c>
      <c r="DR81" s="10" t="n">
        <f aca="false">$G$81+DR4</f>
        <v>79</v>
      </c>
      <c r="DS81" s="10" t="n">
        <f aca="false">$G$81+DS4</f>
        <v>80</v>
      </c>
      <c r="DT81" s="10" t="n">
        <f aca="false">$G$81+DT4</f>
        <v>81</v>
      </c>
      <c r="DU81" s="10" t="n">
        <f aca="false">$G$81+DU4</f>
        <v>82</v>
      </c>
      <c r="DV81" s="10" t="n">
        <f aca="false">$G$81+DV4</f>
        <v>83</v>
      </c>
      <c r="DW81" s="10" t="n">
        <f aca="false">$G$81+DW4</f>
        <v>84</v>
      </c>
      <c r="DX81" s="10" t="n">
        <f aca="false">$G$81+DX4</f>
        <v>85</v>
      </c>
      <c r="DY81" s="10" t="n">
        <f aca="false">$G$81+DY4</f>
        <v>86</v>
      </c>
      <c r="DZ81" s="10" t="n">
        <f aca="false">$G$81+DZ4</f>
        <v>87</v>
      </c>
      <c r="EA81" s="10" t="n">
        <f aca="false">$G$81+EA4</f>
        <v>88</v>
      </c>
      <c r="EB81" s="10" t="n">
        <f aca="false">$G$81+EB4</f>
        <v>89</v>
      </c>
      <c r="EC81" s="10" t="n">
        <f aca="false">$G$81+EC4</f>
        <v>90</v>
      </c>
      <c r="ED81" s="10" t="n">
        <f aca="false">$G$81+ED4</f>
        <v>91</v>
      </c>
      <c r="EE81" s="10" t="n">
        <f aca="false">$G$81+EE4</f>
        <v>92</v>
      </c>
      <c r="EF81" s="10" t="n">
        <f aca="false">$G$81+EF4</f>
        <v>93</v>
      </c>
      <c r="EG81" s="10" t="n">
        <f aca="false">$G$81+EG4</f>
        <v>94</v>
      </c>
      <c r="EH81" s="10" t="n">
        <f aca="false">$G$81+EH4</f>
        <v>95</v>
      </c>
      <c r="EI81" s="588" t="n">
        <f aca="false">$G$81+EI4</f>
        <v>96</v>
      </c>
      <c r="EK81" s="58"/>
      <c r="ET81" s="588"/>
    </row>
    <row r="82" s="522" customFormat="true" ht="13.5" hidden="false" customHeight="true" outlineLevel="1" collapsed="false">
      <c r="B82" s="559" t="s">
        <v>590</v>
      </c>
      <c r="C82" s="557"/>
      <c r="G82" s="522" t="n">
        <v>0</v>
      </c>
      <c r="H82" s="522" t="n">
        <f aca="false">G86</f>
        <v>5200000</v>
      </c>
      <c r="I82" s="522" t="n">
        <f aca="false">H86</f>
        <v>5200000</v>
      </c>
      <c r="J82" s="522" t="n">
        <f aca="false">I86</f>
        <v>5200000</v>
      </c>
      <c r="K82" s="522" t="n">
        <f aca="false">J86</f>
        <v>5200000</v>
      </c>
      <c r="L82" s="522" t="n">
        <f aca="false">K86</f>
        <v>5200000</v>
      </c>
      <c r="M82" s="522" t="n">
        <f aca="false">L86</f>
        <v>5200000</v>
      </c>
      <c r="N82" s="522" t="n">
        <f aca="false">M86</f>
        <v>5200000</v>
      </c>
      <c r="O82" s="522" t="n">
        <f aca="false">N86</f>
        <v>5200000</v>
      </c>
      <c r="P82" s="522" t="n">
        <f aca="false">O86</f>
        <v>5200000</v>
      </c>
      <c r="Q82" s="522" t="n">
        <f aca="false">P86</f>
        <v>5200000</v>
      </c>
      <c r="R82" s="522" t="n">
        <f aca="false">Q86</f>
        <v>5200000</v>
      </c>
      <c r="S82" s="522" t="n">
        <f aca="false">R86</f>
        <v>5200000</v>
      </c>
      <c r="T82" s="522" t="n">
        <f aca="false">S86</f>
        <v>5200000</v>
      </c>
      <c r="U82" s="522" t="n">
        <f aca="false">T86</f>
        <v>5200000</v>
      </c>
      <c r="V82" s="522" t="n">
        <f aca="false">U86</f>
        <v>5200000</v>
      </c>
      <c r="W82" s="522" t="n">
        <f aca="false">V86</f>
        <v>5200000</v>
      </c>
      <c r="X82" s="522" t="n">
        <f aca="false">W86</f>
        <v>5200000</v>
      </c>
      <c r="Y82" s="522" t="n">
        <f aca="false">X86</f>
        <v>5200000</v>
      </c>
      <c r="Z82" s="522" t="n">
        <f aca="false">Y86</f>
        <v>5200000</v>
      </c>
      <c r="AA82" s="522" t="n">
        <f aca="false">Z86</f>
        <v>5200000</v>
      </c>
      <c r="AB82" s="522" t="n">
        <f aca="false">AA86</f>
        <v>5200000</v>
      </c>
      <c r="AC82" s="522" t="n">
        <f aca="false">AB86</f>
        <v>5200000</v>
      </c>
      <c r="AD82" s="522" t="n">
        <f aca="false">AC86</f>
        <v>5200000</v>
      </c>
      <c r="AE82" s="522" t="n">
        <f aca="false">AD86</f>
        <v>5200000</v>
      </c>
      <c r="AF82" s="522" t="n">
        <f aca="false">AE86</f>
        <v>5200000</v>
      </c>
      <c r="AG82" s="522" t="n">
        <f aca="false">AF86</f>
        <v>5200000</v>
      </c>
      <c r="AH82" s="522" t="n">
        <f aca="false">AG86</f>
        <v>5200000</v>
      </c>
      <c r="AI82" s="522" t="n">
        <f aca="false">AH86</f>
        <v>5200000</v>
      </c>
      <c r="AJ82" s="522" t="n">
        <f aca="false">AI86</f>
        <v>5200000</v>
      </c>
      <c r="AK82" s="522" t="n">
        <f aca="false">AJ86</f>
        <v>5200000</v>
      </c>
      <c r="AL82" s="522" t="n">
        <f aca="false">AK86</f>
        <v>5200000</v>
      </c>
      <c r="AM82" s="522" t="n">
        <f aca="false">AL86</f>
        <v>5200000</v>
      </c>
      <c r="AN82" s="522" t="n">
        <f aca="false">AM86</f>
        <v>5200000</v>
      </c>
      <c r="AO82" s="522" t="n">
        <f aca="false">AN86</f>
        <v>5200000</v>
      </c>
      <c r="AP82" s="522" t="n">
        <f aca="false">AO86</f>
        <v>5200000</v>
      </c>
      <c r="AQ82" s="522" t="n">
        <f aca="false">AP86</f>
        <v>5200000</v>
      </c>
      <c r="AR82" s="522" t="n">
        <f aca="false">AQ86</f>
        <v>5200000</v>
      </c>
      <c r="AS82" s="522" t="n">
        <f aca="false">AR86</f>
        <v>5192696.91934966</v>
      </c>
      <c r="AT82" s="522" t="n">
        <f aca="false">AS86</f>
        <v>5185364.32208168</v>
      </c>
      <c r="AU82" s="522" t="n">
        <f aca="false">AT86</f>
        <v>5178002.08889975</v>
      </c>
      <c r="AV82" s="522" t="n">
        <f aca="false">AU86</f>
        <v>5170610.10002538</v>
      </c>
      <c r="AW82" s="522" t="n">
        <f aca="false">AV86</f>
        <v>5163188.23519597</v>
      </c>
      <c r="AX82" s="522" t="n">
        <f aca="false">AW86</f>
        <v>5155736.37366288</v>
      </c>
      <c r="AY82" s="522" t="n">
        <f aca="false">AX86</f>
        <v>5148254.39418942</v>
      </c>
      <c r="AZ82" s="522" t="n">
        <f aca="false">AY86</f>
        <v>5140742.17504893</v>
      </c>
      <c r="BA82" s="522" t="n">
        <f aca="false">AZ86</f>
        <v>5133199.59402274</v>
      </c>
      <c r="BB82" s="522" t="n">
        <f aca="false">BA86</f>
        <v>5125626.52839824</v>
      </c>
      <c r="BC82" s="522" t="n">
        <f aca="false">BB86</f>
        <v>5118022.85496684</v>
      </c>
      <c r="BD82" s="522" t="n">
        <f aca="false">BC86</f>
        <v>5110388.45002199</v>
      </c>
      <c r="BE82" s="522" t="n">
        <f aca="false">BD86</f>
        <v>5102723.18935715</v>
      </c>
      <c r="BF82" s="522" t="n">
        <f aca="false">BE86</f>
        <v>5095026.94826379</v>
      </c>
      <c r="BG82" s="522" t="n">
        <f aca="false">BF86</f>
        <v>5087299.60152935</v>
      </c>
      <c r="BH82" s="522" t="n">
        <f aca="false">BG86</f>
        <v>5079541.02343518</v>
      </c>
      <c r="BI82" s="522" t="n">
        <f aca="false">BH86</f>
        <v>5071751.08775456</v>
      </c>
      <c r="BJ82" s="522" t="n">
        <f aca="false">BI86</f>
        <v>5063929.66775056</v>
      </c>
      <c r="BK82" s="522" t="n">
        <f aca="false">BJ86</f>
        <v>5056076.63617404</v>
      </c>
      <c r="BL82" s="522" t="n">
        <f aca="false">BK86</f>
        <v>5048191.86526157</v>
      </c>
      <c r="BM82" s="522" t="n">
        <f aca="false">BL86</f>
        <v>5040275.22673332</v>
      </c>
      <c r="BN82" s="522" t="n">
        <f aca="false">BM86</f>
        <v>5032326.59179102</v>
      </c>
      <c r="BO82" s="522" t="n">
        <f aca="false">BN86</f>
        <v>5024345.83111584</v>
      </c>
      <c r="BP82" s="522" t="n">
        <f aca="false">BO86</f>
        <v>0</v>
      </c>
      <c r="BQ82" s="522" t="n">
        <f aca="false">BP86</f>
        <v>0</v>
      </c>
      <c r="BR82" s="522" t="n">
        <f aca="false">BQ86</f>
        <v>0</v>
      </c>
      <c r="BS82" s="522" t="n">
        <f aca="false">BR86</f>
        <v>0</v>
      </c>
      <c r="BT82" s="522" t="n">
        <f aca="false">BS86</f>
        <v>0</v>
      </c>
      <c r="BU82" s="522" t="n">
        <f aca="false">BT86</f>
        <v>0</v>
      </c>
      <c r="BV82" s="522" t="n">
        <f aca="false">BU86</f>
        <v>0</v>
      </c>
      <c r="BW82" s="522" t="n">
        <f aca="false">BV86</f>
        <v>0</v>
      </c>
      <c r="BX82" s="522" t="n">
        <f aca="false">BW86</f>
        <v>0</v>
      </c>
      <c r="BY82" s="522" t="n">
        <f aca="false">BX86</f>
        <v>0</v>
      </c>
      <c r="BZ82" s="522" t="n">
        <f aca="false">BY86</f>
        <v>0</v>
      </c>
      <c r="CA82" s="522" t="n">
        <f aca="false">BZ86</f>
        <v>0</v>
      </c>
      <c r="CB82" s="522" t="n">
        <f aca="false">CA86</f>
        <v>0</v>
      </c>
      <c r="CC82" s="522" t="n">
        <f aca="false">CB86</f>
        <v>0</v>
      </c>
      <c r="CD82" s="522" t="n">
        <f aca="false">CC86</f>
        <v>0</v>
      </c>
      <c r="CE82" s="522" t="n">
        <f aca="false">CD86</f>
        <v>0</v>
      </c>
      <c r="CF82" s="522" t="n">
        <f aca="false">CE86</f>
        <v>0</v>
      </c>
      <c r="CG82" s="522" t="n">
        <f aca="false">CF86</f>
        <v>0</v>
      </c>
      <c r="CH82" s="522" t="n">
        <f aca="false">CG86</f>
        <v>0</v>
      </c>
      <c r="CI82" s="522" t="n">
        <f aca="false">CH86</f>
        <v>0</v>
      </c>
      <c r="CJ82" s="522" t="n">
        <f aca="false">CI86</f>
        <v>0</v>
      </c>
      <c r="CK82" s="522" t="n">
        <f aca="false">CJ86</f>
        <v>0</v>
      </c>
      <c r="CL82" s="522" t="n">
        <f aca="false">CK86</f>
        <v>0</v>
      </c>
      <c r="CM82" s="522" t="n">
        <f aca="false">CL86</f>
        <v>0</v>
      </c>
      <c r="CN82" s="522" t="n">
        <f aca="false">CM86</f>
        <v>0</v>
      </c>
      <c r="CO82" s="522" t="n">
        <f aca="false">CN86</f>
        <v>0</v>
      </c>
      <c r="CP82" s="522" t="n">
        <f aca="false">CO86</f>
        <v>0</v>
      </c>
      <c r="CQ82" s="522" t="n">
        <f aca="false">CP86</f>
        <v>0</v>
      </c>
      <c r="CR82" s="522" t="n">
        <f aca="false">CQ86</f>
        <v>0</v>
      </c>
      <c r="CS82" s="522" t="n">
        <f aca="false">CR86</f>
        <v>0</v>
      </c>
      <c r="CT82" s="522" t="n">
        <f aca="false">CS86</f>
        <v>0</v>
      </c>
      <c r="CU82" s="522" t="n">
        <f aca="false">CT86</f>
        <v>0</v>
      </c>
      <c r="CV82" s="522" t="n">
        <f aca="false">CU86</f>
        <v>0</v>
      </c>
      <c r="CW82" s="522" t="n">
        <f aca="false">CV86</f>
        <v>0</v>
      </c>
      <c r="CX82" s="522" t="n">
        <f aca="false">CW86</f>
        <v>0</v>
      </c>
      <c r="CY82" s="522" t="n">
        <f aca="false">CX86</f>
        <v>0</v>
      </c>
      <c r="CZ82" s="522" t="n">
        <f aca="false">CY86</f>
        <v>0</v>
      </c>
      <c r="DA82" s="522" t="n">
        <f aca="false">CZ86</f>
        <v>0</v>
      </c>
      <c r="DB82" s="522" t="n">
        <f aca="false">DA86</f>
        <v>0</v>
      </c>
      <c r="DC82" s="522" t="n">
        <f aca="false">DB86</f>
        <v>0</v>
      </c>
      <c r="DD82" s="522" t="n">
        <f aca="false">DC86</f>
        <v>0</v>
      </c>
      <c r="DE82" s="522" t="n">
        <f aca="false">DD86</f>
        <v>0</v>
      </c>
      <c r="DF82" s="522" t="n">
        <f aca="false">DE86</f>
        <v>0</v>
      </c>
      <c r="DG82" s="522" t="n">
        <f aca="false">DF86</f>
        <v>0</v>
      </c>
      <c r="DH82" s="522" t="n">
        <f aca="false">DG86</f>
        <v>0</v>
      </c>
      <c r="DI82" s="522" t="n">
        <f aca="false">DH86</f>
        <v>0</v>
      </c>
      <c r="DJ82" s="522" t="n">
        <f aca="false">DI86</f>
        <v>0</v>
      </c>
      <c r="DK82" s="522" t="n">
        <f aca="false">DJ86</f>
        <v>0</v>
      </c>
      <c r="DL82" s="522" t="n">
        <f aca="false">DK86</f>
        <v>0</v>
      </c>
      <c r="DM82" s="522" t="n">
        <f aca="false">DL86</f>
        <v>0</v>
      </c>
      <c r="DN82" s="522" t="n">
        <f aca="false">DM86</f>
        <v>0</v>
      </c>
      <c r="DO82" s="522" t="n">
        <f aca="false">DN86</f>
        <v>0</v>
      </c>
      <c r="DP82" s="522" t="n">
        <f aca="false">DO86</f>
        <v>0</v>
      </c>
      <c r="DQ82" s="522" t="n">
        <f aca="false">DP86</f>
        <v>0</v>
      </c>
      <c r="DR82" s="522" t="n">
        <f aca="false">DQ86</f>
        <v>0</v>
      </c>
      <c r="DS82" s="522" t="n">
        <f aca="false">DR86</f>
        <v>0</v>
      </c>
      <c r="DT82" s="522" t="n">
        <f aca="false">DS86</f>
        <v>0</v>
      </c>
      <c r="DU82" s="522" t="n">
        <f aca="false">DT86</f>
        <v>0</v>
      </c>
      <c r="DV82" s="522" t="n">
        <f aca="false">DU86</f>
        <v>0</v>
      </c>
      <c r="DW82" s="522" t="n">
        <f aca="false">DV86</f>
        <v>0</v>
      </c>
      <c r="DX82" s="522" t="n">
        <f aca="false">DW86</f>
        <v>0</v>
      </c>
      <c r="DY82" s="522" t="n">
        <f aca="false">DX86</f>
        <v>0</v>
      </c>
      <c r="DZ82" s="522" t="n">
        <f aca="false">DY86</f>
        <v>0</v>
      </c>
      <c r="EA82" s="522" t="n">
        <f aca="false">DZ86</f>
        <v>0</v>
      </c>
      <c r="EB82" s="522" t="n">
        <f aca="false">EA86</f>
        <v>0</v>
      </c>
      <c r="EC82" s="522" t="n">
        <f aca="false">EB86</f>
        <v>0</v>
      </c>
      <c r="ED82" s="522" t="n">
        <f aca="false">EC86</f>
        <v>0</v>
      </c>
      <c r="EE82" s="522" t="n">
        <f aca="false">ED86</f>
        <v>0</v>
      </c>
      <c r="EF82" s="522" t="n">
        <f aca="false">EE86</f>
        <v>0</v>
      </c>
      <c r="EG82" s="522" t="n">
        <f aca="false">EF86</f>
        <v>0</v>
      </c>
      <c r="EH82" s="522" t="n">
        <f aca="false">EG86</f>
        <v>0</v>
      </c>
      <c r="EI82" s="558" t="n">
        <f aca="false">EH86</f>
        <v>0</v>
      </c>
      <c r="EK82" s="559" t="n">
        <f aca="false">AVERAGEIF($G$3:$EI$3,EK$24,$G82:$EI82)</f>
        <v>5200000</v>
      </c>
      <c r="EL82" s="522" t="n">
        <f aca="false">AVERAGEIF($G3:$EI3,EL$24,$G82:$EI82)</f>
        <v>5200000</v>
      </c>
      <c r="EM82" s="522" t="n">
        <f aca="false">AVERAGEIF($G3:$EI3,EM$24,$G82:$EI82)</f>
        <v>5200000</v>
      </c>
      <c r="EN82" s="522" t="n">
        <f aca="false">AVERAGEIF($G3:$EI3,EN$24,$G82:$EI82)</f>
        <v>5159286.96548679</v>
      </c>
      <c r="EO82" s="522" t="n">
        <f aca="false">AVERAGEIF($G3:$EI3,EO$24,$G82:$EI82)</f>
        <v>5067656.3432657</v>
      </c>
      <c r="EP82" s="522" t="n">
        <f aca="false">AVERAGEIF($G3:$EI3,EP$24,$G82:$EI82)</f>
        <v>0</v>
      </c>
      <c r="EQ82" s="522" t="n">
        <f aca="false">AVERAGEIF($G3:$EI3,EQ$24,$G82:$EI82)</f>
        <v>0</v>
      </c>
      <c r="ER82" s="522" t="n">
        <f aca="false">AVERAGEIF($G3:$EI3,ER$24,$G82:$EI82)</f>
        <v>0</v>
      </c>
      <c r="ES82" s="522" t="n">
        <f aca="false">AVERAGEIF($G3:$EI3,ES$24,$G82:$EI82)</f>
        <v>0</v>
      </c>
      <c r="ET82" s="558" t="n">
        <f aca="false">AVERAGEIF($G3:$EI3,ET$24,$G82:$EI82)</f>
        <v>0</v>
      </c>
    </row>
    <row r="83" s="522" customFormat="true" ht="13.5" hidden="false" customHeight="true" outlineLevel="1" collapsed="false">
      <c r="B83" s="559" t="s">
        <v>591</v>
      </c>
      <c r="C83" s="557"/>
      <c r="G83" s="522" t="n">
        <f aca="false">'Executive Summary'!L5</f>
        <v>5200000</v>
      </c>
      <c r="H83" s="522" t="n">
        <v>0</v>
      </c>
      <c r="I83" s="522" t="n">
        <v>0</v>
      </c>
      <c r="J83" s="522" t="n">
        <v>0</v>
      </c>
      <c r="K83" s="522" t="n">
        <v>0</v>
      </c>
      <c r="L83" s="522" t="n">
        <v>0</v>
      </c>
      <c r="M83" s="522" t="n">
        <v>0</v>
      </c>
      <c r="N83" s="522" t="n">
        <v>0</v>
      </c>
      <c r="O83" s="522" t="n">
        <v>0</v>
      </c>
      <c r="P83" s="522" t="n">
        <v>0</v>
      </c>
      <c r="Q83" s="522" t="n">
        <v>0</v>
      </c>
      <c r="R83" s="522" t="n">
        <v>0</v>
      </c>
      <c r="S83" s="522" t="n">
        <v>0</v>
      </c>
      <c r="T83" s="522" t="n">
        <v>0</v>
      </c>
      <c r="U83" s="522" t="n">
        <v>0</v>
      </c>
      <c r="V83" s="522" t="n">
        <v>0</v>
      </c>
      <c r="W83" s="522" t="n">
        <v>0</v>
      </c>
      <c r="X83" s="522" t="n">
        <v>0</v>
      </c>
      <c r="Y83" s="522" t="n">
        <v>0</v>
      </c>
      <c r="Z83" s="522" t="n">
        <v>0</v>
      </c>
      <c r="AA83" s="522" t="n">
        <v>0</v>
      </c>
      <c r="AB83" s="522" t="n">
        <v>0</v>
      </c>
      <c r="AC83" s="522" t="n">
        <v>0</v>
      </c>
      <c r="AD83" s="522" t="n">
        <v>0</v>
      </c>
      <c r="AE83" s="522" t="n">
        <v>0</v>
      </c>
      <c r="AF83" s="522" t="n">
        <v>0</v>
      </c>
      <c r="AG83" s="522" t="n">
        <v>0</v>
      </c>
      <c r="AH83" s="522" t="n">
        <v>0</v>
      </c>
      <c r="AI83" s="522" t="n">
        <v>0</v>
      </c>
      <c r="AJ83" s="522" t="n">
        <v>0</v>
      </c>
      <c r="AK83" s="522" t="n">
        <v>0</v>
      </c>
      <c r="AL83" s="522" t="n">
        <v>0</v>
      </c>
      <c r="AM83" s="522" t="n">
        <v>0</v>
      </c>
      <c r="AN83" s="522" t="n">
        <v>0</v>
      </c>
      <c r="AO83" s="522" t="n">
        <v>0</v>
      </c>
      <c r="AP83" s="522" t="n">
        <v>0</v>
      </c>
      <c r="AQ83" s="522" t="n">
        <v>0</v>
      </c>
      <c r="AR83" s="522" t="n">
        <v>0</v>
      </c>
      <c r="AS83" s="522" t="n">
        <v>0</v>
      </c>
      <c r="AT83" s="522" t="n">
        <v>0</v>
      </c>
      <c r="AU83" s="522" t="n">
        <v>0</v>
      </c>
      <c r="AV83" s="522" t="n">
        <v>0</v>
      </c>
      <c r="AW83" s="522" t="n">
        <v>0</v>
      </c>
      <c r="AX83" s="522" t="n">
        <v>0</v>
      </c>
      <c r="AY83" s="522" t="n">
        <v>0</v>
      </c>
      <c r="AZ83" s="522" t="n">
        <v>0</v>
      </c>
      <c r="BA83" s="522" t="n">
        <v>0</v>
      </c>
      <c r="BB83" s="522" t="n">
        <v>0</v>
      </c>
      <c r="BC83" s="522" t="n">
        <v>0</v>
      </c>
      <c r="BD83" s="522" t="n">
        <v>0</v>
      </c>
      <c r="BE83" s="522" t="n">
        <v>0</v>
      </c>
      <c r="BF83" s="522" t="n">
        <v>0</v>
      </c>
      <c r="BG83" s="522" t="n">
        <v>0</v>
      </c>
      <c r="BH83" s="522" t="n">
        <v>0</v>
      </c>
      <c r="BI83" s="522" t="n">
        <v>0</v>
      </c>
      <c r="BJ83" s="522" t="n">
        <v>0</v>
      </c>
      <c r="BK83" s="522" t="n">
        <v>0</v>
      </c>
      <c r="BL83" s="522" t="n">
        <v>0</v>
      </c>
      <c r="BM83" s="522" t="n">
        <v>0</v>
      </c>
      <c r="BN83" s="522" t="n">
        <v>0</v>
      </c>
      <c r="BO83" s="522" t="n">
        <v>0</v>
      </c>
      <c r="BP83" s="522" t="n">
        <v>0</v>
      </c>
      <c r="BQ83" s="522" t="n">
        <v>0</v>
      </c>
      <c r="BR83" s="522" t="n">
        <v>0</v>
      </c>
      <c r="BS83" s="522" t="n">
        <v>0</v>
      </c>
      <c r="BT83" s="522" t="n">
        <v>0</v>
      </c>
      <c r="BU83" s="522" t="n">
        <v>0</v>
      </c>
      <c r="BV83" s="522" t="n">
        <v>0</v>
      </c>
      <c r="BW83" s="522" t="n">
        <v>0</v>
      </c>
      <c r="BX83" s="522" t="n">
        <v>0</v>
      </c>
      <c r="BY83" s="522" t="n">
        <v>0</v>
      </c>
      <c r="BZ83" s="522" t="n">
        <v>0</v>
      </c>
      <c r="CA83" s="522" t="n">
        <v>0</v>
      </c>
      <c r="CB83" s="522" t="n">
        <v>0</v>
      </c>
      <c r="CC83" s="522" t="n">
        <v>0</v>
      </c>
      <c r="CD83" s="522" t="n">
        <v>0</v>
      </c>
      <c r="CE83" s="522" t="n">
        <v>0</v>
      </c>
      <c r="CF83" s="522" t="n">
        <v>0</v>
      </c>
      <c r="CG83" s="522" t="n">
        <v>0</v>
      </c>
      <c r="CH83" s="522" t="n">
        <v>0</v>
      </c>
      <c r="CI83" s="522" t="n">
        <v>0</v>
      </c>
      <c r="CJ83" s="522" t="n">
        <v>0</v>
      </c>
      <c r="CK83" s="522" t="n">
        <v>0</v>
      </c>
      <c r="CL83" s="522" t="n">
        <v>0</v>
      </c>
      <c r="CM83" s="522" t="n">
        <v>0</v>
      </c>
      <c r="CN83" s="522" t="n">
        <v>0</v>
      </c>
      <c r="CO83" s="522" t="n">
        <v>0</v>
      </c>
      <c r="CP83" s="522" t="n">
        <v>0</v>
      </c>
      <c r="CQ83" s="522" t="n">
        <v>0</v>
      </c>
      <c r="CR83" s="522" t="n">
        <v>0</v>
      </c>
      <c r="CS83" s="522" t="n">
        <v>0</v>
      </c>
      <c r="CT83" s="522" t="n">
        <v>0</v>
      </c>
      <c r="CU83" s="522" t="n">
        <v>0</v>
      </c>
      <c r="CV83" s="522" t="n">
        <v>0</v>
      </c>
      <c r="CW83" s="522" t="n">
        <v>0</v>
      </c>
      <c r="CX83" s="522" t="n">
        <v>0</v>
      </c>
      <c r="CY83" s="522" t="n">
        <v>0</v>
      </c>
      <c r="CZ83" s="522" t="n">
        <v>0</v>
      </c>
      <c r="DA83" s="522" t="n">
        <v>0</v>
      </c>
      <c r="DB83" s="522" t="n">
        <v>0</v>
      </c>
      <c r="DC83" s="522" t="n">
        <v>0</v>
      </c>
      <c r="DD83" s="522" t="n">
        <v>0</v>
      </c>
      <c r="DE83" s="522" t="n">
        <v>0</v>
      </c>
      <c r="DF83" s="522" t="n">
        <v>0</v>
      </c>
      <c r="DG83" s="522" t="n">
        <v>0</v>
      </c>
      <c r="DH83" s="522" t="n">
        <v>0</v>
      </c>
      <c r="DI83" s="522" t="n">
        <v>0</v>
      </c>
      <c r="DJ83" s="522" t="n">
        <v>0</v>
      </c>
      <c r="DK83" s="522" t="n">
        <v>0</v>
      </c>
      <c r="DL83" s="522" t="n">
        <v>0</v>
      </c>
      <c r="DM83" s="522" t="n">
        <v>0</v>
      </c>
      <c r="DN83" s="522" t="n">
        <v>0</v>
      </c>
      <c r="DO83" s="522" t="n">
        <v>0</v>
      </c>
      <c r="DP83" s="522" t="n">
        <v>0</v>
      </c>
      <c r="DQ83" s="522" t="n">
        <v>0</v>
      </c>
      <c r="DR83" s="522" t="n">
        <v>0</v>
      </c>
      <c r="DS83" s="522" t="n">
        <v>0</v>
      </c>
      <c r="DT83" s="522" t="n">
        <v>0</v>
      </c>
      <c r="DU83" s="522" t="n">
        <v>0</v>
      </c>
      <c r="DV83" s="522" t="n">
        <v>0</v>
      </c>
      <c r="DW83" s="522" t="n">
        <v>0</v>
      </c>
      <c r="DX83" s="522" t="n">
        <v>0</v>
      </c>
      <c r="DY83" s="522" t="n">
        <v>0</v>
      </c>
      <c r="DZ83" s="522" t="n">
        <v>0</v>
      </c>
      <c r="EA83" s="522" t="n">
        <v>0</v>
      </c>
      <c r="EB83" s="522" t="n">
        <v>0</v>
      </c>
      <c r="EC83" s="522" t="n">
        <v>0</v>
      </c>
      <c r="ED83" s="522" t="n">
        <v>0</v>
      </c>
      <c r="EE83" s="522" t="n">
        <v>0</v>
      </c>
      <c r="EF83" s="522" t="n">
        <v>0</v>
      </c>
      <c r="EG83" s="522" t="n">
        <v>0</v>
      </c>
      <c r="EH83" s="522" t="n">
        <v>0</v>
      </c>
      <c r="EI83" s="558" t="n">
        <v>0</v>
      </c>
      <c r="EK83" s="559" t="n">
        <f aca="false">SUMIF($G$3:$EI$3,EK$24,$G83:$EI83)</f>
        <v>0</v>
      </c>
      <c r="EL83" s="522" t="n">
        <f aca="false">SUMIF($G$3:$EI$3,EL$24,$G83:$EI83)</f>
        <v>0</v>
      </c>
      <c r="EM83" s="522" t="n">
        <f aca="false">SUMIF($G$3:$EI$3,EM$24,$G83:$EI83)</f>
        <v>0</v>
      </c>
      <c r="EN83" s="522" t="n">
        <f aca="false">SUMIF($G$3:$EI$3,EN$24,$G83:$EI83)</f>
        <v>0</v>
      </c>
      <c r="EO83" s="522" t="n">
        <f aca="false">SUMIF($G$3:$EI$3,EO$24,$G83:$EI83)</f>
        <v>0</v>
      </c>
      <c r="EP83" s="522" t="n">
        <f aca="false">SUMIF($G$3:$EI$3,EP$24,$G83:$EI83)</f>
        <v>0</v>
      </c>
      <c r="EQ83" s="522" t="n">
        <f aca="false">SUMIF($G$3:$EI$3,EQ$24,$G83:$EI83)</f>
        <v>0</v>
      </c>
      <c r="ER83" s="522" t="n">
        <f aca="false">SUMIF($G$3:$EI$3,ER$24,$G83:$EI83)</f>
        <v>0</v>
      </c>
      <c r="ES83" s="522" t="n">
        <f aca="false">SUMIF($G$3:$EI$3,ES$24,$G83:$EI83)</f>
        <v>0</v>
      </c>
      <c r="ET83" s="558" t="n">
        <f aca="false">SUMIF($G$3:$EI$3,ET$24,$G83:$EI83)</f>
        <v>0</v>
      </c>
    </row>
    <row r="84" s="522" customFormat="true" ht="13.5" hidden="false" customHeight="true" outlineLevel="1" collapsed="false">
      <c r="B84" s="559" t="s">
        <v>592</v>
      </c>
      <c r="C84" s="557"/>
      <c r="H84" s="522" t="n">
        <f aca="false">IF(H81&gt;0,MAX(PPMT('Executive Summary'!$L$8/12,H81,'Executive Summary'!$L$11*12,$E$80),-H82), 0)</f>
        <v>0</v>
      </c>
      <c r="I84" s="522" t="n">
        <f aca="false">IF(I81&gt;0,MAX(PPMT('Executive Summary'!$L$8/12,I81,'Executive Summary'!$L$11*12,$E$80),-I82), 0)</f>
        <v>0</v>
      </c>
      <c r="J84" s="522" t="n">
        <f aca="false">IF(J81&gt;0,MAX(PPMT('Executive Summary'!$L$8/12,J81,'Executive Summary'!$L$11*12,$E$80),-J82), 0)</f>
        <v>0</v>
      </c>
      <c r="K84" s="522" t="n">
        <f aca="false">IF(K81&gt;0,MAX(PPMT('Executive Summary'!$L$8/12,K81,'Executive Summary'!$L$11*12,$E$80),-K82), 0)</f>
        <v>0</v>
      </c>
      <c r="L84" s="522" t="n">
        <f aca="false">IF(L81&gt;0,MAX(PPMT('Executive Summary'!$L$8/12,L81,'Executive Summary'!$L$11*12,$E$80),-L82), 0)</f>
        <v>0</v>
      </c>
      <c r="M84" s="522" t="n">
        <f aca="false">IF(M81&gt;0,MAX(PPMT('Executive Summary'!$L$8/12,M81,'Executive Summary'!$L$11*12,$E$80),-M82), 0)</f>
        <v>0</v>
      </c>
      <c r="N84" s="522" t="n">
        <f aca="false">IF(N81&gt;0,MAX(PPMT('Executive Summary'!$L$8/12,N81,'Executive Summary'!$L$11*12,$E$80),-N82), 0)</f>
        <v>0</v>
      </c>
      <c r="O84" s="522" t="n">
        <f aca="false">IF(O81&gt;0,MAX(PPMT('Executive Summary'!$L$8/12,O81,'Executive Summary'!$L$11*12,$E$80),-O82), 0)</f>
        <v>0</v>
      </c>
      <c r="P84" s="522" t="n">
        <f aca="false">IF(P81&gt;0,MAX(PPMT('Executive Summary'!$L$8/12,P81,'Executive Summary'!$L$11*12,$E$80),-P82), 0)</f>
        <v>0</v>
      </c>
      <c r="Q84" s="522" t="n">
        <f aca="false">IF(Q81&gt;0,MAX(PPMT('Executive Summary'!$L$8/12,Q81,'Executive Summary'!$L$11*12,$E$80),-Q82), 0)</f>
        <v>0</v>
      </c>
      <c r="R84" s="522" t="n">
        <f aca="false">IF(R81&gt;0,MAX(PPMT('Executive Summary'!$L$8/12,R81,'Executive Summary'!$L$11*12,$E$80),-R82), 0)</f>
        <v>0</v>
      </c>
      <c r="S84" s="522" t="n">
        <f aca="false">IF(S81&gt;0,MAX(PPMT('Executive Summary'!$L$8/12,S81,'Executive Summary'!$L$11*12,$E$80),-S82), 0)</f>
        <v>0</v>
      </c>
      <c r="T84" s="522" t="n">
        <f aca="false">IF(T81&gt;0,MAX(PPMT('Executive Summary'!$L$8/12,T81,'Executive Summary'!$L$11*12,$E$80),-T82), 0)</f>
        <v>0</v>
      </c>
      <c r="U84" s="522" t="n">
        <f aca="false">IF(U81&gt;0,MAX(PPMT('Executive Summary'!$L$8/12,U81,'Executive Summary'!$L$11*12,$E$80),-U82), 0)</f>
        <v>0</v>
      </c>
      <c r="V84" s="522" t="n">
        <f aca="false">IF(V81&gt;0,MAX(PPMT('Executive Summary'!$L$8/12,V81,'Executive Summary'!$L$11*12,$E$80),-V82), 0)</f>
        <v>0</v>
      </c>
      <c r="W84" s="522" t="n">
        <f aca="false">IF(W81&gt;0,MAX(PPMT('Executive Summary'!$L$8/12,W81,'Executive Summary'!$L$11*12,$E$80),-W82), 0)</f>
        <v>0</v>
      </c>
      <c r="X84" s="522" t="n">
        <f aca="false">IF(X81&gt;0,MAX(PPMT('Executive Summary'!$L$8/12,X81,'Executive Summary'!$L$11*12,$E$80),-X82), 0)</f>
        <v>0</v>
      </c>
      <c r="Y84" s="522" t="n">
        <f aca="false">IF(Y81&gt;0,MAX(PPMT('Executive Summary'!$L$8/12,Y81,'Executive Summary'!$L$11*12,$E$80),-Y82), 0)</f>
        <v>0</v>
      </c>
      <c r="Z84" s="522" t="n">
        <f aca="false">IF(Z81&gt;0,MAX(PPMT('Executive Summary'!$L$8/12,Z81,'Executive Summary'!$L$11*12,$E$80),-Z82), 0)</f>
        <v>0</v>
      </c>
      <c r="AA84" s="522" t="n">
        <f aca="false">IF(AA81&gt;0,MAX(PPMT('Executive Summary'!$L$8/12,AA81,'Executive Summary'!$L$11*12,$E$80),-AA82), 0)</f>
        <v>0</v>
      </c>
      <c r="AB84" s="522" t="n">
        <f aca="false">IF(AB81&gt;0,MAX(PPMT('Executive Summary'!$L$8/12,AB81,'Executive Summary'!$L$11*12,$E$80),-AB82), 0)</f>
        <v>0</v>
      </c>
      <c r="AC84" s="522" t="n">
        <f aca="false">IF(AC81&gt;0,MAX(PPMT('Executive Summary'!$L$8/12,AC81,'Executive Summary'!$L$11*12,$E$80),-AC82), 0)</f>
        <v>0</v>
      </c>
      <c r="AD84" s="522" t="n">
        <f aca="false">IF(AD81&gt;0,MAX(PPMT('Executive Summary'!$L$8/12,AD81,'Executive Summary'!$L$11*12,$E$80),-AD82), 0)</f>
        <v>0</v>
      </c>
      <c r="AE84" s="522" t="n">
        <f aca="false">IF(AE81&gt;0,MAX(PPMT('Executive Summary'!$L$8/12,AE81,'Executive Summary'!$L$11*12,$E$80),-AE82), 0)</f>
        <v>0</v>
      </c>
      <c r="AF84" s="522" t="n">
        <f aca="false">IF(AF81&gt;0,MAX(PPMT('Executive Summary'!$L$8/12,AF81,'Executive Summary'!$L$11*12,$E$80),-AF82), 0)</f>
        <v>0</v>
      </c>
      <c r="AG84" s="522" t="n">
        <f aca="false">IF(AG81&gt;0,MAX(PPMT('Executive Summary'!$L$8/12,AG81,'Executive Summary'!$L$11*12,$E$80),-AG82), 0)</f>
        <v>0</v>
      </c>
      <c r="AH84" s="522" t="n">
        <f aca="false">IF(AH81&gt;0,MAX(PPMT('Executive Summary'!$L$8/12,AH81,'Executive Summary'!$L$11*12,$E$80),-AH82), 0)</f>
        <v>0</v>
      </c>
      <c r="AI84" s="522" t="n">
        <f aca="false">IF(AI81&gt;0,MAX(PPMT('Executive Summary'!$L$8/12,AI81,'Executive Summary'!$L$11*12,$E$80),-AI82), 0)</f>
        <v>0</v>
      </c>
      <c r="AJ84" s="522" t="n">
        <f aca="false">IF(AJ81&gt;0,MAX(PPMT('Executive Summary'!$L$8/12,AJ81,'Executive Summary'!$L$11*12,$E$80),-AJ82), 0)</f>
        <v>0</v>
      </c>
      <c r="AK84" s="522" t="n">
        <f aca="false">IF(AK81&gt;0,MAX(PPMT('Executive Summary'!$L$8/12,AK81,'Executive Summary'!$L$11*12,$E$80),-AK82), 0)</f>
        <v>0</v>
      </c>
      <c r="AL84" s="522" t="n">
        <f aca="false">IF(AL81&gt;0,MAX(PPMT('Executive Summary'!$L$8/12,AL81,'Executive Summary'!$L$11*12,$E$80),-AL82), 0)</f>
        <v>0</v>
      </c>
      <c r="AM84" s="522" t="n">
        <f aca="false">IF(AM81&gt;0,MAX(PPMT('Executive Summary'!$L$8/12,AM81,'Executive Summary'!$L$11*12,$E$80),-AM82), 0)</f>
        <v>0</v>
      </c>
      <c r="AN84" s="522" t="n">
        <f aca="false">IF(AN81&gt;0,MAX(PPMT('Executive Summary'!$L$8/12,AN81,'Executive Summary'!$L$11*12,$E$80),-AN82), 0)</f>
        <v>0</v>
      </c>
      <c r="AO84" s="522" t="n">
        <f aca="false">IF(AO81&gt;0,MAX(PPMT('Executive Summary'!$L$8/12,AO81,'Executive Summary'!$L$11*12,$E$80),-AO82), 0)</f>
        <v>0</v>
      </c>
      <c r="AP84" s="522" t="n">
        <f aca="false">IF(AP81&gt;0,MAX(PPMT('Executive Summary'!$L$8/12,AP81,'Executive Summary'!$L$11*12,$E$80),-AP82), 0)</f>
        <v>0</v>
      </c>
      <c r="AQ84" s="522" t="n">
        <f aca="false">IF(AQ81&gt;0,MAX(PPMT('Executive Summary'!$L$8/12,AQ81,'Executive Summary'!$L$11*12,$E$80),-AQ82), 0)</f>
        <v>0</v>
      </c>
      <c r="AR84" s="522" t="n">
        <f aca="false">IF(AR81&gt;0,MAX(PPMT('Executive Summary'!$L$8/12,AR81,'Executive Summary'!$L$11*12,$E$80),-AR82), 0)</f>
        <v>-7303.08065034358</v>
      </c>
      <c r="AS84" s="522" t="n">
        <f aca="false">IF(AS81&gt;0,MAX(PPMT('Executive Summary'!$L$8/12,AS81,'Executive Summary'!$L$11*12,$E$80),-AS82), 0)</f>
        <v>-7332.59726797205</v>
      </c>
      <c r="AT84" s="522" t="n">
        <f aca="false">IF(AT81&gt;0,MAX(PPMT('Executive Summary'!$L$8/12,AT81,'Executive Summary'!$L$11*12,$E$80),-AT82), 0)</f>
        <v>-7362.23318193011</v>
      </c>
      <c r="AU84" s="522" t="n">
        <f aca="false">IF(AU81&gt;0,MAX(PPMT('Executive Summary'!$L$8/12,AU81,'Executive Summary'!$L$11*12,$E$80),-AU82), 0)</f>
        <v>-7391.98887437374</v>
      </c>
      <c r="AV84" s="522" t="n">
        <f aca="false">IF(AV81&gt;0,MAX(PPMT('Executive Summary'!$L$8/12,AV81,'Executive Summary'!$L$11*12,$E$80),-AV82), 0)</f>
        <v>-7421.86482940767</v>
      </c>
      <c r="AW84" s="522" t="n">
        <f aca="false">IF(AW81&gt;0,MAX(PPMT('Executive Summary'!$L$8/12,AW81,'Executive Summary'!$L$11*12,$E$80),-AW82), 0)</f>
        <v>-7451.86153309319</v>
      </c>
      <c r="AX84" s="522" t="n">
        <f aca="false">IF(AX81&gt;0,MAX(PPMT('Executive Summary'!$L$8/12,AX81,'Executive Summary'!$L$11*12,$E$80),-AX82), 0)</f>
        <v>-7481.97947345611</v>
      </c>
      <c r="AY84" s="522" t="n">
        <f aca="false">IF(AY81&gt;0,MAX(PPMT('Executive Summary'!$L$8/12,AY81,'Executive Summary'!$L$11*12,$E$80),-AY82), 0)</f>
        <v>-7512.21914049466</v>
      </c>
      <c r="AZ84" s="522" t="n">
        <f aca="false">IF(AZ81&gt;0,MAX(PPMT('Executive Summary'!$L$8/12,AZ81,'Executive Summary'!$L$11*12,$E$80),-AZ82), 0)</f>
        <v>-7542.5810261875</v>
      </c>
      <c r="BA84" s="522" t="n">
        <f aca="false">IF(BA81&gt;0,MAX(PPMT('Executive Summary'!$L$8/12,BA81,'Executive Summary'!$L$11*12,$E$80),-BA82), 0)</f>
        <v>-7573.06562450167</v>
      </c>
      <c r="BB84" s="522" t="n">
        <f aca="false">IF(BB81&gt;0,MAX(PPMT('Executive Summary'!$L$8/12,BB81,'Executive Summary'!$L$11*12,$E$80),-BB82), 0)</f>
        <v>-7603.6734314007</v>
      </c>
      <c r="BC84" s="522" t="n">
        <f aca="false">IF(BC81&gt;0,MAX(PPMT('Executive Summary'!$L$8/12,BC81,'Executive Summary'!$L$11*12,$E$80),-BC82), 0)</f>
        <v>-7634.40494485261</v>
      </c>
      <c r="BD84" s="522" t="n">
        <f aca="false">IF(BD81&gt;0,MAX(PPMT('Executive Summary'!$L$8/12,BD81,'Executive Summary'!$L$11*12,$E$80),-BD82), 0)</f>
        <v>-7665.26066483805</v>
      </c>
      <c r="BE84" s="522" t="n">
        <f aca="false">IF(BE81&gt;0,MAX(PPMT('Executive Summary'!$L$8/12,BE81,'Executive Summary'!$L$11*12,$E$80),-BE82), 0)</f>
        <v>-7696.24109335845</v>
      </c>
      <c r="BF84" s="522" t="n">
        <f aca="false">IF(BF81&gt;0,MAX(PPMT('Executive Summary'!$L$8/12,BF81,'Executive Summary'!$L$11*12,$E$80),-BF82), 0)</f>
        <v>-7727.3467344441</v>
      </c>
      <c r="BG84" s="522" t="n">
        <f aca="false">IF(BG81&gt;0,MAX(PPMT('Executive Summary'!$L$8/12,BG81,'Executive Summary'!$L$11*12,$E$80),-BG82), 0)</f>
        <v>-7758.57809416248</v>
      </c>
      <c r="BH84" s="522" t="n">
        <f aca="false">IF(BH81&gt;0,MAX(PPMT('Executive Summary'!$L$8/12,BH81,'Executive Summary'!$L$11*12,$E$80),-BH82), 0)</f>
        <v>-7789.93568062639</v>
      </c>
      <c r="BI84" s="522" t="n">
        <f aca="false">IF(BI81&gt;0,MAX(PPMT('Executive Summary'!$L$8/12,BI81,'Executive Summary'!$L$11*12,$E$80),-BI82), 0)</f>
        <v>-7821.42000400225</v>
      </c>
      <c r="BJ84" s="522" t="n">
        <f aca="false">IF(BJ81&gt;0,MAX(PPMT('Executive Summary'!$L$8/12,BJ81,'Executive Summary'!$L$11*12,$E$80),-BJ82), 0)</f>
        <v>-7853.03157651843</v>
      </c>
      <c r="BK84" s="522" t="n">
        <f aca="false">IF(BK81&gt;0,MAX(PPMT('Executive Summary'!$L$8/12,BK81,'Executive Summary'!$L$11*12,$E$80),-BK82), 0)</f>
        <v>-7884.77091247352</v>
      </c>
      <c r="BL84" s="522" t="n">
        <f aca="false">IF(BL81&gt;0,MAX(PPMT('Executive Summary'!$L$8/12,BL81,'Executive Summary'!$L$11*12,$E$80),-BL82), 0)</f>
        <v>-7916.63852824477</v>
      </c>
      <c r="BM84" s="522" t="n">
        <f aca="false">IF(BM81&gt;0,MAX(PPMT('Executive Summary'!$L$8/12,BM81,'Executive Summary'!$L$11*12,$E$80),-BM82), 0)</f>
        <v>-7948.63494229643</v>
      </c>
      <c r="BN84" s="522" t="n">
        <f aca="false">IF(BN81&gt;0,MAX(PPMT('Executive Summary'!$L$8/12,BN81,'Executive Summary'!$L$11*12,$E$80),-BN82), 0)</f>
        <v>-7980.76067518821</v>
      </c>
      <c r="BO84" s="522" t="n">
        <f aca="false">IF(BO81&gt;0,MAX(PPMT('Executive Summary'!$L$8/12,BO81,'Executive Summary'!$L$11*12,$E$80),-BO82), 0)</f>
        <v>-8013.01624958376</v>
      </c>
      <c r="BP84" s="522" t="n">
        <f aca="false">IF(BP81&gt;0,MAX(PPMT('Executive Summary'!$L$8/12,BP81,'Executive Summary'!$L$11*12,$E$80),-BP82), 0)</f>
        <v>-0</v>
      </c>
      <c r="BQ84" s="522" t="n">
        <f aca="false">IF(BQ81&gt;0,MAX(PPMT('Executive Summary'!$L$8/12,BQ81,'Executive Summary'!$L$11*12,$E$80),-BQ82), 0)</f>
        <v>-0</v>
      </c>
      <c r="BR84" s="522" t="n">
        <f aca="false">IF(BR81&gt;0,MAX(PPMT('Executive Summary'!$L$8/12,BR81,'Executive Summary'!$L$11*12,$E$80),-BR82), 0)</f>
        <v>-0</v>
      </c>
      <c r="BS84" s="522" t="n">
        <f aca="false">IF(BS81&gt;0,MAX(PPMT('Executive Summary'!$L$8/12,BS81,'Executive Summary'!$L$11*12,$E$80),-BS82), 0)</f>
        <v>-0</v>
      </c>
      <c r="BT84" s="522" t="n">
        <f aca="false">IF(BT81&gt;0,MAX(PPMT('Executive Summary'!$L$8/12,BT81,'Executive Summary'!$L$11*12,$E$80),-BT82), 0)</f>
        <v>-0</v>
      </c>
      <c r="BU84" s="522" t="n">
        <f aca="false">IF(BU81&gt;0,MAX(PPMT('Executive Summary'!$L$8/12,BU81,'Executive Summary'!$L$11*12,$E$80),-BU82), 0)</f>
        <v>-0</v>
      </c>
      <c r="BV84" s="522" t="n">
        <f aca="false">IF(BV81&gt;0,MAX(PPMT('Executive Summary'!$L$8/12,BV81,'Executive Summary'!$L$11*12,$E$80),-BV82), 0)</f>
        <v>-0</v>
      </c>
      <c r="BW84" s="522" t="n">
        <f aca="false">IF(BW81&gt;0,MAX(PPMT('Executive Summary'!$L$8/12,BW81,'Executive Summary'!$L$11*12,$E$80),-BW82), 0)</f>
        <v>-0</v>
      </c>
      <c r="BX84" s="522" t="n">
        <f aca="false">IF(BX81&gt;0,MAX(PPMT('Executive Summary'!$L$8/12,BX81,'Executive Summary'!$L$11*12,$E$80),-BX82), 0)</f>
        <v>-0</v>
      </c>
      <c r="BY84" s="522" t="n">
        <f aca="false">IF(BY81&gt;0,MAX(PPMT('Executive Summary'!$L$8/12,BY81,'Executive Summary'!$L$11*12,$E$80),-BY82), 0)</f>
        <v>-0</v>
      </c>
      <c r="BZ84" s="522" t="n">
        <f aca="false">IF(BZ81&gt;0,MAX(PPMT('Executive Summary'!$L$8/12,BZ81,'Executive Summary'!$L$11*12,$E$80),-BZ82), 0)</f>
        <v>-0</v>
      </c>
      <c r="CA84" s="522" t="n">
        <f aca="false">IF(CA81&gt;0,MAX(PPMT('Executive Summary'!$L$8/12,CA81,'Executive Summary'!$L$11*12,$E$80),-CA82), 0)</f>
        <v>-0</v>
      </c>
      <c r="CB84" s="522" t="n">
        <f aca="false">IF(CB81&gt;0,MAX(PPMT('Executive Summary'!$L$8/12,CB81,'Executive Summary'!$L$11*12,$E$80),-CB82), 0)</f>
        <v>-0</v>
      </c>
      <c r="CC84" s="522" t="n">
        <f aca="false">IF(CC81&gt;0,MAX(PPMT('Executive Summary'!$L$8/12,CC81,'Executive Summary'!$L$11*12,$E$80),-CC82), 0)</f>
        <v>-0</v>
      </c>
      <c r="CD84" s="522" t="n">
        <f aca="false">IF(CD81&gt;0,MAX(PPMT('Executive Summary'!$L$8/12,CD81,'Executive Summary'!$L$11*12,$E$80),-CD82), 0)</f>
        <v>-0</v>
      </c>
      <c r="CE84" s="522" t="n">
        <f aca="false">IF(CE81&gt;0,MAX(PPMT('Executive Summary'!$L$8/12,CE81,'Executive Summary'!$L$11*12,$E$80),-CE82), 0)</f>
        <v>-0</v>
      </c>
      <c r="CF84" s="522" t="n">
        <f aca="false">IF(CF81&gt;0,MAX(PPMT('Executive Summary'!$L$8/12,CF81,'Executive Summary'!$L$11*12,$E$80),-CF82), 0)</f>
        <v>-0</v>
      </c>
      <c r="CG84" s="522" t="n">
        <f aca="false">IF(CG81&gt;0,MAX(PPMT('Executive Summary'!$L$8/12,CG81,'Executive Summary'!$L$11*12,$E$80),-CG82), 0)</f>
        <v>-0</v>
      </c>
      <c r="CH84" s="522" t="n">
        <f aca="false">IF(CH81&gt;0,MAX(PPMT('Executive Summary'!$L$8/12,CH81,'Executive Summary'!$L$11*12,$E$80),-CH82), 0)</f>
        <v>-0</v>
      </c>
      <c r="CI84" s="522" t="n">
        <f aca="false">IF(CI81&gt;0,MAX(PPMT('Executive Summary'!$L$8/12,CI81,'Executive Summary'!$L$11*12,$E$80),-CI82), 0)</f>
        <v>-0</v>
      </c>
      <c r="CJ84" s="522" t="n">
        <f aca="false">IF(CJ81&gt;0,MAX(PPMT('Executive Summary'!$L$8/12,CJ81,'Executive Summary'!$L$11*12,$E$80),-CJ82), 0)</f>
        <v>-0</v>
      </c>
      <c r="CK84" s="522" t="n">
        <f aca="false">IF(CK81&gt;0,MAX(PPMT('Executive Summary'!$L$8/12,CK81,'Executive Summary'!$L$11*12,$E$80),-CK82), 0)</f>
        <v>-0</v>
      </c>
      <c r="CL84" s="522" t="n">
        <f aca="false">IF(CL81&gt;0,MAX(PPMT('Executive Summary'!$L$8/12,CL81,'Executive Summary'!$L$11*12,$E$80),-CL82), 0)</f>
        <v>-0</v>
      </c>
      <c r="CM84" s="522" t="n">
        <f aca="false">IF(CM81&gt;0,MAX(PPMT('Executive Summary'!$L$8/12,CM81,'Executive Summary'!$L$11*12,$E$80),-CM82), 0)</f>
        <v>-0</v>
      </c>
      <c r="CN84" s="522" t="n">
        <f aca="false">IF(CN81&gt;0,MAX(PPMT('Executive Summary'!$L$8/12,CN81,'Executive Summary'!$L$11*12,$E$80),-CN82), 0)</f>
        <v>-0</v>
      </c>
      <c r="CO84" s="522" t="n">
        <f aca="false">IF(CO81&gt;0,MAX(PPMT('Executive Summary'!$L$8/12,CO81,'Executive Summary'!$L$11*12,$E$80),-CO82), 0)</f>
        <v>-0</v>
      </c>
      <c r="CP84" s="522" t="n">
        <f aca="false">IF(CP81&gt;0,MAX(PPMT('Executive Summary'!$L$8/12,CP81,'Executive Summary'!$L$11*12,$E$80),-CP82), 0)</f>
        <v>-0</v>
      </c>
      <c r="CQ84" s="522" t="n">
        <f aca="false">IF(CQ81&gt;0,MAX(PPMT('Executive Summary'!$L$8/12,CQ81,'Executive Summary'!$L$11*12,$E$80),-CQ82), 0)</f>
        <v>-0</v>
      </c>
      <c r="CR84" s="522" t="n">
        <f aca="false">IF(CR81&gt;0,MAX(PPMT('Executive Summary'!$L$8/12,CR81,'Executive Summary'!$L$11*12,$E$80),-CR82), 0)</f>
        <v>-0</v>
      </c>
      <c r="CS84" s="522" t="n">
        <f aca="false">IF(CS81&gt;0,MAX(PPMT('Executive Summary'!$L$8/12,CS81,'Executive Summary'!$L$11*12,$E$80),-CS82), 0)</f>
        <v>-0</v>
      </c>
      <c r="CT84" s="522" t="n">
        <f aca="false">IF(CT81&gt;0,MAX(PPMT('Executive Summary'!$L$8/12,CT81,'Executive Summary'!$L$11*12,$E$80),-CT82), 0)</f>
        <v>-0</v>
      </c>
      <c r="CU84" s="522" t="n">
        <f aca="false">IF(CU81&gt;0,MAX(PPMT('Executive Summary'!$L$8/12,CU81,'Executive Summary'!$L$11*12,$E$80),-CU82), 0)</f>
        <v>-0</v>
      </c>
      <c r="CV84" s="522" t="n">
        <f aca="false">IF(CV81&gt;0,MAX(PPMT('Executive Summary'!$L$8/12,CV81,'Executive Summary'!$L$11*12,$E$80),-CV82), 0)</f>
        <v>-0</v>
      </c>
      <c r="CW84" s="522" t="n">
        <f aca="false">IF(CW81&gt;0,MAX(PPMT('Executive Summary'!$L$8/12,CW81,'Executive Summary'!$L$11*12,$E$80),-CW82), 0)</f>
        <v>-0</v>
      </c>
      <c r="CX84" s="522" t="n">
        <f aca="false">IF(CX81&gt;0,MAX(PPMT('Executive Summary'!$L$8/12,CX81,'Executive Summary'!$L$11*12,$E$80),-CX82), 0)</f>
        <v>-0</v>
      </c>
      <c r="CY84" s="522" t="n">
        <f aca="false">IF(CY81&gt;0,MAX(PPMT('Executive Summary'!$L$8/12,CY81,'Executive Summary'!$L$11*12,$E$80),-CY82), 0)</f>
        <v>-0</v>
      </c>
      <c r="CZ84" s="522" t="n">
        <f aca="false">IF(CZ81&gt;0,MAX(PPMT('Executive Summary'!$L$8/12,CZ81,'Executive Summary'!$L$11*12,$E$80),-CZ82), 0)</f>
        <v>-0</v>
      </c>
      <c r="DA84" s="522" t="n">
        <f aca="false">IF(DA81&gt;0,MAX(PPMT('Executive Summary'!$L$8/12,DA81,'Executive Summary'!$L$11*12,$E$80),-DA82), 0)</f>
        <v>-0</v>
      </c>
      <c r="DB84" s="522" t="n">
        <f aca="false">IF(DB81&gt;0,MAX(PPMT('Executive Summary'!$L$8/12,DB81,'Executive Summary'!$L$11*12,$E$80),-DB82), 0)</f>
        <v>-0</v>
      </c>
      <c r="DC84" s="522" t="n">
        <f aca="false">IF(DC81&gt;0,MAX(PPMT('Executive Summary'!$L$8/12,DC81,'Executive Summary'!$L$11*12,$E$80),-DC82), 0)</f>
        <v>-0</v>
      </c>
      <c r="DD84" s="522" t="n">
        <f aca="false">IF(DD81&gt;0,MAX(PPMT('Executive Summary'!$L$8/12,DD81,'Executive Summary'!$L$11*12,$E$80),-DD82), 0)</f>
        <v>-0</v>
      </c>
      <c r="DE84" s="522" t="n">
        <f aca="false">IF(DE81&gt;0,MAX(PPMT('Executive Summary'!$L$8/12,DE81,'Executive Summary'!$L$11*12,$E$80),-DE82), 0)</f>
        <v>-0</v>
      </c>
      <c r="DF84" s="522" t="n">
        <f aca="false">IF(DF81&gt;0,MAX(PPMT('Executive Summary'!$L$8/12,DF81,'Executive Summary'!$L$11*12,$E$80),-DF82), 0)</f>
        <v>-0</v>
      </c>
      <c r="DG84" s="522" t="n">
        <f aca="false">IF(DG81&gt;0,MAX(PPMT('Executive Summary'!$L$8/12,DG81,'Executive Summary'!$L$11*12,$E$80),-DG82), 0)</f>
        <v>-0</v>
      </c>
      <c r="DH84" s="522" t="n">
        <f aca="false">IF(DH81&gt;0,MAX(PPMT('Executive Summary'!$L$8/12,DH81,'Executive Summary'!$L$11*12,$E$80),-DH82), 0)</f>
        <v>-0</v>
      </c>
      <c r="DI84" s="522" t="n">
        <f aca="false">IF(DI81&gt;0,MAX(PPMT('Executive Summary'!$L$8/12,DI81,'Executive Summary'!$L$11*12,$E$80),-DI82), 0)</f>
        <v>-0</v>
      </c>
      <c r="DJ84" s="522" t="n">
        <f aca="false">IF(DJ81&gt;0,MAX(PPMT('Executive Summary'!$L$8/12,DJ81,'Executive Summary'!$L$11*12,$E$80),-DJ82), 0)</f>
        <v>-0</v>
      </c>
      <c r="DK84" s="522" t="n">
        <f aca="false">IF(DK81&gt;0,MAX(PPMT('Executive Summary'!$L$8/12,DK81,'Executive Summary'!$L$11*12,$E$80),-DK82), 0)</f>
        <v>-0</v>
      </c>
      <c r="DL84" s="522" t="n">
        <f aca="false">IF(DL81&gt;0,MAX(PPMT('Executive Summary'!$L$8/12,DL81,'Executive Summary'!$L$11*12,$E$80),-DL82), 0)</f>
        <v>-0</v>
      </c>
      <c r="DM84" s="522" t="n">
        <f aca="false">IF(DM81&gt;0,MAX(PPMT('Executive Summary'!$L$8/12,DM81,'Executive Summary'!$L$11*12,$E$80),-DM82), 0)</f>
        <v>-0</v>
      </c>
      <c r="DN84" s="522" t="n">
        <f aca="false">IF(DN81&gt;0,MAX(PPMT('Executive Summary'!$L$8/12,DN81,'Executive Summary'!$L$11*12,$E$80),-DN82), 0)</f>
        <v>-0</v>
      </c>
      <c r="DO84" s="522" t="n">
        <f aca="false">IF(DO81&gt;0,MAX(PPMT('Executive Summary'!$L$8/12,DO81,'Executive Summary'!$L$11*12,$E$80),-DO82), 0)</f>
        <v>-0</v>
      </c>
      <c r="DP84" s="522" t="n">
        <f aca="false">IF(DP81&gt;0,MAX(PPMT('Executive Summary'!$L$8/12,DP81,'Executive Summary'!$L$11*12,$E$80),-DP82), 0)</f>
        <v>-0</v>
      </c>
      <c r="DQ84" s="522" t="n">
        <f aca="false">IF(DQ81&gt;0,MAX(PPMT('Executive Summary'!$L$8/12,DQ81,'Executive Summary'!$L$11*12,$E$80),-DQ82), 0)</f>
        <v>-0</v>
      </c>
      <c r="DR84" s="522" t="n">
        <f aca="false">IF(DR81&gt;0,MAX(PPMT('Executive Summary'!$L$8/12,DR81,'Executive Summary'!$L$11*12,$E$80),-DR82), 0)</f>
        <v>-0</v>
      </c>
      <c r="DS84" s="522" t="n">
        <f aca="false">IF(DS81&gt;0,MAX(PPMT('Executive Summary'!$L$8/12,DS81,'Executive Summary'!$L$11*12,$E$80),-DS82), 0)</f>
        <v>-0</v>
      </c>
      <c r="DT84" s="522" t="n">
        <f aca="false">IF(DT81&gt;0,MAX(PPMT('Executive Summary'!$L$8/12,DT81,'Executive Summary'!$L$11*12,$E$80),-DT82), 0)</f>
        <v>-0</v>
      </c>
      <c r="DU84" s="522" t="n">
        <f aca="false">IF(DU81&gt;0,MAX(PPMT('Executive Summary'!$L$8/12,DU81,'Executive Summary'!$L$11*12,$E$80),-DU82), 0)</f>
        <v>-0</v>
      </c>
      <c r="DV84" s="522" t="n">
        <f aca="false">IF(DV81&gt;0,MAX(PPMT('Executive Summary'!$L$8/12,DV81,'Executive Summary'!$L$11*12,$E$80),-DV82), 0)</f>
        <v>-0</v>
      </c>
      <c r="DW84" s="522" t="n">
        <f aca="false">IF(DW81&gt;0,MAX(PPMT('Executive Summary'!$L$8/12,DW81,'Executive Summary'!$L$11*12,$E$80),-DW82), 0)</f>
        <v>-0</v>
      </c>
      <c r="DX84" s="522" t="n">
        <f aca="false">IF(DX81&gt;0,MAX(PPMT('Executive Summary'!$L$8/12,DX81,'Executive Summary'!$L$11*12,$E$80),-DX82), 0)</f>
        <v>-0</v>
      </c>
      <c r="DY84" s="522" t="n">
        <f aca="false">IF(DY81&gt;0,MAX(PPMT('Executive Summary'!$L$8/12,DY81,'Executive Summary'!$L$11*12,$E$80),-DY82), 0)</f>
        <v>-0</v>
      </c>
      <c r="DZ84" s="522" t="n">
        <f aca="false">IF(DZ81&gt;0,MAX(PPMT('Executive Summary'!$L$8/12,DZ81,'Executive Summary'!$L$11*12,$E$80),-DZ82), 0)</f>
        <v>-0</v>
      </c>
      <c r="EA84" s="522" t="n">
        <f aca="false">IF(EA81&gt;0,MAX(PPMT('Executive Summary'!$L$8/12,EA81,'Executive Summary'!$L$11*12,$E$80),-EA82), 0)</f>
        <v>-0</v>
      </c>
      <c r="EB84" s="522" t="n">
        <f aca="false">IF(EB81&gt;0,MAX(PPMT('Executive Summary'!$L$8/12,EB81,'Executive Summary'!$L$11*12,$E$80),-EB82), 0)</f>
        <v>-0</v>
      </c>
      <c r="EC84" s="522" t="n">
        <f aca="false">IF(EC81&gt;0,MAX(PPMT('Executive Summary'!$L$8/12,EC81,'Executive Summary'!$L$11*12,$E$80),-EC82), 0)</f>
        <v>-0</v>
      </c>
      <c r="ED84" s="522" t="n">
        <f aca="false">IF(ED81&gt;0,MAX(PPMT('Executive Summary'!$L$8/12,ED81,'Executive Summary'!$L$11*12,$E$80),-ED82), 0)</f>
        <v>-0</v>
      </c>
      <c r="EE84" s="522" t="n">
        <f aca="false">IF(EE81&gt;0,MAX(PPMT('Executive Summary'!$L$8/12,EE81,'Executive Summary'!$L$11*12,$E$80),-EE82), 0)</f>
        <v>-0</v>
      </c>
      <c r="EF84" s="522" t="n">
        <f aca="false">IF(EF81&gt;0,MAX(PPMT('Executive Summary'!$L$8/12,EF81,'Executive Summary'!$L$11*12,$E$80),-EF82), 0)</f>
        <v>-0</v>
      </c>
      <c r="EG84" s="522" t="n">
        <f aca="false">IF(EG81&gt;0,MAX(PPMT('Executive Summary'!$L$8/12,EG81,'Executive Summary'!$L$11*12,$E$80),-EG82), 0)</f>
        <v>-0</v>
      </c>
      <c r="EH84" s="522" t="n">
        <f aca="false">IF(EH81&gt;0,MAX(PPMT('Executive Summary'!$L$8/12,EH81,'Executive Summary'!$L$11*12,$E$80),-EH82), 0)</f>
        <v>-0</v>
      </c>
      <c r="EI84" s="558" t="n">
        <f aca="false">IF(EI81&gt;0,MAX(PPMT('Executive Summary'!$L$8/12,EI81,'Executive Summary'!$L$11*12,$E$80),-EI82), 0)</f>
        <v>-0</v>
      </c>
      <c r="EK84" s="559" t="n">
        <f aca="false">SUMIF($G$3:$EI$3,EK$24,$G84:$EI84)</f>
        <v>0</v>
      </c>
      <c r="EL84" s="522" t="n">
        <f aca="false">SUMIF($G$3:$EI$3,EL$24,$G84:$EI84)</f>
        <v>0</v>
      </c>
      <c r="EM84" s="522" t="n">
        <f aca="false">SUMIF($G$3:$EI$3,EM$24,$G84:$EI84)</f>
        <v>0</v>
      </c>
      <c r="EN84" s="522" t="n">
        <f aca="false">SUMIF($G$3:$EI$3,EN$24,$G84:$EI84)</f>
        <v>-89611.5499780136</v>
      </c>
      <c r="EO84" s="522" t="n">
        <f aca="false">SUMIF($G$3:$EI$3,EO$24,$G84:$EI84)</f>
        <v>-94055.6351557368</v>
      </c>
      <c r="EP84" s="522" t="n">
        <f aca="false">SUMIF($G$3:$EI$3,EP$24,$G84:$EI84)</f>
        <v>0</v>
      </c>
      <c r="EQ84" s="522" t="n">
        <f aca="false">SUMIF($G$3:$EI$3,EQ$24,$G84:$EI84)</f>
        <v>0</v>
      </c>
      <c r="ER84" s="522" t="n">
        <f aca="false">SUMIF($G$3:$EI$3,ER$24,$G84:$EI84)</f>
        <v>0</v>
      </c>
      <c r="ES84" s="522" t="n">
        <f aca="false">SUMIF($G$3:$EI$3,ES$24,$G84:$EI84)</f>
        <v>0</v>
      </c>
      <c r="ET84" s="558" t="n">
        <f aca="false">SUMIF($G$3:$EI$3,ET$24,$G84:$EI84)</f>
        <v>0</v>
      </c>
    </row>
    <row r="85" s="522" customFormat="true" ht="13.5" hidden="false" customHeight="true" outlineLevel="1" collapsed="false">
      <c r="B85" s="559" t="s">
        <v>593</v>
      </c>
      <c r="C85" s="557"/>
      <c r="H85" s="522" t="n">
        <f aca="false">IF('Executive Summary'!$K$17="Refinance Month",-SUM(H82:H84)*MAX((H4='Executive Summary'!$I$13),(H4='Executive Summary'!$L$17),(H4=('Executive Summary'!$L$9*12-'Executive Summary'!$L$12+1))),-SUM(H82:I84)*MAX((H4='Executive Summary'!$I$13),(H4=('Executive Summary'!$L$9*12-'Executive Summary'!$L$12+1))))</f>
        <v>-0</v>
      </c>
      <c r="I85" s="522" t="n">
        <f aca="false">IF('Executive Summary'!$K$17="Refinance Month",-SUM(I82:I84)*MAX((I4='Executive Summary'!$I$13),(I4='Executive Summary'!$L$17),(I4=('Executive Summary'!$L$9*12-'Executive Summary'!$L$12+1))),-SUM(I82:J84)*MAX((I4='Executive Summary'!$I$13),(I4=('Executive Summary'!$L$9*12-'Executive Summary'!$L$12+1))))</f>
        <v>-0</v>
      </c>
      <c r="J85" s="522" t="n">
        <f aca="false">IF('Executive Summary'!$K$17="Refinance Month",-SUM(J82:J84)*MAX((J4='Executive Summary'!$I$13),(J4='Executive Summary'!$L$17),(J4=('Executive Summary'!$L$9*12-'Executive Summary'!$L$12+1))),-SUM(J82:K84)*MAX((J4='Executive Summary'!$I$13),(J4=('Executive Summary'!$L$9*12-'Executive Summary'!$L$12+1))))</f>
        <v>-0</v>
      </c>
      <c r="K85" s="522" t="n">
        <f aca="false">IF('Executive Summary'!$K$17="Refinance Month",-SUM(K82:K84)*MAX((K4='Executive Summary'!$I$13),(K4='Executive Summary'!$L$17),(K4=('Executive Summary'!$L$9*12-'Executive Summary'!$L$12+1))),-SUM(K82:L84)*MAX((K4='Executive Summary'!$I$13),(K4=('Executive Summary'!$L$9*12-'Executive Summary'!$L$12+1))))</f>
        <v>-0</v>
      </c>
      <c r="L85" s="522" t="n">
        <f aca="false">IF('Executive Summary'!$K$17="Refinance Month",-SUM(L82:L84)*MAX((L4='Executive Summary'!$I$13),(L4='Executive Summary'!$L$17),(L4=('Executive Summary'!$L$9*12-'Executive Summary'!$L$12+1))),-SUM(L82:M84)*MAX((L4='Executive Summary'!$I$13),(L4=('Executive Summary'!$L$9*12-'Executive Summary'!$L$12+1))))</f>
        <v>-0</v>
      </c>
      <c r="M85" s="522" t="n">
        <f aca="false">IF('Executive Summary'!$K$17="Refinance Month",-SUM(M82:M84)*MAX((M4='Executive Summary'!$I$13),(M4='Executive Summary'!$L$17),(M4=('Executive Summary'!$L$9*12-'Executive Summary'!$L$12+1))),-SUM(M82:N84)*MAX((M4='Executive Summary'!$I$13),(M4=('Executive Summary'!$L$9*12-'Executive Summary'!$L$12+1))))</f>
        <v>-0</v>
      </c>
      <c r="N85" s="522" t="n">
        <f aca="false">IF('Executive Summary'!$K$17="Refinance Month",-SUM(N82:N84)*MAX((N4='Executive Summary'!$I$13),(N4='Executive Summary'!$L$17),(N4=('Executive Summary'!$L$9*12-'Executive Summary'!$L$12+1))),-SUM(N82:O84)*MAX((N4='Executive Summary'!$I$13),(N4=('Executive Summary'!$L$9*12-'Executive Summary'!$L$12+1))))</f>
        <v>-0</v>
      </c>
      <c r="O85" s="522" t="n">
        <f aca="false">IF('Executive Summary'!$K$17="Refinance Month",-SUM(O82:O84)*MAX((O4='Executive Summary'!$I$13),(O4='Executive Summary'!$L$17),(O4=('Executive Summary'!$L$9*12-'Executive Summary'!$L$12+1))),-SUM(O82:P84)*MAX((O4='Executive Summary'!$I$13),(O4=('Executive Summary'!$L$9*12-'Executive Summary'!$L$12+1))))</f>
        <v>-0</v>
      </c>
      <c r="P85" s="522" t="n">
        <f aca="false">IF('Executive Summary'!$K$17="Refinance Month",-SUM(P82:P84)*MAX((P4='Executive Summary'!$I$13),(P4='Executive Summary'!$L$17),(P4=('Executive Summary'!$L$9*12-'Executive Summary'!$L$12+1))),-SUM(P82:Q84)*MAX((P4='Executive Summary'!$I$13),(P4=('Executive Summary'!$L$9*12-'Executive Summary'!$L$12+1))))</f>
        <v>-0</v>
      </c>
      <c r="Q85" s="522" t="n">
        <f aca="false">IF('Executive Summary'!$K$17="Refinance Month",-SUM(Q82:Q84)*MAX((Q4='Executive Summary'!$I$13),(Q4='Executive Summary'!$L$17),(Q4=('Executive Summary'!$L$9*12-'Executive Summary'!$L$12+1))),-SUM(Q82:R84)*MAX((Q4='Executive Summary'!$I$13),(Q4=('Executive Summary'!$L$9*12-'Executive Summary'!$L$12+1))))</f>
        <v>-0</v>
      </c>
      <c r="R85" s="522" t="n">
        <f aca="false">IF('Executive Summary'!$K$17="Refinance Month",-SUM(R82:R84)*MAX((R4='Executive Summary'!$I$13),(R4='Executive Summary'!$L$17),(R4=('Executive Summary'!$L$9*12-'Executive Summary'!$L$12+1))),-SUM(R82:S84)*MAX((R4='Executive Summary'!$I$13),(R4=('Executive Summary'!$L$9*12-'Executive Summary'!$L$12+1))))</f>
        <v>-0</v>
      </c>
      <c r="S85" s="522" t="n">
        <f aca="false">IF('Executive Summary'!$K$17="Refinance Month",-SUM(S82:S84)*MAX((S4='Executive Summary'!$I$13),(S4='Executive Summary'!$L$17),(S4=('Executive Summary'!$L$9*12-'Executive Summary'!$L$12+1))),-SUM(S82:T84)*MAX((S4='Executive Summary'!$I$13),(S4=('Executive Summary'!$L$9*12-'Executive Summary'!$L$12+1))))</f>
        <v>-0</v>
      </c>
      <c r="T85" s="522" t="n">
        <f aca="false">IF('Executive Summary'!$K$17="Refinance Month",-SUM(T82:T84)*MAX((T4='Executive Summary'!$I$13),(T4='Executive Summary'!$L$17),(T4=('Executive Summary'!$L$9*12-'Executive Summary'!$L$12+1))),-SUM(T82:U84)*MAX((T4='Executive Summary'!$I$13),(T4=('Executive Summary'!$L$9*12-'Executive Summary'!$L$12+1))))</f>
        <v>-0</v>
      </c>
      <c r="U85" s="522" t="n">
        <f aca="false">IF('Executive Summary'!$K$17="Refinance Month",-SUM(U82:U84)*MAX((U4='Executive Summary'!$I$13),(U4='Executive Summary'!$L$17),(U4=('Executive Summary'!$L$9*12-'Executive Summary'!$L$12+1))),-SUM(U82:V84)*MAX((U4='Executive Summary'!$I$13),(U4=('Executive Summary'!$L$9*12-'Executive Summary'!$L$12+1))))</f>
        <v>-0</v>
      </c>
      <c r="V85" s="522" t="n">
        <f aca="false">IF('Executive Summary'!$K$17="Refinance Month",-SUM(V82:V84)*MAX((V4='Executive Summary'!$I$13),(V4='Executive Summary'!$L$17),(V4=('Executive Summary'!$L$9*12-'Executive Summary'!$L$12+1))),-SUM(V82:W84)*MAX((V4='Executive Summary'!$I$13),(V4=('Executive Summary'!$L$9*12-'Executive Summary'!$L$12+1))))</f>
        <v>-0</v>
      </c>
      <c r="W85" s="522" t="n">
        <f aca="false">IF('Executive Summary'!$K$17="Refinance Month",-SUM(W82:W84)*MAX((W4='Executive Summary'!$I$13),(W4='Executive Summary'!$L$17),(W4=('Executive Summary'!$L$9*12-'Executive Summary'!$L$12+1))),-SUM(W82:X84)*MAX((W4='Executive Summary'!$I$13),(W4=('Executive Summary'!$L$9*12-'Executive Summary'!$L$12+1))))</f>
        <v>-0</v>
      </c>
      <c r="X85" s="522" t="n">
        <f aca="false">IF('Executive Summary'!$K$17="Refinance Month",-SUM(X82:X84)*MAX((X4='Executive Summary'!$I$13),(X4='Executive Summary'!$L$17),(X4=('Executive Summary'!$L$9*12-'Executive Summary'!$L$12+1))),-SUM(X82:Y84)*MAX((X4='Executive Summary'!$I$13),(X4=('Executive Summary'!$L$9*12-'Executive Summary'!$L$12+1))))</f>
        <v>-0</v>
      </c>
      <c r="Y85" s="522" t="n">
        <f aca="false">IF('Executive Summary'!$K$17="Refinance Month",-SUM(Y82:Y84)*MAX((Y4='Executive Summary'!$I$13),(Y4='Executive Summary'!$L$17),(Y4=('Executive Summary'!$L$9*12-'Executive Summary'!$L$12+1))),-SUM(Y82:Z84)*MAX((Y4='Executive Summary'!$I$13),(Y4=('Executive Summary'!$L$9*12-'Executive Summary'!$L$12+1))))</f>
        <v>-0</v>
      </c>
      <c r="Z85" s="522" t="n">
        <f aca="false">IF('Executive Summary'!$K$17="Refinance Month",-SUM(Z82:Z84)*MAX((Z4='Executive Summary'!$I$13),(Z4='Executive Summary'!$L$17),(Z4=('Executive Summary'!$L$9*12-'Executive Summary'!$L$12+1))),-SUM(Z82:AA84)*MAX((Z4='Executive Summary'!$I$13),(Z4=('Executive Summary'!$L$9*12-'Executive Summary'!$L$12+1))))</f>
        <v>-0</v>
      </c>
      <c r="AA85" s="522" t="n">
        <f aca="false">IF('Executive Summary'!$K$17="Refinance Month",-SUM(AA82:AA84)*MAX((AA4='Executive Summary'!$I$13),(AA4='Executive Summary'!$L$17),(AA4=('Executive Summary'!$L$9*12-'Executive Summary'!$L$12+1))),-SUM(AA82:AB84)*MAX((AA4='Executive Summary'!$I$13),(AA4=('Executive Summary'!$L$9*12-'Executive Summary'!$L$12+1))))</f>
        <v>-0</v>
      </c>
      <c r="AB85" s="522" t="n">
        <f aca="false">IF('Executive Summary'!$K$17="Refinance Month",-SUM(AB82:AB84)*MAX((AB4='Executive Summary'!$I$13),(AB4='Executive Summary'!$L$17),(AB4=('Executive Summary'!$L$9*12-'Executive Summary'!$L$12+1))),-SUM(AB82:AC84)*MAX((AB4='Executive Summary'!$I$13),(AB4=('Executive Summary'!$L$9*12-'Executive Summary'!$L$12+1))))</f>
        <v>-0</v>
      </c>
      <c r="AC85" s="522" t="n">
        <f aca="false">IF('Executive Summary'!$K$17="Refinance Month",-SUM(AC82:AC84)*MAX((AC4='Executive Summary'!$I$13),(AC4='Executive Summary'!$L$17),(AC4=('Executive Summary'!$L$9*12-'Executive Summary'!$L$12+1))),-SUM(AC82:AD84)*MAX((AC4='Executive Summary'!$I$13),(AC4=('Executive Summary'!$L$9*12-'Executive Summary'!$L$12+1))))</f>
        <v>-0</v>
      </c>
      <c r="AD85" s="522" t="n">
        <f aca="false">IF('Executive Summary'!$K$17="Refinance Month",-SUM(AD82:AD84)*MAX((AD4='Executive Summary'!$I$13),(AD4='Executive Summary'!$L$17),(AD4=('Executive Summary'!$L$9*12-'Executive Summary'!$L$12+1))),-SUM(AD82:AE84)*MAX((AD4='Executive Summary'!$I$13),(AD4=('Executive Summary'!$L$9*12-'Executive Summary'!$L$12+1))))</f>
        <v>-0</v>
      </c>
      <c r="AE85" s="522" t="n">
        <f aca="false">IF('Executive Summary'!$K$17="Refinance Month",-SUM(AE82:AE84)*MAX((AE4='Executive Summary'!$I$13),(AE4='Executive Summary'!$L$17),(AE4=('Executive Summary'!$L$9*12-'Executive Summary'!$L$12+1))),-SUM(AE82:AF84)*MAX((AE4='Executive Summary'!$I$13),(AE4=('Executive Summary'!$L$9*12-'Executive Summary'!$L$12+1))))</f>
        <v>-0</v>
      </c>
      <c r="AF85" s="522" t="n">
        <f aca="false">IF('Executive Summary'!$K$17="Refinance Month",-SUM(AF82:AF84)*MAX((AF4='Executive Summary'!$I$13),(AF4='Executive Summary'!$L$17),(AF4=('Executive Summary'!$L$9*12-'Executive Summary'!$L$12+1))),-SUM(AF82:AG84)*MAX((AF4='Executive Summary'!$I$13),(AF4=('Executive Summary'!$L$9*12-'Executive Summary'!$L$12+1))))</f>
        <v>-0</v>
      </c>
      <c r="AG85" s="522" t="n">
        <f aca="false">IF('Executive Summary'!$K$17="Refinance Month",-SUM(AG82:AG84)*MAX((AG4='Executive Summary'!$I$13),(AG4='Executive Summary'!$L$17),(AG4=('Executive Summary'!$L$9*12-'Executive Summary'!$L$12+1))),-SUM(AG82:AH84)*MAX((AG4='Executive Summary'!$I$13),(AG4=('Executive Summary'!$L$9*12-'Executive Summary'!$L$12+1))))</f>
        <v>-0</v>
      </c>
      <c r="AH85" s="522" t="n">
        <f aca="false">IF('Executive Summary'!$K$17="Refinance Month",-SUM(AH82:AH84)*MAX((AH4='Executive Summary'!$I$13),(AH4='Executive Summary'!$L$17),(AH4=('Executive Summary'!$L$9*12-'Executive Summary'!$L$12+1))),-SUM(AH82:AI84)*MAX((AH4='Executive Summary'!$I$13),(AH4=('Executive Summary'!$L$9*12-'Executive Summary'!$L$12+1))))</f>
        <v>-0</v>
      </c>
      <c r="AI85" s="522" t="n">
        <f aca="false">IF('Executive Summary'!$K$17="Refinance Month",-SUM(AI82:AI84)*MAX((AI4='Executive Summary'!$I$13),(AI4='Executive Summary'!$L$17),(AI4=('Executive Summary'!$L$9*12-'Executive Summary'!$L$12+1))),-SUM(AI82:AJ84)*MAX((AI4='Executive Summary'!$I$13),(AI4=('Executive Summary'!$L$9*12-'Executive Summary'!$L$12+1))))</f>
        <v>-0</v>
      </c>
      <c r="AJ85" s="522" t="n">
        <f aca="false">IF('Executive Summary'!$K$17="Refinance Month",-SUM(AJ82:AJ84)*MAX((AJ4='Executive Summary'!$I$13),(AJ4='Executive Summary'!$L$17),(AJ4=('Executive Summary'!$L$9*12-'Executive Summary'!$L$12+1))),-SUM(AJ82:AK84)*MAX((AJ4='Executive Summary'!$I$13),(AJ4=('Executive Summary'!$L$9*12-'Executive Summary'!$L$12+1))))</f>
        <v>-0</v>
      </c>
      <c r="AK85" s="522" t="n">
        <f aca="false">IF('Executive Summary'!$K$17="Refinance Month",-SUM(AK82:AK84)*MAX((AK4='Executive Summary'!$I$13),(AK4='Executive Summary'!$L$17),(AK4=('Executive Summary'!$L$9*12-'Executive Summary'!$L$12+1))),-SUM(AK82:AL84)*MAX((AK4='Executive Summary'!$I$13),(AK4=('Executive Summary'!$L$9*12-'Executive Summary'!$L$12+1))))</f>
        <v>-0</v>
      </c>
      <c r="AL85" s="522" t="n">
        <f aca="false">IF('Executive Summary'!$K$17="Refinance Month",-SUM(AL82:AL84)*MAX((AL4='Executive Summary'!$I$13),(AL4='Executive Summary'!$L$17),(AL4=('Executive Summary'!$L$9*12-'Executive Summary'!$L$12+1))),-SUM(AL82:AM84)*MAX((AL4='Executive Summary'!$I$13),(AL4=('Executive Summary'!$L$9*12-'Executive Summary'!$L$12+1))))</f>
        <v>-0</v>
      </c>
      <c r="AM85" s="522" t="n">
        <f aca="false">IF('Executive Summary'!$K$17="Refinance Month",-SUM(AM82:AM84)*MAX((AM4='Executive Summary'!$I$13),(AM4='Executive Summary'!$L$17),(AM4=('Executive Summary'!$L$9*12-'Executive Summary'!$L$12+1))),-SUM(AM82:AN84)*MAX((AM4='Executive Summary'!$I$13),(AM4=('Executive Summary'!$L$9*12-'Executive Summary'!$L$12+1))))</f>
        <v>-0</v>
      </c>
      <c r="AN85" s="522" t="n">
        <f aca="false">IF('Executive Summary'!$K$17="Refinance Month",-SUM(AN82:AN84)*MAX((AN4='Executive Summary'!$I$13),(AN4='Executive Summary'!$L$17),(AN4=('Executive Summary'!$L$9*12-'Executive Summary'!$L$12+1))),-SUM(AN82:AO84)*MAX((AN4='Executive Summary'!$I$13),(AN4=('Executive Summary'!$L$9*12-'Executive Summary'!$L$12+1))))</f>
        <v>-0</v>
      </c>
      <c r="AO85" s="522" t="n">
        <f aca="false">IF('Executive Summary'!$K$17="Refinance Month",-SUM(AO82:AO84)*MAX((AO4='Executive Summary'!$I$13),(AO4='Executive Summary'!$L$17),(AO4=('Executive Summary'!$L$9*12-'Executive Summary'!$L$12+1))),-SUM(AO82:AP84)*MAX((AO4='Executive Summary'!$I$13),(AO4=('Executive Summary'!$L$9*12-'Executive Summary'!$L$12+1))))</f>
        <v>-0</v>
      </c>
      <c r="AP85" s="522" t="n">
        <f aca="false">IF('Executive Summary'!$K$17="Refinance Month",-SUM(AP82:AP84)*MAX((AP4='Executive Summary'!$I$13),(AP4='Executive Summary'!$L$17),(AP4=('Executive Summary'!$L$9*12-'Executive Summary'!$L$12+1))),-SUM(AP82:AQ84)*MAX((AP4='Executive Summary'!$I$13),(AP4=('Executive Summary'!$L$9*12-'Executive Summary'!$L$12+1))))</f>
        <v>-0</v>
      </c>
      <c r="AQ85" s="522" t="n">
        <f aca="false">IF('Executive Summary'!$K$17="Refinance Month",-SUM(AQ82:AQ84)*MAX((AQ4='Executive Summary'!$I$13),(AQ4='Executive Summary'!$L$17),(AQ4=('Executive Summary'!$L$9*12-'Executive Summary'!$L$12+1))),-SUM(AQ82:AR84)*MAX((AQ4='Executive Summary'!$I$13),(AQ4=('Executive Summary'!$L$9*12-'Executive Summary'!$L$12+1))))</f>
        <v>-0</v>
      </c>
      <c r="AR85" s="522" t="n">
        <f aca="false">IF('Executive Summary'!$K$17="Refinance Month",-SUM(AR82:AR84)*MAX((AR4='Executive Summary'!$I$13),(AR4='Executive Summary'!$L$17),(AR4=('Executive Summary'!$L$9*12-'Executive Summary'!$L$12+1))),-SUM(AR82:AS84)*MAX((AR4='Executive Summary'!$I$13),(AR4=('Executive Summary'!$L$9*12-'Executive Summary'!$L$12+1))))</f>
        <v>-0</v>
      </c>
      <c r="AS85" s="522" t="n">
        <f aca="false">IF('Executive Summary'!$K$17="Refinance Month",-SUM(AS82:AS84)*MAX((AS4='Executive Summary'!$I$13),(AS4='Executive Summary'!$L$17),(AS4=('Executive Summary'!$L$9*12-'Executive Summary'!$L$12+1))),-SUM(AS82:AT84)*MAX((AS4='Executive Summary'!$I$13),(AS4=('Executive Summary'!$L$9*12-'Executive Summary'!$L$12+1))))</f>
        <v>-0</v>
      </c>
      <c r="AT85" s="522" t="n">
        <f aca="false">IF('Executive Summary'!$K$17="Refinance Month",-SUM(AT82:AT84)*MAX((AT4='Executive Summary'!$I$13),(AT4='Executive Summary'!$L$17),(AT4=('Executive Summary'!$L$9*12-'Executive Summary'!$L$12+1))),-SUM(AT82:AU84)*MAX((AT4='Executive Summary'!$I$13),(AT4=('Executive Summary'!$L$9*12-'Executive Summary'!$L$12+1))))</f>
        <v>-0</v>
      </c>
      <c r="AU85" s="522" t="n">
        <f aca="false">IF('Executive Summary'!$K$17="Refinance Month",-SUM(AU82:AU84)*MAX((AU4='Executive Summary'!$I$13),(AU4='Executive Summary'!$L$17),(AU4=('Executive Summary'!$L$9*12-'Executive Summary'!$L$12+1))),-SUM(AU82:AV84)*MAX((AU4='Executive Summary'!$I$13),(AU4=('Executive Summary'!$L$9*12-'Executive Summary'!$L$12+1))))</f>
        <v>-0</v>
      </c>
      <c r="AV85" s="522" t="n">
        <f aca="false">IF('Executive Summary'!$K$17="Refinance Month",-SUM(AV82:AV84)*MAX((AV4='Executive Summary'!$I$13),(AV4='Executive Summary'!$L$17),(AV4=('Executive Summary'!$L$9*12-'Executive Summary'!$L$12+1))),-SUM(AV82:AW84)*MAX((AV4='Executive Summary'!$I$13),(AV4=('Executive Summary'!$L$9*12-'Executive Summary'!$L$12+1))))</f>
        <v>-0</v>
      </c>
      <c r="AW85" s="522" t="n">
        <f aca="false">IF('Executive Summary'!$K$17="Refinance Month",-SUM(AW82:AW84)*MAX((AW4='Executive Summary'!$I$13),(AW4='Executive Summary'!$L$17),(AW4=('Executive Summary'!$L$9*12-'Executive Summary'!$L$12+1))),-SUM(AW82:AX84)*MAX((AW4='Executive Summary'!$I$13),(AW4=('Executive Summary'!$L$9*12-'Executive Summary'!$L$12+1))))</f>
        <v>-0</v>
      </c>
      <c r="AX85" s="522" t="n">
        <f aca="false">IF('Executive Summary'!$K$17="Refinance Month",-SUM(AX82:AX84)*MAX((AX4='Executive Summary'!$I$13),(AX4='Executive Summary'!$L$17),(AX4=('Executive Summary'!$L$9*12-'Executive Summary'!$L$12+1))),-SUM(AX82:AY84)*MAX((AX4='Executive Summary'!$I$13),(AX4=('Executive Summary'!$L$9*12-'Executive Summary'!$L$12+1))))</f>
        <v>-0</v>
      </c>
      <c r="AY85" s="522" t="n">
        <f aca="false">IF('Executive Summary'!$K$17="Refinance Month",-SUM(AY82:AY84)*MAX((AY4='Executive Summary'!$I$13),(AY4='Executive Summary'!$L$17),(AY4=('Executive Summary'!$L$9*12-'Executive Summary'!$L$12+1))),-SUM(AY82:AZ84)*MAX((AY4='Executive Summary'!$I$13),(AY4=('Executive Summary'!$L$9*12-'Executive Summary'!$L$12+1))))</f>
        <v>-0</v>
      </c>
      <c r="AZ85" s="522" t="n">
        <f aca="false">IF('Executive Summary'!$K$17="Refinance Month",-SUM(AZ82:AZ84)*MAX((AZ4='Executive Summary'!$I$13),(AZ4='Executive Summary'!$L$17),(AZ4=('Executive Summary'!$L$9*12-'Executive Summary'!$L$12+1))),-SUM(AZ82:BA84)*MAX((AZ4='Executive Summary'!$I$13),(AZ4=('Executive Summary'!$L$9*12-'Executive Summary'!$L$12+1))))</f>
        <v>-0</v>
      </c>
      <c r="BA85" s="522" t="n">
        <f aca="false">IF('Executive Summary'!$K$17="Refinance Month",-SUM(BA82:BA84)*MAX((BA4='Executive Summary'!$I$13),(BA4='Executive Summary'!$L$17),(BA4=('Executive Summary'!$L$9*12-'Executive Summary'!$L$12+1))),-SUM(BA82:BB84)*MAX((BA4='Executive Summary'!$I$13),(BA4=('Executive Summary'!$L$9*12-'Executive Summary'!$L$12+1))))</f>
        <v>-0</v>
      </c>
      <c r="BB85" s="522" t="n">
        <f aca="false">IF('Executive Summary'!$K$17="Refinance Month",-SUM(BB82:BB84)*MAX((BB4='Executive Summary'!$I$13),(BB4='Executive Summary'!$L$17),(BB4=('Executive Summary'!$L$9*12-'Executive Summary'!$L$12+1))),-SUM(BB82:BC84)*MAX((BB4='Executive Summary'!$I$13),(BB4=('Executive Summary'!$L$9*12-'Executive Summary'!$L$12+1))))</f>
        <v>-0</v>
      </c>
      <c r="BC85" s="522" t="n">
        <f aca="false">IF('Executive Summary'!$K$17="Refinance Month",-SUM(BC82:BC84)*MAX((BC4='Executive Summary'!$I$13),(BC4='Executive Summary'!$L$17),(BC4=('Executive Summary'!$L$9*12-'Executive Summary'!$L$12+1))),-SUM(BC82:BD84)*MAX((BC4='Executive Summary'!$I$13),(BC4=('Executive Summary'!$L$9*12-'Executive Summary'!$L$12+1))))</f>
        <v>-0</v>
      </c>
      <c r="BD85" s="522" t="n">
        <f aca="false">IF('Executive Summary'!$K$17="Refinance Month",-SUM(BD82:BD84)*MAX((BD4='Executive Summary'!$I$13),(BD4='Executive Summary'!$L$17),(BD4=('Executive Summary'!$L$9*12-'Executive Summary'!$L$12+1))),-SUM(BD82:BE84)*MAX((BD4='Executive Summary'!$I$13),(BD4=('Executive Summary'!$L$9*12-'Executive Summary'!$L$12+1))))</f>
        <v>-0</v>
      </c>
      <c r="BE85" s="522" t="n">
        <f aca="false">IF('Executive Summary'!$K$17="Refinance Month",-SUM(BE82:BE84)*MAX((BE4='Executive Summary'!$I$13),(BE4='Executive Summary'!$L$17),(BE4=('Executive Summary'!$L$9*12-'Executive Summary'!$L$12+1))),-SUM(BE82:BF84)*MAX((BE4='Executive Summary'!$I$13),(BE4=('Executive Summary'!$L$9*12-'Executive Summary'!$L$12+1))))</f>
        <v>-0</v>
      </c>
      <c r="BF85" s="522" t="n">
        <f aca="false">IF('Executive Summary'!$K$17="Refinance Month",-SUM(BF82:BF84)*MAX((BF4='Executive Summary'!$I$13),(BF4='Executive Summary'!$L$17),(BF4=('Executive Summary'!$L$9*12-'Executive Summary'!$L$12+1))),-SUM(BF82:BG84)*MAX((BF4='Executive Summary'!$I$13),(BF4=('Executive Summary'!$L$9*12-'Executive Summary'!$L$12+1))))</f>
        <v>-0</v>
      </c>
      <c r="BG85" s="522" t="n">
        <f aca="false">IF('Executive Summary'!$K$17="Refinance Month",-SUM(BG82:BG84)*MAX((BG4='Executive Summary'!$I$13),(BG4='Executive Summary'!$L$17),(BG4=('Executive Summary'!$L$9*12-'Executive Summary'!$L$12+1))),-SUM(BG82:BH84)*MAX((BG4='Executive Summary'!$I$13),(BG4=('Executive Summary'!$L$9*12-'Executive Summary'!$L$12+1))))</f>
        <v>-0</v>
      </c>
      <c r="BH85" s="522" t="n">
        <f aca="false">IF('Executive Summary'!$K$17="Refinance Month",-SUM(BH82:BH84)*MAX((BH4='Executive Summary'!$I$13),(BH4='Executive Summary'!$L$17),(BH4=('Executive Summary'!$L$9*12-'Executive Summary'!$L$12+1))),-SUM(BH82:BI84)*MAX((BH4='Executive Summary'!$I$13),(BH4=('Executive Summary'!$L$9*12-'Executive Summary'!$L$12+1))))</f>
        <v>-0</v>
      </c>
      <c r="BI85" s="522" t="n">
        <f aca="false">IF('Executive Summary'!$K$17="Refinance Month",-SUM(BI82:BI84)*MAX((BI4='Executive Summary'!$I$13),(BI4='Executive Summary'!$L$17),(BI4=('Executive Summary'!$L$9*12-'Executive Summary'!$L$12+1))),-SUM(BI82:BJ84)*MAX((BI4='Executive Summary'!$I$13),(BI4=('Executive Summary'!$L$9*12-'Executive Summary'!$L$12+1))))</f>
        <v>-0</v>
      </c>
      <c r="BJ85" s="522" t="n">
        <f aca="false">IF('Executive Summary'!$K$17="Refinance Month",-SUM(BJ82:BJ84)*MAX((BJ4='Executive Summary'!$I$13),(BJ4='Executive Summary'!$L$17),(BJ4=('Executive Summary'!$L$9*12-'Executive Summary'!$L$12+1))),-SUM(BJ82:BK84)*MAX((BJ4='Executive Summary'!$I$13),(BJ4=('Executive Summary'!$L$9*12-'Executive Summary'!$L$12+1))))</f>
        <v>-0</v>
      </c>
      <c r="BK85" s="522" t="n">
        <f aca="false">IF('Executive Summary'!$K$17="Refinance Month",-SUM(BK82:BK84)*MAX((BK4='Executive Summary'!$I$13),(BK4='Executive Summary'!$L$17),(BK4=('Executive Summary'!$L$9*12-'Executive Summary'!$L$12+1))),-SUM(BK82:BL84)*MAX((BK4='Executive Summary'!$I$13),(BK4=('Executive Summary'!$L$9*12-'Executive Summary'!$L$12+1))))</f>
        <v>-0</v>
      </c>
      <c r="BL85" s="522" t="n">
        <f aca="false">IF('Executive Summary'!$K$17="Refinance Month",-SUM(BL82:BL84)*MAX((BL4='Executive Summary'!$I$13),(BL4='Executive Summary'!$L$17),(BL4=('Executive Summary'!$L$9*12-'Executive Summary'!$L$12+1))),-SUM(BL82:BM84)*MAX((BL4='Executive Summary'!$I$13),(BL4=('Executive Summary'!$L$9*12-'Executive Summary'!$L$12+1))))</f>
        <v>-0</v>
      </c>
      <c r="BM85" s="522" t="n">
        <f aca="false">IF('Executive Summary'!$K$17="Refinance Month",-SUM(BM82:BM84)*MAX((BM4='Executive Summary'!$I$13),(BM4='Executive Summary'!$L$17),(BM4=('Executive Summary'!$L$9*12-'Executive Summary'!$L$12+1))),-SUM(BM82:BN84)*MAX((BM4='Executive Summary'!$I$13),(BM4=('Executive Summary'!$L$9*12-'Executive Summary'!$L$12+1))))</f>
        <v>-0</v>
      </c>
      <c r="BN85" s="522" t="n">
        <f aca="false">IF('Executive Summary'!$K$17="Refinance Month",-SUM(BN82:BN84)*MAX((BN4='Executive Summary'!$I$13),(BN4='Executive Summary'!$L$17),(BN4=('Executive Summary'!$L$9*12-'Executive Summary'!$L$12+1))),-SUM(BN82:BO84)*MAX((BN4='Executive Summary'!$I$13),(BN4=('Executive Summary'!$L$9*12-'Executive Summary'!$L$12+1))))</f>
        <v>-0</v>
      </c>
      <c r="BO85" s="522" t="n">
        <f aca="false">IF('Executive Summary'!$K$17="Refinance Month",-SUM(BO82:BO84)*MAX((BO4='Executive Summary'!$I$13),(BO4='Executive Summary'!$L$17),(BO4=('Executive Summary'!$L$9*12-'Executive Summary'!$L$12+1))),-SUM(BO82:BP84)*MAX((BO4='Executive Summary'!$I$13),(BO4=('Executive Summary'!$L$9*12-'Executive Summary'!$L$12+1))))</f>
        <v>-5016332.81486625</v>
      </c>
      <c r="BP85" s="522" t="n">
        <f aca="false">IF('Executive Summary'!$K$17="Refinance Month",-SUM(BP82:BP84)*MAX((BP4='Executive Summary'!$I$13),(BP4='Executive Summary'!$L$17),(BP4=('Executive Summary'!$L$9*12-'Executive Summary'!$L$12+1))),-SUM(BP82:BQ84)*MAX((BP4='Executive Summary'!$I$13),(BP4=('Executive Summary'!$L$9*12-'Executive Summary'!$L$12+1))))</f>
        <v>-0</v>
      </c>
      <c r="BQ85" s="522" t="n">
        <f aca="false">IF('Executive Summary'!$K$17="Refinance Month",-SUM(BQ82:BQ84)*MAX((BQ4='Executive Summary'!$I$13),(BQ4='Executive Summary'!$L$17),(BQ4=('Executive Summary'!$L$9*12-'Executive Summary'!$L$12+1))),-SUM(BQ82:BR84)*MAX((BQ4='Executive Summary'!$I$13),(BQ4=('Executive Summary'!$L$9*12-'Executive Summary'!$L$12+1))))</f>
        <v>-0</v>
      </c>
      <c r="BR85" s="522" t="n">
        <f aca="false">IF('Executive Summary'!$K$17="Refinance Month",-SUM(BR82:BR84)*MAX((BR4='Executive Summary'!$I$13),(BR4='Executive Summary'!$L$17),(BR4=('Executive Summary'!$L$9*12-'Executive Summary'!$L$12+1))),-SUM(BR82:BS84)*MAX((BR4='Executive Summary'!$I$13),(BR4=('Executive Summary'!$L$9*12-'Executive Summary'!$L$12+1))))</f>
        <v>-0</v>
      </c>
      <c r="BS85" s="522" t="n">
        <f aca="false">IF('Executive Summary'!$K$17="Refinance Month",-SUM(BS82:BS84)*MAX((BS4='Executive Summary'!$I$13),(BS4='Executive Summary'!$L$17),(BS4=('Executive Summary'!$L$9*12-'Executive Summary'!$L$12+1))),-SUM(BS82:BT84)*MAX((BS4='Executive Summary'!$I$13),(BS4=('Executive Summary'!$L$9*12-'Executive Summary'!$L$12+1))))</f>
        <v>-0</v>
      </c>
      <c r="BT85" s="522" t="n">
        <f aca="false">IF('Executive Summary'!$K$17="Refinance Month",-SUM(BT82:BT84)*MAX((BT4='Executive Summary'!$I$13),(BT4='Executive Summary'!$L$17),(BT4=('Executive Summary'!$L$9*12-'Executive Summary'!$L$12+1))),-SUM(BT82:BU84)*MAX((BT4='Executive Summary'!$I$13),(BT4=('Executive Summary'!$L$9*12-'Executive Summary'!$L$12+1))))</f>
        <v>-0</v>
      </c>
      <c r="BU85" s="522" t="n">
        <f aca="false">IF('Executive Summary'!$K$17="Refinance Month",-SUM(BU82:BU84)*MAX((BU4='Executive Summary'!$I$13),(BU4='Executive Summary'!$L$17),(BU4=('Executive Summary'!$L$9*12-'Executive Summary'!$L$12+1))),-SUM(BU82:BV84)*MAX((BU4='Executive Summary'!$I$13),(BU4=('Executive Summary'!$L$9*12-'Executive Summary'!$L$12+1))))</f>
        <v>-0</v>
      </c>
      <c r="BV85" s="522" t="n">
        <f aca="false">IF('Executive Summary'!$K$17="Refinance Month",-SUM(BV82:BV84)*MAX((BV4='Executive Summary'!$I$13),(BV4='Executive Summary'!$L$17),(BV4=('Executive Summary'!$L$9*12-'Executive Summary'!$L$12+1))),-SUM(BV82:BW84)*MAX((BV4='Executive Summary'!$I$13),(BV4=('Executive Summary'!$L$9*12-'Executive Summary'!$L$12+1))))</f>
        <v>-0</v>
      </c>
      <c r="BW85" s="522" t="n">
        <f aca="false">IF('Executive Summary'!$K$17="Refinance Month",-SUM(BW82:BW84)*MAX((BW4='Executive Summary'!$I$13),(BW4='Executive Summary'!$L$17),(BW4=('Executive Summary'!$L$9*12-'Executive Summary'!$L$12+1))),-SUM(BW82:BX84)*MAX((BW4='Executive Summary'!$I$13),(BW4=('Executive Summary'!$L$9*12-'Executive Summary'!$L$12+1))))</f>
        <v>-0</v>
      </c>
      <c r="BX85" s="522" t="n">
        <f aca="false">IF('Executive Summary'!$K$17="Refinance Month",-SUM(BX82:BX84)*MAX((BX4='Executive Summary'!$I$13),(BX4='Executive Summary'!$L$17),(BX4=('Executive Summary'!$L$9*12-'Executive Summary'!$L$12+1))),-SUM(BX82:BY84)*MAX((BX4='Executive Summary'!$I$13),(BX4=('Executive Summary'!$L$9*12-'Executive Summary'!$L$12+1))))</f>
        <v>-0</v>
      </c>
      <c r="BY85" s="522" t="n">
        <f aca="false">IF('Executive Summary'!$K$17="Refinance Month",-SUM(BY82:BY84)*MAX((BY4='Executive Summary'!$I$13),(BY4='Executive Summary'!$L$17),(BY4=('Executive Summary'!$L$9*12-'Executive Summary'!$L$12+1))),-SUM(BY82:BZ84)*MAX((BY4='Executive Summary'!$I$13),(BY4=('Executive Summary'!$L$9*12-'Executive Summary'!$L$12+1))))</f>
        <v>-0</v>
      </c>
      <c r="BZ85" s="522" t="n">
        <f aca="false">IF('Executive Summary'!$K$17="Refinance Month",-SUM(BZ82:BZ84)*MAX((BZ4='Executive Summary'!$I$13),(BZ4='Executive Summary'!$L$17),(BZ4=('Executive Summary'!$L$9*12-'Executive Summary'!$L$12+1))),-SUM(BZ82:CA84)*MAX((BZ4='Executive Summary'!$I$13),(BZ4=('Executive Summary'!$L$9*12-'Executive Summary'!$L$12+1))))</f>
        <v>-0</v>
      </c>
      <c r="CA85" s="522" t="n">
        <f aca="false">IF('Executive Summary'!$K$17="Refinance Month",-SUM(CA82:CA84)*MAX((CA4='Executive Summary'!$I$13),(CA4='Executive Summary'!$L$17),(CA4=('Executive Summary'!$L$9*12-'Executive Summary'!$L$12+1))),-SUM(CA82:CB84)*MAX((CA4='Executive Summary'!$I$13),(CA4=('Executive Summary'!$L$9*12-'Executive Summary'!$L$12+1))))</f>
        <v>-0</v>
      </c>
      <c r="CB85" s="522" t="n">
        <f aca="false">IF('Executive Summary'!$K$17="Refinance Month",-SUM(CB82:CB84)*MAX((CB4='Executive Summary'!$I$13),(CB4='Executive Summary'!$L$17),(CB4=('Executive Summary'!$L$9*12-'Executive Summary'!$L$12+1))),-SUM(CB82:CC84)*MAX((CB4='Executive Summary'!$I$13),(CB4=('Executive Summary'!$L$9*12-'Executive Summary'!$L$12+1))))</f>
        <v>-0</v>
      </c>
      <c r="CC85" s="522" t="n">
        <f aca="false">IF('Executive Summary'!$K$17="Refinance Month",-SUM(CC82:CC84)*MAX((CC4='Executive Summary'!$I$13),(CC4='Executive Summary'!$L$17),(CC4=('Executive Summary'!$L$9*12-'Executive Summary'!$L$12+1))),-SUM(CC82:CD84)*MAX((CC4='Executive Summary'!$I$13),(CC4=('Executive Summary'!$L$9*12-'Executive Summary'!$L$12+1))))</f>
        <v>-0</v>
      </c>
      <c r="CD85" s="522" t="n">
        <f aca="false">IF('Executive Summary'!$K$17="Refinance Month",-SUM(CD82:CD84)*MAX((CD4='Executive Summary'!$I$13),(CD4='Executive Summary'!$L$17),(CD4=('Executive Summary'!$L$9*12-'Executive Summary'!$L$12+1))),-SUM(CD82:CE84)*MAX((CD4='Executive Summary'!$I$13),(CD4=('Executive Summary'!$L$9*12-'Executive Summary'!$L$12+1))))</f>
        <v>-0</v>
      </c>
      <c r="CE85" s="522" t="n">
        <f aca="false">IF('Executive Summary'!$K$17="Refinance Month",-SUM(CE82:CE84)*MAX((CE4='Executive Summary'!$I$13),(CE4='Executive Summary'!$L$17),(CE4=('Executive Summary'!$L$9*12-'Executive Summary'!$L$12+1))),-SUM(CE82:CF84)*MAX((CE4='Executive Summary'!$I$13),(CE4=('Executive Summary'!$L$9*12-'Executive Summary'!$L$12+1))))</f>
        <v>-0</v>
      </c>
      <c r="CF85" s="522" t="n">
        <f aca="false">IF('Executive Summary'!$K$17="Refinance Month",-SUM(CF82:CF84)*MAX((CF4='Executive Summary'!$I$13),(CF4='Executive Summary'!$L$17),(CF4=('Executive Summary'!$L$9*12-'Executive Summary'!$L$12+1))),-SUM(CF82:CG84)*MAX((CF4='Executive Summary'!$I$13),(CF4=('Executive Summary'!$L$9*12-'Executive Summary'!$L$12+1))))</f>
        <v>-0</v>
      </c>
      <c r="CG85" s="522" t="n">
        <f aca="false">IF('Executive Summary'!$K$17="Refinance Month",-SUM(CG82:CG84)*MAX((CG4='Executive Summary'!$I$13),(CG4='Executive Summary'!$L$17),(CG4=('Executive Summary'!$L$9*12-'Executive Summary'!$L$12+1))),-SUM(CG82:CH84)*MAX((CG4='Executive Summary'!$I$13),(CG4=('Executive Summary'!$L$9*12-'Executive Summary'!$L$12+1))))</f>
        <v>-0</v>
      </c>
      <c r="CH85" s="522" t="n">
        <f aca="false">IF('Executive Summary'!$K$17="Refinance Month",-SUM(CH82:CH84)*MAX((CH4='Executive Summary'!$I$13),(CH4='Executive Summary'!$L$17),(CH4=('Executive Summary'!$L$9*12-'Executive Summary'!$L$12+1))),-SUM(CH82:CI84)*MAX((CH4='Executive Summary'!$I$13),(CH4=('Executive Summary'!$L$9*12-'Executive Summary'!$L$12+1))))</f>
        <v>-0</v>
      </c>
      <c r="CI85" s="522" t="n">
        <f aca="false">IF('Executive Summary'!$K$17="Refinance Month",-SUM(CI82:CI84)*MAX((CI4='Executive Summary'!$I$13),(CI4='Executive Summary'!$L$17),(CI4=('Executive Summary'!$L$9*12-'Executive Summary'!$L$12+1))),-SUM(CI82:CJ84)*MAX((CI4='Executive Summary'!$I$13),(CI4=('Executive Summary'!$L$9*12-'Executive Summary'!$L$12+1))))</f>
        <v>-0</v>
      </c>
      <c r="CJ85" s="522" t="n">
        <f aca="false">IF('Executive Summary'!$K$17="Refinance Month",-SUM(CJ82:CJ84)*MAX((CJ4='Executive Summary'!$I$13),(CJ4='Executive Summary'!$L$17),(CJ4=('Executive Summary'!$L$9*12-'Executive Summary'!$L$12+1))),-SUM(CJ82:CK84)*MAX((CJ4='Executive Summary'!$I$13),(CJ4=('Executive Summary'!$L$9*12-'Executive Summary'!$L$12+1))))</f>
        <v>-0</v>
      </c>
      <c r="CK85" s="522" t="n">
        <f aca="false">IF('Executive Summary'!$K$17="Refinance Month",-SUM(CK82:CK84)*MAX((CK4='Executive Summary'!$I$13),(CK4='Executive Summary'!$L$17),(CK4=('Executive Summary'!$L$9*12-'Executive Summary'!$L$12+1))),-SUM(CK82:CL84)*MAX((CK4='Executive Summary'!$I$13),(CK4=('Executive Summary'!$L$9*12-'Executive Summary'!$L$12+1))))</f>
        <v>-0</v>
      </c>
      <c r="CL85" s="522" t="n">
        <f aca="false">IF('Executive Summary'!$K$17="Refinance Month",-SUM(CL82:CL84)*MAX((CL4='Executive Summary'!$I$13),(CL4='Executive Summary'!$L$17),(CL4=('Executive Summary'!$L$9*12-'Executive Summary'!$L$12+1))),-SUM(CL82:CM84)*MAX((CL4='Executive Summary'!$I$13),(CL4=('Executive Summary'!$L$9*12-'Executive Summary'!$L$12+1))))</f>
        <v>-0</v>
      </c>
      <c r="CM85" s="522" t="n">
        <f aca="false">IF('Executive Summary'!$K$17="Refinance Month",-SUM(CM82:CM84)*MAX((CM4='Executive Summary'!$I$13),(CM4='Executive Summary'!$L$17),(CM4=('Executive Summary'!$L$9*12-'Executive Summary'!$L$12+1))),-SUM(CM82:CN84)*MAX((CM4='Executive Summary'!$I$13),(CM4=('Executive Summary'!$L$9*12-'Executive Summary'!$L$12+1))))</f>
        <v>-0</v>
      </c>
      <c r="CN85" s="522" t="n">
        <f aca="false">IF('Executive Summary'!$K$17="Refinance Month",-SUM(CN82:CN84)*MAX((CN4='Executive Summary'!$I$13),(CN4='Executive Summary'!$L$17),(CN4=('Executive Summary'!$L$9*12-'Executive Summary'!$L$12+1))),-SUM(CN82:CO84)*MAX((CN4='Executive Summary'!$I$13),(CN4=('Executive Summary'!$L$9*12-'Executive Summary'!$L$12+1))))</f>
        <v>-0</v>
      </c>
      <c r="CO85" s="522" t="n">
        <f aca="false">IF('Executive Summary'!$K$17="Refinance Month",-SUM(CO82:CO84)*MAX((CO4='Executive Summary'!$I$13),(CO4='Executive Summary'!$L$17),(CO4=('Executive Summary'!$L$9*12-'Executive Summary'!$L$12+1))),-SUM(CO82:CP84)*MAX((CO4='Executive Summary'!$I$13),(CO4=('Executive Summary'!$L$9*12-'Executive Summary'!$L$12+1))))</f>
        <v>-0</v>
      </c>
      <c r="CP85" s="522" t="n">
        <f aca="false">IF('Executive Summary'!$K$17="Refinance Month",-SUM(CP82:CP84)*MAX((CP4='Executive Summary'!$I$13),(CP4='Executive Summary'!$L$17),(CP4=('Executive Summary'!$L$9*12-'Executive Summary'!$L$12+1))),-SUM(CP82:CQ84)*MAX((CP4='Executive Summary'!$I$13),(CP4=('Executive Summary'!$L$9*12-'Executive Summary'!$L$12+1))))</f>
        <v>-0</v>
      </c>
      <c r="CQ85" s="522" t="n">
        <f aca="false">IF('Executive Summary'!$K$17="Refinance Month",-SUM(CQ82:CQ84)*MAX((CQ4='Executive Summary'!$I$13),(CQ4='Executive Summary'!$L$17),(CQ4=('Executive Summary'!$L$9*12-'Executive Summary'!$L$12+1))),-SUM(CQ82:CR84)*MAX((CQ4='Executive Summary'!$I$13),(CQ4=('Executive Summary'!$L$9*12-'Executive Summary'!$L$12+1))))</f>
        <v>-0</v>
      </c>
      <c r="CR85" s="522" t="n">
        <f aca="false">IF('Executive Summary'!$K$17="Refinance Month",-SUM(CR82:CR84)*MAX((CR4='Executive Summary'!$I$13),(CR4='Executive Summary'!$L$17),(CR4=('Executive Summary'!$L$9*12-'Executive Summary'!$L$12+1))),-SUM(CR82:CS84)*MAX((CR4='Executive Summary'!$I$13),(CR4=('Executive Summary'!$L$9*12-'Executive Summary'!$L$12+1))))</f>
        <v>-0</v>
      </c>
      <c r="CS85" s="522" t="n">
        <f aca="false">IF('Executive Summary'!$K$17="Refinance Month",-SUM(CS82:CS84)*MAX((CS4='Executive Summary'!$I$13),(CS4='Executive Summary'!$L$17),(CS4=('Executive Summary'!$L$9*12-'Executive Summary'!$L$12+1))),-SUM(CS82:CT84)*MAX((CS4='Executive Summary'!$I$13),(CS4=('Executive Summary'!$L$9*12-'Executive Summary'!$L$12+1))))</f>
        <v>-0</v>
      </c>
      <c r="CT85" s="522" t="n">
        <f aca="false">IF('Executive Summary'!$K$17="Refinance Month",-SUM(CT82:CT84)*MAX((CT4='Executive Summary'!$I$13),(CT4='Executive Summary'!$L$17),(CT4=('Executive Summary'!$L$9*12-'Executive Summary'!$L$12+1))),-SUM(CT82:CU84)*MAX((CT4='Executive Summary'!$I$13),(CT4=('Executive Summary'!$L$9*12-'Executive Summary'!$L$12+1))))</f>
        <v>-0</v>
      </c>
      <c r="CU85" s="522" t="n">
        <f aca="false">IF('Executive Summary'!$K$17="Refinance Month",-SUM(CU82:CU84)*MAX((CU4='Executive Summary'!$I$13),(CU4='Executive Summary'!$L$17),(CU4=('Executive Summary'!$L$9*12-'Executive Summary'!$L$12+1))),-SUM(CU82:CV84)*MAX((CU4='Executive Summary'!$I$13),(CU4=('Executive Summary'!$L$9*12-'Executive Summary'!$L$12+1))))</f>
        <v>-0</v>
      </c>
      <c r="CV85" s="522" t="n">
        <f aca="false">IF('Executive Summary'!$K$17="Refinance Month",-SUM(CV82:CV84)*MAX((CV4='Executive Summary'!$I$13),(CV4='Executive Summary'!$L$17),(CV4=('Executive Summary'!$L$9*12-'Executive Summary'!$L$12+1))),-SUM(CV82:CW84)*MAX((CV4='Executive Summary'!$I$13),(CV4=('Executive Summary'!$L$9*12-'Executive Summary'!$L$12+1))))</f>
        <v>-0</v>
      </c>
      <c r="CW85" s="522" t="n">
        <f aca="false">IF('Executive Summary'!$K$17="Refinance Month",-SUM(CW82:CW84)*MAX((CW4='Executive Summary'!$I$13),(CW4='Executive Summary'!$L$17),(CW4=('Executive Summary'!$L$9*12-'Executive Summary'!$L$12+1))),-SUM(CW82:CX84)*MAX((CW4='Executive Summary'!$I$13),(CW4=('Executive Summary'!$L$9*12-'Executive Summary'!$L$12+1))))</f>
        <v>-0</v>
      </c>
      <c r="CX85" s="522" t="n">
        <f aca="false">IF('Executive Summary'!$K$17="Refinance Month",-SUM(CX82:CX84)*MAX((CX4='Executive Summary'!$I$13),(CX4='Executive Summary'!$L$17),(CX4=('Executive Summary'!$L$9*12-'Executive Summary'!$L$12+1))),-SUM(CX82:CY84)*MAX((CX4='Executive Summary'!$I$13),(CX4=('Executive Summary'!$L$9*12-'Executive Summary'!$L$12+1))))</f>
        <v>-0</v>
      </c>
      <c r="CY85" s="522" t="n">
        <f aca="false">IF('Executive Summary'!$K$17="Refinance Month",-SUM(CY82:CY84)*MAX((CY4='Executive Summary'!$I$13),(CY4='Executive Summary'!$L$17),(CY4=('Executive Summary'!$L$9*12-'Executive Summary'!$L$12+1))),-SUM(CY82:CZ84)*MAX((CY4='Executive Summary'!$I$13),(CY4=('Executive Summary'!$L$9*12-'Executive Summary'!$L$12+1))))</f>
        <v>-0</v>
      </c>
      <c r="CZ85" s="522" t="n">
        <f aca="false">IF('Executive Summary'!$K$17="Refinance Month",-SUM(CZ82:CZ84)*MAX((CZ4='Executive Summary'!$I$13),(CZ4='Executive Summary'!$L$17),(CZ4=('Executive Summary'!$L$9*12-'Executive Summary'!$L$12+1))),-SUM(CZ82:DA84)*MAX((CZ4='Executive Summary'!$I$13),(CZ4=('Executive Summary'!$L$9*12-'Executive Summary'!$L$12+1))))</f>
        <v>-0</v>
      </c>
      <c r="DA85" s="522" t="n">
        <f aca="false">IF('Executive Summary'!$K$17="Refinance Month",-SUM(DA82:DA84)*MAX((DA4='Executive Summary'!$I$13),(DA4='Executive Summary'!$L$17),(DA4=('Executive Summary'!$L$9*12-'Executive Summary'!$L$12+1))),-SUM(DA82:DB84)*MAX((DA4='Executive Summary'!$I$13),(DA4=('Executive Summary'!$L$9*12-'Executive Summary'!$L$12+1))))</f>
        <v>-0</v>
      </c>
      <c r="DB85" s="522" t="n">
        <f aca="false">IF('Executive Summary'!$K$17="Refinance Month",-SUM(DB82:DB84)*MAX((DB4='Executive Summary'!$I$13),(DB4='Executive Summary'!$L$17),(DB4=('Executive Summary'!$L$9*12-'Executive Summary'!$L$12+1))),-SUM(DB82:DC84)*MAX((DB4='Executive Summary'!$I$13),(DB4=('Executive Summary'!$L$9*12-'Executive Summary'!$L$12+1))))</f>
        <v>-0</v>
      </c>
      <c r="DC85" s="522" t="n">
        <f aca="false">IF('Executive Summary'!$K$17="Refinance Month",-SUM(DC82:DC84)*MAX((DC4='Executive Summary'!$I$13),(DC4='Executive Summary'!$L$17),(DC4=('Executive Summary'!$L$9*12-'Executive Summary'!$L$12+1))),-SUM(DC82:DD84)*MAX((DC4='Executive Summary'!$I$13),(DC4=('Executive Summary'!$L$9*12-'Executive Summary'!$L$12+1))))</f>
        <v>-0</v>
      </c>
      <c r="DD85" s="522" t="n">
        <f aca="false">IF('Executive Summary'!$K$17="Refinance Month",-SUM(DD82:DD84)*MAX((DD4='Executive Summary'!$I$13),(DD4='Executive Summary'!$L$17),(DD4=('Executive Summary'!$L$9*12-'Executive Summary'!$L$12+1))),-SUM(DD82:DE84)*MAX((DD4='Executive Summary'!$I$13),(DD4=('Executive Summary'!$L$9*12-'Executive Summary'!$L$12+1))))</f>
        <v>-0</v>
      </c>
      <c r="DE85" s="522" t="n">
        <f aca="false">IF('Executive Summary'!$K$17="Refinance Month",-SUM(DE82:DE84)*MAX((DE4='Executive Summary'!$I$13),(DE4='Executive Summary'!$L$17),(DE4=('Executive Summary'!$L$9*12-'Executive Summary'!$L$12+1))),-SUM(DE82:DF84)*MAX((DE4='Executive Summary'!$I$13),(DE4=('Executive Summary'!$L$9*12-'Executive Summary'!$L$12+1))))</f>
        <v>-0</v>
      </c>
      <c r="DF85" s="522" t="n">
        <f aca="false">IF('Executive Summary'!$K$17="Refinance Month",-SUM(DF82:DF84)*MAX((DF4='Executive Summary'!$I$13),(DF4='Executive Summary'!$L$17),(DF4=('Executive Summary'!$L$9*12-'Executive Summary'!$L$12+1))),-SUM(DF82:DG84)*MAX((DF4='Executive Summary'!$I$13),(DF4=('Executive Summary'!$L$9*12-'Executive Summary'!$L$12+1))))</f>
        <v>-0</v>
      </c>
      <c r="DG85" s="522" t="n">
        <f aca="false">IF('Executive Summary'!$K$17="Refinance Month",-SUM(DG82:DG84)*MAX((DG4='Executive Summary'!$I$13),(DG4='Executive Summary'!$L$17),(DG4=('Executive Summary'!$L$9*12-'Executive Summary'!$L$12+1))),-SUM(DG82:DH84)*MAX((DG4='Executive Summary'!$I$13),(DG4=('Executive Summary'!$L$9*12-'Executive Summary'!$L$12+1))))</f>
        <v>-0</v>
      </c>
      <c r="DH85" s="522" t="n">
        <f aca="false">IF('Executive Summary'!$K$17="Refinance Month",-SUM(DH82:DH84)*MAX((DH4='Executive Summary'!$I$13),(DH4='Executive Summary'!$L$17),(DH4=('Executive Summary'!$L$9*12-'Executive Summary'!$L$12+1))),-SUM(DH82:DI84)*MAX((DH4='Executive Summary'!$I$13),(DH4=('Executive Summary'!$L$9*12-'Executive Summary'!$L$12+1))))</f>
        <v>-0</v>
      </c>
      <c r="DI85" s="522" t="n">
        <f aca="false">IF('Executive Summary'!$K$17="Refinance Month",-SUM(DI82:DI84)*MAX((DI4='Executive Summary'!$I$13),(DI4='Executive Summary'!$L$17),(DI4=('Executive Summary'!$L$9*12-'Executive Summary'!$L$12+1))),-SUM(DI82:DJ84)*MAX((DI4='Executive Summary'!$I$13),(DI4=('Executive Summary'!$L$9*12-'Executive Summary'!$L$12+1))))</f>
        <v>-0</v>
      </c>
      <c r="DJ85" s="522" t="n">
        <f aca="false">IF('Executive Summary'!$K$17="Refinance Month",-SUM(DJ82:DJ84)*MAX((DJ4='Executive Summary'!$I$13),(DJ4='Executive Summary'!$L$17),(DJ4=('Executive Summary'!$L$9*12-'Executive Summary'!$L$12+1))),-SUM(DJ82:DK84)*MAX((DJ4='Executive Summary'!$I$13),(DJ4=('Executive Summary'!$L$9*12-'Executive Summary'!$L$12+1))))</f>
        <v>-0</v>
      </c>
      <c r="DK85" s="522" t="n">
        <f aca="false">IF('Executive Summary'!$K$17="Refinance Month",-SUM(DK82:DK84)*MAX((DK4='Executive Summary'!$I$13),(DK4='Executive Summary'!$L$17),(DK4=('Executive Summary'!$L$9*12-'Executive Summary'!$L$12+1))),-SUM(DK82:DL84)*MAX((DK4='Executive Summary'!$I$13),(DK4=('Executive Summary'!$L$9*12-'Executive Summary'!$L$12+1))))</f>
        <v>-0</v>
      </c>
      <c r="DL85" s="522" t="n">
        <f aca="false">IF('Executive Summary'!$K$17="Refinance Month",-SUM(DL82:DL84)*MAX((DL4='Executive Summary'!$I$13),(DL4='Executive Summary'!$L$17),(DL4=('Executive Summary'!$L$9*12-'Executive Summary'!$L$12+1))),-SUM(DL82:DM84)*MAX((DL4='Executive Summary'!$I$13),(DL4=('Executive Summary'!$L$9*12-'Executive Summary'!$L$12+1))))</f>
        <v>-0</v>
      </c>
      <c r="DM85" s="522" t="n">
        <f aca="false">IF('Executive Summary'!$K$17="Refinance Month",-SUM(DM82:DM84)*MAX((DM4='Executive Summary'!$I$13),(DM4='Executive Summary'!$L$17),(DM4=('Executive Summary'!$L$9*12-'Executive Summary'!$L$12+1))),-SUM(DM82:DN84)*MAX((DM4='Executive Summary'!$I$13),(DM4=('Executive Summary'!$L$9*12-'Executive Summary'!$L$12+1))))</f>
        <v>-0</v>
      </c>
      <c r="DN85" s="522" t="n">
        <f aca="false">IF('Executive Summary'!$K$17="Refinance Month",-SUM(DN82:DN84)*MAX((DN4='Executive Summary'!$I$13),(DN4='Executive Summary'!$L$17),(DN4=('Executive Summary'!$L$9*12-'Executive Summary'!$L$12+1))),-SUM(DN82:DO84)*MAX((DN4='Executive Summary'!$I$13),(DN4=('Executive Summary'!$L$9*12-'Executive Summary'!$L$12+1))))</f>
        <v>-0</v>
      </c>
      <c r="DO85" s="522" t="n">
        <f aca="false">IF('Executive Summary'!$K$17="Refinance Month",-SUM(DO82:DO84)*MAX((DO4='Executive Summary'!$I$13),(DO4='Executive Summary'!$L$17),(DO4=('Executive Summary'!$L$9*12-'Executive Summary'!$L$12+1))),-SUM(DO82:DP84)*MAX((DO4='Executive Summary'!$I$13),(DO4=('Executive Summary'!$L$9*12-'Executive Summary'!$L$12+1))))</f>
        <v>-0</v>
      </c>
      <c r="DP85" s="522" t="n">
        <f aca="false">IF('Executive Summary'!$K$17="Refinance Month",-SUM(DP82:DP84)*MAX((DP4='Executive Summary'!$I$13),(DP4='Executive Summary'!$L$17),(DP4=('Executive Summary'!$L$9*12-'Executive Summary'!$L$12+1))),-SUM(DP82:DQ84)*MAX((DP4='Executive Summary'!$I$13),(DP4=('Executive Summary'!$L$9*12-'Executive Summary'!$L$12+1))))</f>
        <v>-0</v>
      </c>
      <c r="DQ85" s="522" t="n">
        <f aca="false">IF('Executive Summary'!$K$17="Refinance Month",-SUM(DQ82:DQ84)*MAX((DQ4='Executive Summary'!$I$13),(DQ4='Executive Summary'!$L$17),(DQ4=('Executive Summary'!$L$9*12-'Executive Summary'!$L$12+1))),-SUM(DQ82:DR84)*MAX((DQ4='Executive Summary'!$I$13),(DQ4=('Executive Summary'!$L$9*12-'Executive Summary'!$L$12+1))))</f>
        <v>-0</v>
      </c>
      <c r="DR85" s="522" t="n">
        <f aca="false">IF('Executive Summary'!$K$17="Refinance Month",-SUM(DR82:DR84)*MAX((DR4='Executive Summary'!$I$13),(DR4='Executive Summary'!$L$17),(DR4=('Executive Summary'!$L$9*12-'Executive Summary'!$L$12+1))),-SUM(DR82:DS84)*MAX((DR4='Executive Summary'!$I$13),(DR4=('Executive Summary'!$L$9*12-'Executive Summary'!$L$12+1))))</f>
        <v>-0</v>
      </c>
      <c r="DS85" s="522" t="n">
        <f aca="false">IF('Executive Summary'!$K$17="Refinance Month",-SUM(DS82:DS84)*MAX((DS4='Executive Summary'!$I$13),(DS4='Executive Summary'!$L$17),(DS4=('Executive Summary'!$L$9*12-'Executive Summary'!$L$12+1))),-SUM(DS82:DT84)*MAX((DS4='Executive Summary'!$I$13),(DS4=('Executive Summary'!$L$9*12-'Executive Summary'!$L$12+1))))</f>
        <v>-0</v>
      </c>
      <c r="DT85" s="522" t="n">
        <f aca="false">IF('Executive Summary'!$K$17="Refinance Month",-SUM(DT82:DT84)*MAX((DT4='Executive Summary'!$I$13),(DT4='Executive Summary'!$L$17),(DT4=('Executive Summary'!$L$9*12-'Executive Summary'!$L$12+1))),-SUM(DT82:DU84)*MAX((DT4='Executive Summary'!$I$13),(DT4=('Executive Summary'!$L$9*12-'Executive Summary'!$L$12+1))))</f>
        <v>-0</v>
      </c>
      <c r="DU85" s="522" t="n">
        <f aca="false">IF('Executive Summary'!$K$17="Refinance Month",-SUM(DU82:DU84)*MAX((DU4='Executive Summary'!$I$13),(DU4='Executive Summary'!$L$17),(DU4=('Executive Summary'!$L$9*12-'Executive Summary'!$L$12+1))),-SUM(DU82:DV84)*MAX((DU4='Executive Summary'!$I$13),(DU4=('Executive Summary'!$L$9*12-'Executive Summary'!$L$12+1))))</f>
        <v>-0</v>
      </c>
      <c r="DV85" s="522" t="n">
        <f aca="false">IF('Executive Summary'!$K$17="Refinance Month",-SUM(DV82:DV84)*MAX((DV4='Executive Summary'!$I$13),(DV4='Executive Summary'!$L$17),(DV4=('Executive Summary'!$L$9*12-'Executive Summary'!$L$12+1))),-SUM(DV82:DW84)*MAX((DV4='Executive Summary'!$I$13),(DV4=('Executive Summary'!$L$9*12-'Executive Summary'!$L$12+1))))</f>
        <v>-0</v>
      </c>
      <c r="DW85" s="522" t="n">
        <f aca="false">IF('Executive Summary'!$K$17="Refinance Month",-SUM(DW82:DW84)*MAX((DW4='Executive Summary'!$I$13),(DW4='Executive Summary'!$L$17),(DW4=('Executive Summary'!$L$9*12-'Executive Summary'!$L$12+1))),-SUM(DW82:DX84)*MAX((DW4='Executive Summary'!$I$13),(DW4=('Executive Summary'!$L$9*12-'Executive Summary'!$L$12+1))))</f>
        <v>-0</v>
      </c>
      <c r="DX85" s="522" t="n">
        <f aca="false">IF('Executive Summary'!$K$17="Refinance Month",-SUM(DX82:DX84)*MAX((DX4='Executive Summary'!$I$13),(DX4='Executive Summary'!$L$17),(DX4=('Executive Summary'!$L$9*12-'Executive Summary'!$L$12+1))),-SUM(DX82:DY84)*MAX((DX4='Executive Summary'!$I$13),(DX4=('Executive Summary'!$L$9*12-'Executive Summary'!$L$12+1))))</f>
        <v>-0</v>
      </c>
      <c r="DY85" s="522" t="n">
        <f aca="false">IF('Executive Summary'!$K$17="Refinance Month",-SUM(DY82:DY84)*MAX((DY4='Executive Summary'!$I$13),(DY4='Executive Summary'!$L$17),(DY4=('Executive Summary'!$L$9*12-'Executive Summary'!$L$12+1))),-SUM(DY82:DZ84)*MAX((DY4='Executive Summary'!$I$13),(DY4=('Executive Summary'!$L$9*12-'Executive Summary'!$L$12+1))))</f>
        <v>-0</v>
      </c>
      <c r="DZ85" s="522" t="n">
        <f aca="false">IF('Executive Summary'!$K$17="Refinance Month",-SUM(DZ82:DZ84)*MAX((DZ4='Executive Summary'!$I$13),(DZ4='Executive Summary'!$L$17),(DZ4=('Executive Summary'!$L$9*12-'Executive Summary'!$L$12+1))),-SUM(DZ82:EA84)*MAX((DZ4='Executive Summary'!$I$13),(DZ4=('Executive Summary'!$L$9*12-'Executive Summary'!$L$12+1))))</f>
        <v>-0</v>
      </c>
      <c r="EA85" s="522" t="n">
        <f aca="false">IF('Executive Summary'!$K$17="Refinance Month",-SUM(EA82:EA84)*MAX((EA4='Executive Summary'!$I$13),(EA4='Executive Summary'!$L$17),(EA4=('Executive Summary'!$L$9*12-'Executive Summary'!$L$12+1))),-SUM(EA82:EB84)*MAX((EA4='Executive Summary'!$I$13),(EA4=('Executive Summary'!$L$9*12-'Executive Summary'!$L$12+1))))</f>
        <v>-0</v>
      </c>
      <c r="EB85" s="522" t="n">
        <f aca="false">IF('Executive Summary'!$K$17="Refinance Month",-SUM(EB82:EB84)*MAX((EB4='Executive Summary'!$I$13),(EB4='Executive Summary'!$L$17),(EB4=('Executive Summary'!$L$9*12-'Executive Summary'!$L$12+1))),-SUM(EB82:EC84)*MAX((EB4='Executive Summary'!$I$13),(EB4=('Executive Summary'!$L$9*12-'Executive Summary'!$L$12+1))))</f>
        <v>-0</v>
      </c>
      <c r="EC85" s="522" t="n">
        <f aca="false">IF('Executive Summary'!$K$17="Refinance Month",-SUM(EC82:EC84)*MAX((EC4='Executive Summary'!$I$13),(EC4='Executive Summary'!$L$17),(EC4=('Executive Summary'!$L$9*12-'Executive Summary'!$L$12+1))),-SUM(EC82:ED84)*MAX((EC4='Executive Summary'!$I$13),(EC4=('Executive Summary'!$L$9*12-'Executive Summary'!$L$12+1))))</f>
        <v>-0</v>
      </c>
      <c r="ED85" s="522" t="n">
        <f aca="false">IF('Executive Summary'!$K$17="Refinance Month",-SUM(ED82:ED84)*MAX((ED4='Executive Summary'!$I$13),(ED4='Executive Summary'!$L$17),(ED4=('Executive Summary'!$L$9*12-'Executive Summary'!$L$12+1))),-SUM(ED82:EE84)*MAX((ED4='Executive Summary'!$I$13),(ED4=('Executive Summary'!$L$9*12-'Executive Summary'!$L$12+1))))</f>
        <v>-0</v>
      </c>
      <c r="EE85" s="522" t="n">
        <f aca="false">IF('Executive Summary'!$K$17="Refinance Month",-SUM(EE82:EE84)*MAX((EE4='Executive Summary'!$I$13),(EE4='Executive Summary'!$L$17),(EE4=('Executive Summary'!$L$9*12-'Executive Summary'!$L$12+1))),-SUM(EE82:EF84)*MAX((EE4='Executive Summary'!$I$13),(EE4=('Executive Summary'!$L$9*12-'Executive Summary'!$L$12+1))))</f>
        <v>-0</v>
      </c>
      <c r="EF85" s="522" t="n">
        <f aca="false">IF('Executive Summary'!$K$17="Refinance Month",-SUM(EF82:EF84)*MAX((EF4='Executive Summary'!$I$13),(EF4='Executive Summary'!$L$17),(EF4=('Executive Summary'!$L$9*12-'Executive Summary'!$L$12+1))),-SUM(EF82:EG84)*MAX((EF4='Executive Summary'!$I$13),(EF4=('Executive Summary'!$L$9*12-'Executive Summary'!$L$12+1))))</f>
        <v>-0</v>
      </c>
      <c r="EG85" s="522" t="n">
        <f aca="false">IF('Executive Summary'!$K$17="Refinance Month",-SUM(EG82:EG84)*MAX((EG4='Executive Summary'!$I$13),(EG4='Executive Summary'!$L$17),(EG4=('Executive Summary'!$L$9*12-'Executive Summary'!$L$12+1))),-SUM(EG82:EH84)*MAX((EG4='Executive Summary'!$I$13),(EG4=('Executive Summary'!$L$9*12-'Executive Summary'!$L$12+1))))</f>
        <v>-0</v>
      </c>
      <c r="EH85" s="522" t="n">
        <f aca="false">IF('Executive Summary'!$K$17="Refinance Month",-SUM(EH82:EH84)*MAX((EH4='Executive Summary'!$I$13),(EH4='Executive Summary'!$L$17),(EH4=('Executive Summary'!$L$9*12-'Executive Summary'!$L$12+1))),-SUM(EH82:EI84)*MAX((EH4='Executive Summary'!$I$13),(EH4=('Executive Summary'!$L$9*12-'Executive Summary'!$L$12+1))))</f>
        <v>-0</v>
      </c>
      <c r="EI85" s="558" t="n">
        <f aca="false">IF('Executive Summary'!$K$17="Refinance Month",-SUM(EI82:EI84)*MAX((EI4='Executive Summary'!$I$13),(EI4='Executive Summary'!$L$17),(EI4=('Executive Summary'!$L$9*12-'Executive Summary'!$L$12+1))),-SUM(EI82:EJ84)*MAX((EI4='Executive Summary'!$I$13),(EI4=('Executive Summary'!$L$9*12-'Executive Summary'!$L$12+1))))</f>
        <v>-0</v>
      </c>
      <c r="EK85" s="559" t="n">
        <f aca="false">SUMIF($G$3:$EI$3,EK$24,$G85:$EI85)</f>
        <v>0</v>
      </c>
      <c r="EL85" s="522" t="n">
        <f aca="false">SUMIF($G$3:$EI$3,EL$24,$G85:$EI85)</f>
        <v>0</v>
      </c>
      <c r="EM85" s="522" t="n">
        <f aca="false">SUMIF($G$3:$EI$3,EM$24,$G85:$EI85)</f>
        <v>0</v>
      </c>
      <c r="EN85" s="522" t="n">
        <f aca="false">SUMIF($G$3:$EI$3,EN$24,$G85:$EI85)</f>
        <v>0</v>
      </c>
      <c r="EO85" s="522" t="n">
        <f aca="false">SUMIF($G$3:$EI$3,EO$24,$G85:$EI85)</f>
        <v>-5016332.81486625</v>
      </c>
      <c r="EP85" s="522" t="n">
        <f aca="false">SUMIF($G$3:$EI$3,EP$24,$G85:$EI85)</f>
        <v>0</v>
      </c>
      <c r="EQ85" s="522" t="n">
        <f aca="false">SUMIF($G$3:$EI$3,EQ$24,$G85:$EI85)</f>
        <v>0</v>
      </c>
      <c r="ER85" s="522" t="n">
        <f aca="false">SUMIF($G$3:$EI$3,ER$24,$G85:$EI85)</f>
        <v>0</v>
      </c>
      <c r="ES85" s="522" t="n">
        <f aca="false">SUMIF($G$3:$EI$3,ES$24,$G85:$EI85)</f>
        <v>0</v>
      </c>
      <c r="ET85" s="558" t="n">
        <f aca="false">SUMIF($G$3:$EI$3,ET$24,$G85:$EI85)</f>
        <v>0</v>
      </c>
    </row>
    <row r="86" s="522" customFormat="true" ht="13.5" hidden="false" customHeight="true" outlineLevel="1" collapsed="false">
      <c r="B86" s="559" t="s">
        <v>594</v>
      </c>
      <c r="C86" s="557"/>
      <c r="G86" s="522" t="n">
        <f aca="false">SUM(G82:G85)</f>
        <v>5200000</v>
      </c>
      <c r="H86" s="522" t="n">
        <f aca="false">SUM(H82:H85)</f>
        <v>5200000</v>
      </c>
      <c r="I86" s="522" t="n">
        <f aca="false">SUM(I82:I85)</f>
        <v>5200000</v>
      </c>
      <c r="J86" s="522" t="n">
        <f aca="false">SUM(J82:J85)</f>
        <v>5200000</v>
      </c>
      <c r="K86" s="522" t="n">
        <f aca="false">SUM(K82:K85)</f>
        <v>5200000</v>
      </c>
      <c r="L86" s="522" t="n">
        <f aca="false">SUM(L82:L85)</f>
        <v>5200000</v>
      </c>
      <c r="M86" s="522" t="n">
        <f aca="false">SUM(M82:M85)</f>
        <v>5200000</v>
      </c>
      <c r="N86" s="522" t="n">
        <f aca="false">SUM(N82:N85)</f>
        <v>5200000</v>
      </c>
      <c r="O86" s="522" t="n">
        <f aca="false">SUM(O82:O85)</f>
        <v>5200000</v>
      </c>
      <c r="P86" s="522" t="n">
        <f aca="false">SUM(P82:P85)</f>
        <v>5200000</v>
      </c>
      <c r="Q86" s="522" t="n">
        <f aca="false">SUM(Q82:Q85)</f>
        <v>5200000</v>
      </c>
      <c r="R86" s="522" t="n">
        <f aca="false">SUM(R82:R85)</f>
        <v>5200000</v>
      </c>
      <c r="S86" s="522" t="n">
        <f aca="false">SUM(S82:S85)</f>
        <v>5200000</v>
      </c>
      <c r="T86" s="522" t="n">
        <f aca="false">SUM(T82:T85)</f>
        <v>5200000</v>
      </c>
      <c r="U86" s="522" t="n">
        <f aca="false">SUM(U82:U85)</f>
        <v>5200000</v>
      </c>
      <c r="V86" s="522" t="n">
        <f aca="false">SUM(V82:V85)</f>
        <v>5200000</v>
      </c>
      <c r="W86" s="522" t="n">
        <f aca="false">SUM(W82:W85)</f>
        <v>5200000</v>
      </c>
      <c r="X86" s="522" t="n">
        <f aca="false">SUM(X82:X85)</f>
        <v>5200000</v>
      </c>
      <c r="Y86" s="522" t="n">
        <f aca="false">SUM(Y82:Y85)</f>
        <v>5200000</v>
      </c>
      <c r="Z86" s="522" t="n">
        <f aca="false">SUM(Z82:Z85)</f>
        <v>5200000</v>
      </c>
      <c r="AA86" s="522" t="n">
        <f aca="false">SUM(AA82:AA85)</f>
        <v>5200000</v>
      </c>
      <c r="AB86" s="522" t="n">
        <f aca="false">SUM(AB82:AB85)</f>
        <v>5200000</v>
      </c>
      <c r="AC86" s="522" t="n">
        <f aca="false">SUM(AC82:AC85)</f>
        <v>5200000</v>
      </c>
      <c r="AD86" s="522" t="n">
        <f aca="false">SUM(AD82:AD85)</f>
        <v>5200000</v>
      </c>
      <c r="AE86" s="522" t="n">
        <f aca="false">SUM(AE82:AE85)</f>
        <v>5200000</v>
      </c>
      <c r="AF86" s="522" t="n">
        <f aca="false">SUM(AF82:AF85)</f>
        <v>5200000</v>
      </c>
      <c r="AG86" s="522" t="n">
        <f aca="false">SUM(AG82:AG85)</f>
        <v>5200000</v>
      </c>
      <c r="AH86" s="522" t="n">
        <f aca="false">SUM(AH82:AH85)</f>
        <v>5200000</v>
      </c>
      <c r="AI86" s="522" t="n">
        <f aca="false">SUM(AI82:AI85)</f>
        <v>5200000</v>
      </c>
      <c r="AJ86" s="522" t="n">
        <f aca="false">SUM(AJ82:AJ85)</f>
        <v>5200000</v>
      </c>
      <c r="AK86" s="522" t="n">
        <f aca="false">SUM(AK82:AK85)</f>
        <v>5200000</v>
      </c>
      <c r="AL86" s="522" t="n">
        <f aca="false">SUM(AL82:AL85)</f>
        <v>5200000</v>
      </c>
      <c r="AM86" s="522" t="n">
        <f aca="false">SUM(AM82:AM85)</f>
        <v>5200000</v>
      </c>
      <c r="AN86" s="522" t="n">
        <f aca="false">SUM(AN82:AN85)</f>
        <v>5200000</v>
      </c>
      <c r="AO86" s="522" t="n">
        <f aca="false">SUM(AO82:AO85)</f>
        <v>5200000</v>
      </c>
      <c r="AP86" s="522" t="n">
        <f aca="false">SUM(AP82:AP85)</f>
        <v>5200000</v>
      </c>
      <c r="AQ86" s="522" t="n">
        <f aca="false">SUM(AQ82:AQ85)</f>
        <v>5200000</v>
      </c>
      <c r="AR86" s="522" t="n">
        <f aca="false">SUM(AR82:AR85)</f>
        <v>5192696.91934966</v>
      </c>
      <c r="AS86" s="522" t="n">
        <f aca="false">SUM(AS82:AS85)</f>
        <v>5185364.32208168</v>
      </c>
      <c r="AT86" s="522" t="n">
        <f aca="false">SUM(AT82:AT85)</f>
        <v>5178002.08889975</v>
      </c>
      <c r="AU86" s="522" t="n">
        <f aca="false">SUM(AU82:AU85)</f>
        <v>5170610.10002538</v>
      </c>
      <c r="AV86" s="522" t="n">
        <f aca="false">SUM(AV82:AV85)</f>
        <v>5163188.23519597</v>
      </c>
      <c r="AW86" s="522" t="n">
        <f aca="false">SUM(AW82:AW85)</f>
        <v>5155736.37366288</v>
      </c>
      <c r="AX86" s="522" t="n">
        <f aca="false">SUM(AX82:AX85)</f>
        <v>5148254.39418942</v>
      </c>
      <c r="AY86" s="522" t="n">
        <f aca="false">SUM(AY82:AY85)</f>
        <v>5140742.17504893</v>
      </c>
      <c r="AZ86" s="522" t="n">
        <f aca="false">SUM(AZ82:AZ85)</f>
        <v>5133199.59402274</v>
      </c>
      <c r="BA86" s="522" t="n">
        <f aca="false">SUM(BA82:BA85)</f>
        <v>5125626.52839824</v>
      </c>
      <c r="BB86" s="522" t="n">
        <f aca="false">SUM(BB82:BB85)</f>
        <v>5118022.85496684</v>
      </c>
      <c r="BC86" s="522" t="n">
        <f aca="false">SUM(BC82:BC85)</f>
        <v>5110388.45002199</v>
      </c>
      <c r="BD86" s="522" t="n">
        <f aca="false">SUM(BD82:BD85)</f>
        <v>5102723.18935715</v>
      </c>
      <c r="BE86" s="522" t="n">
        <f aca="false">SUM(BE82:BE85)</f>
        <v>5095026.94826379</v>
      </c>
      <c r="BF86" s="522" t="n">
        <f aca="false">SUM(BF82:BF85)</f>
        <v>5087299.60152935</v>
      </c>
      <c r="BG86" s="522" t="n">
        <f aca="false">SUM(BG82:BG85)</f>
        <v>5079541.02343518</v>
      </c>
      <c r="BH86" s="522" t="n">
        <f aca="false">SUM(BH82:BH85)</f>
        <v>5071751.08775456</v>
      </c>
      <c r="BI86" s="522" t="n">
        <f aca="false">SUM(BI82:BI85)</f>
        <v>5063929.66775056</v>
      </c>
      <c r="BJ86" s="522" t="n">
        <f aca="false">SUM(BJ82:BJ85)</f>
        <v>5056076.63617404</v>
      </c>
      <c r="BK86" s="522" t="n">
        <f aca="false">SUM(BK82:BK85)</f>
        <v>5048191.86526157</v>
      </c>
      <c r="BL86" s="522" t="n">
        <f aca="false">SUM(BL82:BL85)</f>
        <v>5040275.22673332</v>
      </c>
      <c r="BM86" s="522" t="n">
        <f aca="false">SUM(BM82:BM85)</f>
        <v>5032326.59179102</v>
      </c>
      <c r="BN86" s="522" t="n">
        <f aca="false">SUM(BN82:BN85)</f>
        <v>5024345.83111584</v>
      </c>
      <c r="BO86" s="522" t="n">
        <f aca="false">SUM(BO82:BO85)</f>
        <v>0</v>
      </c>
      <c r="BP86" s="522" t="n">
        <f aca="false">SUM(BP82:BP85)</f>
        <v>0</v>
      </c>
      <c r="BQ86" s="522" t="n">
        <f aca="false">SUM(BQ82:BQ85)</f>
        <v>0</v>
      </c>
      <c r="BR86" s="522" t="n">
        <f aca="false">SUM(BR82:BR85)</f>
        <v>0</v>
      </c>
      <c r="BS86" s="522" t="n">
        <f aca="false">SUM(BS82:BS85)</f>
        <v>0</v>
      </c>
      <c r="BT86" s="522" t="n">
        <f aca="false">SUM(BT82:BT85)</f>
        <v>0</v>
      </c>
      <c r="BU86" s="522" t="n">
        <f aca="false">SUM(BU82:BU85)</f>
        <v>0</v>
      </c>
      <c r="BV86" s="522" t="n">
        <f aca="false">SUM(BV82:BV85)</f>
        <v>0</v>
      </c>
      <c r="BW86" s="522" t="n">
        <f aca="false">SUM(BW82:BW85)</f>
        <v>0</v>
      </c>
      <c r="BX86" s="522" t="n">
        <f aca="false">SUM(BX82:BX85)</f>
        <v>0</v>
      </c>
      <c r="BY86" s="522" t="n">
        <f aca="false">SUM(BY82:BY85)</f>
        <v>0</v>
      </c>
      <c r="BZ86" s="522" t="n">
        <f aca="false">SUM(BZ82:BZ85)</f>
        <v>0</v>
      </c>
      <c r="CA86" s="522" t="n">
        <f aca="false">SUM(CA82:CA85)</f>
        <v>0</v>
      </c>
      <c r="CB86" s="522" t="n">
        <f aca="false">SUM(CB82:CB85)</f>
        <v>0</v>
      </c>
      <c r="CC86" s="522" t="n">
        <f aca="false">SUM(CC82:CC85)</f>
        <v>0</v>
      </c>
      <c r="CD86" s="522" t="n">
        <f aca="false">SUM(CD82:CD85)</f>
        <v>0</v>
      </c>
      <c r="CE86" s="522" t="n">
        <f aca="false">SUM(CE82:CE85)</f>
        <v>0</v>
      </c>
      <c r="CF86" s="522" t="n">
        <f aca="false">SUM(CF82:CF85)</f>
        <v>0</v>
      </c>
      <c r="CG86" s="522" t="n">
        <f aca="false">SUM(CG82:CG85)</f>
        <v>0</v>
      </c>
      <c r="CH86" s="522" t="n">
        <f aca="false">SUM(CH82:CH85)</f>
        <v>0</v>
      </c>
      <c r="CI86" s="522" t="n">
        <f aca="false">SUM(CI82:CI85)</f>
        <v>0</v>
      </c>
      <c r="CJ86" s="522" t="n">
        <f aca="false">SUM(CJ82:CJ85)</f>
        <v>0</v>
      </c>
      <c r="CK86" s="522" t="n">
        <f aca="false">SUM(CK82:CK85)</f>
        <v>0</v>
      </c>
      <c r="CL86" s="522" t="n">
        <f aca="false">SUM(CL82:CL85)</f>
        <v>0</v>
      </c>
      <c r="CM86" s="522" t="n">
        <f aca="false">SUM(CM82:CM85)</f>
        <v>0</v>
      </c>
      <c r="CN86" s="522" t="n">
        <f aca="false">SUM(CN82:CN85)</f>
        <v>0</v>
      </c>
      <c r="CO86" s="522" t="n">
        <f aca="false">SUM(CO82:CO85)</f>
        <v>0</v>
      </c>
      <c r="CP86" s="522" t="n">
        <f aca="false">SUM(CP82:CP85)</f>
        <v>0</v>
      </c>
      <c r="CQ86" s="522" t="n">
        <f aca="false">SUM(CQ82:CQ85)</f>
        <v>0</v>
      </c>
      <c r="CR86" s="522" t="n">
        <f aca="false">SUM(CR82:CR85)</f>
        <v>0</v>
      </c>
      <c r="CS86" s="522" t="n">
        <f aca="false">SUM(CS82:CS85)</f>
        <v>0</v>
      </c>
      <c r="CT86" s="522" t="n">
        <f aca="false">SUM(CT82:CT85)</f>
        <v>0</v>
      </c>
      <c r="CU86" s="522" t="n">
        <f aca="false">SUM(CU82:CU85)</f>
        <v>0</v>
      </c>
      <c r="CV86" s="522" t="n">
        <f aca="false">SUM(CV82:CV85)</f>
        <v>0</v>
      </c>
      <c r="CW86" s="522" t="n">
        <f aca="false">SUM(CW82:CW85)</f>
        <v>0</v>
      </c>
      <c r="CX86" s="522" t="n">
        <f aca="false">SUM(CX82:CX85)</f>
        <v>0</v>
      </c>
      <c r="CY86" s="522" t="n">
        <f aca="false">SUM(CY82:CY85)</f>
        <v>0</v>
      </c>
      <c r="CZ86" s="522" t="n">
        <f aca="false">SUM(CZ82:CZ85)</f>
        <v>0</v>
      </c>
      <c r="DA86" s="522" t="n">
        <f aca="false">SUM(DA82:DA85)</f>
        <v>0</v>
      </c>
      <c r="DB86" s="522" t="n">
        <f aca="false">SUM(DB82:DB85)</f>
        <v>0</v>
      </c>
      <c r="DC86" s="522" t="n">
        <f aca="false">SUM(DC82:DC85)</f>
        <v>0</v>
      </c>
      <c r="DD86" s="522" t="n">
        <f aca="false">SUM(DD82:DD85)</f>
        <v>0</v>
      </c>
      <c r="DE86" s="522" t="n">
        <f aca="false">SUM(DE82:DE85)</f>
        <v>0</v>
      </c>
      <c r="DF86" s="522" t="n">
        <f aca="false">SUM(DF82:DF85)</f>
        <v>0</v>
      </c>
      <c r="DG86" s="522" t="n">
        <f aca="false">SUM(DG82:DG85)</f>
        <v>0</v>
      </c>
      <c r="DH86" s="522" t="n">
        <f aca="false">SUM(DH82:DH85)</f>
        <v>0</v>
      </c>
      <c r="DI86" s="522" t="n">
        <f aca="false">SUM(DI82:DI85)</f>
        <v>0</v>
      </c>
      <c r="DJ86" s="522" t="n">
        <f aca="false">SUM(DJ82:DJ85)</f>
        <v>0</v>
      </c>
      <c r="DK86" s="522" t="n">
        <f aca="false">SUM(DK82:DK85)</f>
        <v>0</v>
      </c>
      <c r="DL86" s="522" t="n">
        <f aca="false">SUM(DL82:DL85)</f>
        <v>0</v>
      </c>
      <c r="DM86" s="522" t="n">
        <f aca="false">SUM(DM82:DM85)</f>
        <v>0</v>
      </c>
      <c r="DN86" s="522" t="n">
        <f aca="false">SUM(DN82:DN85)</f>
        <v>0</v>
      </c>
      <c r="DO86" s="522" t="n">
        <f aca="false">SUM(DO82:DO85)</f>
        <v>0</v>
      </c>
      <c r="DP86" s="522" t="n">
        <f aca="false">SUM(DP82:DP85)</f>
        <v>0</v>
      </c>
      <c r="DQ86" s="522" t="n">
        <f aca="false">SUM(DQ82:DQ85)</f>
        <v>0</v>
      </c>
      <c r="DR86" s="522" t="n">
        <f aca="false">SUM(DR82:DR85)</f>
        <v>0</v>
      </c>
      <c r="DS86" s="522" t="n">
        <f aca="false">SUM(DS82:DS85)</f>
        <v>0</v>
      </c>
      <c r="DT86" s="522" t="n">
        <f aca="false">SUM(DT82:DT85)</f>
        <v>0</v>
      </c>
      <c r="DU86" s="522" t="n">
        <f aca="false">SUM(DU82:DU85)</f>
        <v>0</v>
      </c>
      <c r="DV86" s="522" t="n">
        <f aca="false">SUM(DV82:DV85)</f>
        <v>0</v>
      </c>
      <c r="DW86" s="522" t="n">
        <f aca="false">SUM(DW82:DW85)</f>
        <v>0</v>
      </c>
      <c r="DX86" s="522" t="n">
        <f aca="false">SUM(DX82:DX85)</f>
        <v>0</v>
      </c>
      <c r="DY86" s="522" t="n">
        <f aca="false">SUM(DY82:DY85)</f>
        <v>0</v>
      </c>
      <c r="DZ86" s="522" t="n">
        <f aca="false">SUM(DZ82:DZ85)</f>
        <v>0</v>
      </c>
      <c r="EA86" s="522" t="n">
        <f aca="false">SUM(EA82:EA85)</f>
        <v>0</v>
      </c>
      <c r="EB86" s="522" t="n">
        <f aca="false">SUM(EB82:EB85)</f>
        <v>0</v>
      </c>
      <c r="EC86" s="522" t="n">
        <f aca="false">SUM(EC82:EC85)</f>
        <v>0</v>
      </c>
      <c r="ED86" s="522" t="n">
        <f aca="false">SUM(ED82:ED85)</f>
        <v>0</v>
      </c>
      <c r="EE86" s="522" t="n">
        <f aca="false">SUM(EE82:EE85)</f>
        <v>0</v>
      </c>
      <c r="EF86" s="522" t="n">
        <f aca="false">SUM(EF82:EF85)</f>
        <v>0</v>
      </c>
      <c r="EG86" s="522" t="n">
        <f aca="false">SUM(EG82:EG85)</f>
        <v>0</v>
      </c>
      <c r="EH86" s="522" t="n">
        <f aca="false">SUM(EH82:EH85)</f>
        <v>0</v>
      </c>
      <c r="EI86" s="558" t="n">
        <f aca="false">SUM(EI82:EI85)</f>
        <v>0</v>
      </c>
      <c r="EK86" s="559" t="n">
        <f aca="false">AVERAGEIF($G$3:$EI$3,EK$24,$G86:$EI86)</f>
        <v>5200000</v>
      </c>
      <c r="EL86" s="522" t="n">
        <f aca="false">AVERAGEIF($G$3:$EI$3,EL$24,$G86:$EI86)</f>
        <v>5200000</v>
      </c>
      <c r="EM86" s="522" t="n">
        <f aca="false">AVERAGEIF($G$3:$EI$3,EM$24,$G86:$EI86)</f>
        <v>5200000</v>
      </c>
      <c r="EN86" s="522" t="n">
        <f aca="false">AVERAGEIF($G$3:$EI$3,EN$24,$G86:$EI86)</f>
        <v>5151819.33632196</v>
      </c>
      <c r="EO86" s="522" t="n">
        <f aca="false">AVERAGEIF($G$3:$EI$3,EO$24,$G86:$EI86)</f>
        <v>4641790.6390972</v>
      </c>
      <c r="EP86" s="522" t="n">
        <f aca="false">AVERAGEIF($G$3:$EI$3,EP$24,$G86:$EI86)</f>
        <v>0</v>
      </c>
      <c r="EQ86" s="522" t="n">
        <f aca="false">AVERAGEIF($G$3:$EI$3,EQ$24,$G86:$EI86)</f>
        <v>0</v>
      </c>
      <c r="ER86" s="522" t="n">
        <f aca="false">AVERAGEIF($G$3:$EI$3,ER$24,$G86:$EI86)</f>
        <v>0</v>
      </c>
      <c r="ES86" s="522" t="n">
        <f aca="false">AVERAGEIF($G$3:$EI$3,ES$24,$G86:$EI86)</f>
        <v>0</v>
      </c>
      <c r="ET86" s="558" t="n">
        <f aca="false">AVERAGEIF($G$3:$EI$3,ET$24,$G86:$EI86)</f>
        <v>0</v>
      </c>
    </row>
    <row r="87" s="522" customFormat="true" ht="13.5" hidden="false" customHeight="true" outlineLevel="1" collapsed="false">
      <c r="B87" s="559" t="s">
        <v>583</v>
      </c>
      <c r="C87" s="557"/>
      <c r="H87" s="522" t="n">
        <f aca="false">IF(H82,IF(H81&gt;0, IPMT('Executive Summary'!$L$8/12, H81, 'Executive Summary'!$L$11*12, $E$80), IPMT('Executive Summary'!$L$8/12, 1, 'Executive Summary'!$L$11*12, $E$80))-('Executive Summary'!$L$14/12),0)</f>
        <v>-21016.6666666667</v>
      </c>
      <c r="I87" s="522" t="n">
        <f aca="false">IF(I82,IF(I81&gt;0, IPMT('Executive Summary'!$L$8/12, I81, 'Executive Summary'!$L$11*12, $E$80), IPMT('Executive Summary'!$L$8/12, 1, 'Executive Summary'!$L$11*12, $E$80))-('Executive Summary'!$L$14/12),0)</f>
        <v>-21016.6666666667</v>
      </c>
      <c r="J87" s="522" t="n">
        <f aca="false">IF(J82,IF(J81&gt;0, IPMT('Executive Summary'!$L$8/12, J81, 'Executive Summary'!$L$11*12, $E$80), IPMT('Executive Summary'!$L$8/12, 1, 'Executive Summary'!$L$11*12, $E$80))-('Executive Summary'!$L$14/12),0)</f>
        <v>-21016.6666666667</v>
      </c>
      <c r="K87" s="522" t="n">
        <f aca="false">IF(K82,IF(K81&gt;0, IPMT('Executive Summary'!$L$8/12, K81, 'Executive Summary'!$L$11*12, $E$80), IPMT('Executive Summary'!$L$8/12, 1, 'Executive Summary'!$L$11*12, $E$80))-('Executive Summary'!$L$14/12),0)</f>
        <v>-21016.6666666667</v>
      </c>
      <c r="L87" s="522" t="n">
        <f aca="false">IF(L82,IF(L81&gt;0, IPMT('Executive Summary'!$L$8/12, L81, 'Executive Summary'!$L$11*12, $E$80), IPMT('Executive Summary'!$L$8/12, 1, 'Executive Summary'!$L$11*12, $E$80))-('Executive Summary'!$L$14/12),0)</f>
        <v>-21016.6666666667</v>
      </c>
      <c r="M87" s="522" t="n">
        <f aca="false">IF(M82,IF(M81&gt;0, IPMT('Executive Summary'!$L$8/12, M81, 'Executive Summary'!$L$11*12, $E$80), IPMT('Executive Summary'!$L$8/12, 1, 'Executive Summary'!$L$11*12, $E$80))-('Executive Summary'!$L$14/12),0)</f>
        <v>-21016.6666666667</v>
      </c>
      <c r="N87" s="522" t="n">
        <f aca="false">IF(N82,IF(N81&gt;0, IPMT('Executive Summary'!$L$8/12, N81, 'Executive Summary'!$L$11*12, $E$80), IPMT('Executive Summary'!$L$8/12, 1, 'Executive Summary'!$L$11*12, $E$80))-('Executive Summary'!$L$14/12),0)</f>
        <v>-21016.6666666667</v>
      </c>
      <c r="O87" s="522" t="n">
        <f aca="false">IF(O82,IF(O81&gt;0, IPMT('Executive Summary'!$L$8/12, O81, 'Executive Summary'!$L$11*12, $E$80), IPMT('Executive Summary'!$L$8/12, 1, 'Executive Summary'!$L$11*12, $E$80))-('Executive Summary'!$L$14/12),0)</f>
        <v>-21016.6666666667</v>
      </c>
      <c r="P87" s="522" t="n">
        <f aca="false">IF(P82,IF(P81&gt;0, IPMT('Executive Summary'!$L$8/12, P81, 'Executive Summary'!$L$11*12, $E$80), IPMT('Executive Summary'!$L$8/12, 1, 'Executive Summary'!$L$11*12, $E$80))-('Executive Summary'!$L$14/12),0)</f>
        <v>-21016.6666666667</v>
      </c>
      <c r="Q87" s="522" t="n">
        <f aca="false">IF(Q82,IF(Q81&gt;0, IPMT('Executive Summary'!$L$8/12, Q81, 'Executive Summary'!$L$11*12, $E$80), IPMT('Executive Summary'!$L$8/12, 1, 'Executive Summary'!$L$11*12, $E$80))-('Executive Summary'!$L$14/12),0)</f>
        <v>-21016.6666666667</v>
      </c>
      <c r="R87" s="522" t="n">
        <f aca="false">IF(R82,IF(R81&gt;0, IPMT('Executive Summary'!$L$8/12, R81, 'Executive Summary'!$L$11*12, $E$80), IPMT('Executive Summary'!$L$8/12, 1, 'Executive Summary'!$L$11*12, $E$80))-('Executive Summary'!$L$14/12),0)</f>
        <v>-21016.6666666667</v>
      </c>
      <c r="S87" s="522" t="n">
        <f aca="false">IF(S82,IF(S81&gt;0, IPMT('Executive Summary'!$L$8/12, S81, 'Executive Summary'!$L$11*12, $E$80), IPMT('Executive Summary'!$L$8/12, 1, 'Executive Summary'!$L$11*12, $E$80))-('Executive Summary'!$L$14/12),0)</f>
        <v>-21016.6666666667</v>
      </c>
      <c r="T87" s="522" t="n">
        <f aca="false">IF(T82,IF(T81&gt;0, IPMT('Executive Summary'!$L$8/12, T81, 'Executive Summary'!$L$11*12, $E$80), IPMT('Executive Summary'!$L$8/12, 1, 'Executive Summary'!$L$11*12, $E$80))-('Executive Summary'!$L$14/12),0)</f>
        <v>-21016.6666666667</v>
      </c>
      <c r="U87" s="522" t="n">
        <f aca="false">IF(U82,IF(U81&gt;0, IPMT('Executive Summary'!$L$8/12, U81, 'Executive Summary'!$L$11*12, $E$80), IPMT('Executive Summary'!$L$8/12, 1, 'Executive Summary'!$L$11*12, $E$80))-('Executive Summary'!$L$14/12),0)</f>
        <v>-21016.6666666667</v>
      </c>
      <c r="V87" s="522" t="n">
        <f aca="false">IF(V82,IF(V81&gt;0, IPMT('Executive Summary'!$L$8/12, V81, 'Executive Summary'!$L$11*12, $E$80), IPMT('Executive Summary'!$L$8/12, 1, 'Executive Summary'!$L$11*12, $E$80))-('Executive Summary'!$L$14/12),0)</f>
        <v>-21016.6666666667</v>
      </c>
      <c r="W87" s="522" t="n">
        <f aca="false">IF(W82,IF(W81&gt;0, IPMT('Executive Summary'!$L$8/12, W81, 'Executive Summary'!$L$11*12, $E$80), IPMT('Executive Summary'!$L$8/12, 1, 'Executive Summary'!$L$11*12, $E$80))-('Executive Summary'!$L$14/12),0)</f>
        <v>-21016.6666666667</v>
      </c>
      <c r="X87" s="522" t="n">
        <f aca="false">IF(X82,IF(X81&gt;0, IPMT('Executive Summary'!$L$8/12, X81, 'Executive Summary'!$L$11*12, $E$80), IPMT('Executive Summary'!$L$8/12, 1, 'Executive Summary'!$L$11*12, $E$80))-('Executive Summary'!$L$14/12),0)</f>
        <v>-21016.6666666667</v>
      </c>
      <c r="Y87" s="522" t="n">
        <f aca="false">IF(Y82,IF(Y81&gt;0, IPMT('Executive Summary'!$L$8/12, Y81, 'Executive Summary'!$L$11*12, $E$80), IPMT('Executive Summary'!$L$8/12, 1, 'Executive Summary'!$L$11*12, $E$80))-('Executive Summary'!$L$14/12),0)</f>
        <v>-21016.6666666667</v>
      </c>
      <c r="Z87" s="522" t="n">
        <f aca="false">IF(Z82,IF(Z81&gt;0, IPMT('Executive Summary'!$L$8/12, Z81, 'Executive Summary'!$L$11*12, $E$80), IPMT('Executive Summary'!$L$8/12, 1, 'Executive Summary'!$L$11*12, $E$80))-('Executive Summary'!$L$14/12),0)</f>
        <v>-21016.6666666667</v>
      </c>
      <c r="AA87" s="522" t="n">
        <f aca="false">IF(AA82,IF(AA81&gt;0, IPMT('Executive Summary'!$L$8/12, AA81, 'Executive Summary'!$L$11*12, $E$80), IPMT('Executive Summary'!$L$8/12, 1, 'Executive Summary'!$L$11*12, $E$80))-('Executive Summary'!$L$14/12),0)</f>
        <v>-21016.6666666667</v>
      </c>
      <c r="AB87" s="522" t="n">
        <f aca="false">IF(AB82,IF(AB81&gt;0, IPMT('Executive Summary'!$L$8/12, AB81, 'Executive Summary'!$L$11*12, $E$80), IPMT('Executive Summary'!$L$8/12, 1, 'Executive Summary'!$L$11*12, $E$80))-('Executive Summary'!$L$14/12),0)</f>
        <v>-21016.6666666667</v>
      </c>
      <c r="AC87" s="522" t="n">
        <f aca="false">IF(AC82,IF(AC81&gt;0, IPMT('Executive Summary'!$L$8/12, AC81, 'Executive Summary'!$L$11*12, $E$80), IPMT('Executive Summary'!$L$8/12, 1, 'Executive Summary'!$L$11*12, $E$80))-('Executive Summary'!$L$14/12),0)</f>
        <v>-21016.6666666667</v>
      </c>
      <c r="AD87" s="522" t="n">
        <f aca="false">IF(AD82,IF(AD81&gt;0, IPMT('Executive Summary'!$L$8/12, AD81, 'Executive Summary'!$L$11*12, $E$80), IPMT('Executive Summary'!$L$8/12, 1, 'Executive Summary'!$L$11*12, $E$80))-('Executive Summary'!$L$14/12),0)</f>
        <v>-21016.6666666667</v>
      </c>
      <c r="AE87" s="522" t="n">
        <f aca="false">IF(AE82,IF(AE81&gt;0, IPMT('Executive Summary'!$L$8/12, AE81, 'Executive Summary'!$L$11*12, $E$80), IPMT('Executive Summary'!$L$8/12, 1, 'Executive Summary'!$L$11*12, $E$80))-('Executive Summary'!$L$14/12),0)</f>
        <v>-21016.6666666667</v>
      </c>
      <c r="AF87" s="522" t="n">
        <f aca="false">IF(AF82,IF(AF81&gt;0, IPMT('Executive Summary'!$L$8/12, AF81, 'Executive Summary'!$L$11*12, $E$80), IPMT('Executive Summary'!$L$8/12, 1, 'Executive Summary'!$L$11*12, $E$80))-('Executive Summary'!$L$14/12),0)</f>
        <v>-21016.6666666667</v>
      </c>
      <c r="AG87" s="522" t="n">
        <f aca="false">IF(AG82,IF(AG81&gt;0, IPMT('Executive Summary'!$L$8/12, AG81, 'Executive Summary'!$L$11*12, $E$80), IPMT('Executive Summary'!$L$8/12, 1, 'Executive Summary'!$L$11*12, $E$80))-('Executive Summary'!$L$14/12),0)</f>
        <v>-21016.6666666667</v>
      </c>
      <c r="AH87" s="522" t="n">
        <f aca="false">IF(AH82,IF(AH81&gt;0, IPMT('Executive Summary'!$L$8/12, AH81, 'Executive Summary'!$L$11*12, $E$80), IPMT('Executive Summary'!$L$8/12, 1, 'Executive Summary'!$L$11*12, $E$80))-('Executive Summary'!$L$14/12),0)</f>
        <v>-21016.6666666667</v>
      </c>
      <c r="AI87" s="522" t="n">
        <f aca="false">IF(AI82,IF(AI81&gt;0, IPMT('Executive Summary'!$L$8/12, AI81, 'Executive Summary'!$L$11*12, $E$80), IPMT('Executive Summary'!$L$8/12, 1, 'Executive Summary'!$L$11*12, $E$80))-('Executive Summary'!$L$14/12),0)</f>
        <v>-21016.6666666667</v>
      </c>
      <c r="AJ87" s="522" t="n">
        <f aca="false">IF(AJ82,IF(AJ81&gt;0, IPMT('Executive Summary'!$L$8/12, AJ81, 'Executive Summary'!$L$11*12, $E$80), IPMT('Executive Summary'!$L$8/12, 1, 'Executive Summary'!$L$11*12, $E$80))-('Executive Summary'!$L$14/12),0)</f>
        <v>-21016.6666666667</v>
      </c>
      <c r="AK87" s="522" t="n">
        <f aca="false">IF(AK82,IF(AK81&gt;0, IPMT('Executive Summary'!$L$8/12, AK81, 'Executive Summary'!$L$11*12, $E$80), IPMT('Executive Summary'!$L$8/12, 1, 'Executive Summary'!$L$11*12, $E$80))-('Executive Summary'!$L$14/12),0)</f>
        <v>-21016.6666666667</v>
      </c>
      <c r="AL87" s="522" t="n">
        <f aca="false">IF(AL82,IF(AL81&gt;0, IPMT('Executive Summary'!$L$8/12, AL81, 'Executive Summary'!$L$11*12, $E$80), IPMT('Executive Summary'!$L$8/12, 1, 'Executive Summary'!$L$11*12, $E$80))-('Executive Summary'!$L$14/12),0)</f>
        <v>-21016.6666666667</v>
      </c>
      <c r="AM87" s="522" t="n">
        <f aca="false">IF(AM82,IF(AM81&gt;0, IPMT('Executive Summary'!$L$8/12, AM81, 'Executive Summary'!$L$11*12, $E$80), IPMT('Executive Summary'!$L$8/12, 1, 'Executive Summary'!$L$11*12, $E$80))-('Executive Summary'!$L$14/12),0)</f>
        <v>-21016.6666666667</v>
      </c>
      <c r="AN87" s="522" t="n">
        <f aca="false">IF(AN82,IF(AN81&gt;0, IPMT('Executive Summary'!$L$8/12, AN81, 'Executive Summary'!$L$11*12, $E$80), IPMT('Executive Summary'!$L$8/12, 1, 'Executive Summary'!$L$11*12, $E$80))-('Executive Summary'!$L$14/12),0)</f>
        <v>-21016.6666666667</v>
      </c>
      <c r="AO87" s="522" t="n">
        <f aca="false">IF(AO82,IF(AO81&gt;0, IPMT('Executive Summary'!$L$8/12, AO81, 'Executive Summary'!$L$11*12, $E$80), IPMT('Executive Summary'!$L$8/12, 1, 'Executive Summary'!$L$11*12, $E$80))-('Executive Summary'!$L$14/12),0)</f>
        <v>-21016.6666666667</v>
      </c>
      <c r="AP87" s="522" t="n">
        <f aca="false">IF(AP82,IF(AP81&gt;0, IPMT('Executive Summary'!$L$8/12, AP81, 'Executive Summary'!$L$11*12, $E$80), IPMT('Executive Summary'!$L$8/12, 1, 'Executive Summary'!$L$11*12, $E$80))-('Executive Summary'!$L$14/12),0)</f>
        <v>-21016.6666666667</v>
      </c>
      <c r="AQ87" s="522" t="n">
        <f aca="false">IF(AQ82,IF(AQ81&gt;0, IPMT('Executive Summary'!$L$8/12, AQ81, 'Executive Summary'!$L$11*12, $E$80), IPMT('Executive Summary'!$L$8/12, 1, 'Executive Summary'!$L$11*12, $E$80))-('Executive Summary'!$L$14/12),0)</f>
        <v>-21016.6666666667</v>
      </c>
      <c r="AR87" s="522" t="n">
        <f aca="false">IF(AR82,IF(AR81&gt;0, IPMT('Executive Summary'!$L$8/12, AR81, 'Executive Summary'!$L$11*12, $E$80), IPMT('Executive Summary'!$L$8/12, 1, 'Executive Summary'!$L$11*12, $E$80))-('Executive Summary'!$L$14/12),0)</f>
        <v>-21016.6666666667</v>
      </c>
      <c r="AS87" s="522" t="n">
        <f aca="false">IF(AS82,IF(AS81&gt;0, IPMT('Executive Summary'!$L$8/12, AS81, 'Executive Summary'!$L$11*12, $E$80), IPMT('Executive Summary'!$L$8/12, 1, 'Executive Summary'!$L$11*12, $E$80))-('Executive Summary'!$L$14/12),0)</f>
        <v>-20987.1500490382</v>
      </c>
      <c r="AT87" s="522" t="n">
        <f aca="false">IF(AT82,IF(AT81&gt;0, IPMT('Executive Summary'!$L$8/12, AT81, 'Executive Summary'!$L$11*12, $E$80), IPMT('Executive Summary'!$L$8/12, 1, 'Executive Summary'!$L$11*12, $E$80))-('Executive Summary'!$L$14/12),0)</f>
        <v>-20957.5141350801</v>
      </c>
      <c r="AU87" s="522" t="n">
        <f aca="false">IF(AU82,IF(AU81&gt;0, IPMT('Executive Summary'!$L$8/12, AU81, 'Executive Summary'!$L$11*12, $E$80), IPMT('Executive Summary'!$L$8/12, 1, 'Executive Summary'!$L$11*12, $E$80))-('Executive Summary'!$L$14/12),0)</f>
        <v>-20927.7584426365</v>
      </c>
      <c r="AV87" s="522" t="n">
        <f aca="false">IF(AV82,IF(AV81&gt;0, IPMT('Executive Summary'!$L$8/12, AV81, 'Executive Summary'!$L$11*12, $E$80), IPMT('Executive Summary'!$L$8/12, 1, 'Executive Summary'!$L$11*12, $E$80))-('Executive Summary'!$L$14/12),0)</f>
        <v>-20897.8824876026</v>
      </c>
      <c r="AW87" s="522" t="n">
        <f aca="false">IF(AW82,IF(AW81&gt;0, IPMT('Executive Summary'!$L$8/12, AW81, 'Executive Summary'!$L$11*12, $E$80), IPMT('Executive Summary'!$L$8/12, 1, 'Executive Summary'!$L$11*12, $E$80))-('Executive Summary'!$L$14/12),0)</f>
        <v>-20867.8857839171</v>
      </c>
      <c r="AX87" s="522" t="n">
        <f aca="false">IF(AX82,IF(AX81&gt;0, IPMT('Executive Summary'!$L$8/12, AX81, 'Executive Summary'!$L$11*12, $E$80), IPMT('Executive Summary'!$L$8/12, 1, 'Executive Summary'!$L$11*12, $E$80))-('Executive Summary'!$L$14/12),0)</f>
        <v>-20837.7678435541</v>
      </c>
      <c r="AY87" s="522" t="n">
        <f aca="false">IF(AY82,IF(AY81&gt;0, IPMT('Executive Summary'!$L$8/12, AY81, 'Executive Summary'!$L$11*12, $E$80), IPMT('Executive Summary'!$L$8/12, 1, 'Executive Summary'!$L$11*12, $E$80))-('Executive Summary'!$L$14/12),0)</f>
        <v>-20807.5281765156</v>
      </c>
      <c r="AZ87" s="522" t="n">
        <f aca="false">IF(AZ82,IF(AZ81&gt;0, IPMT('Executive Summary'!$L$8/12, AZ81, 'Executive Summary'!$L$11*12, $E$80), IPMT('Executive Summary'!$L$8/12, 1, 'Executive Summary'!$L$11*12, $E$80))-('Executive Summary'!$L$14/12),0)</f>
        <v>-20777.1662908227</v>
      </c>
      <c r="BA87" s="522" t="n">
        <f aca="false">IF(BA82,IF(BA81&gt;0, IPMT('Executive Summary'!$L$8/12, BA81, 'Executive Summary'!$L$11*12, $E$80), IPMT('Executive Summary'!$L$8/12, 1, 'Executive Summary'!$L$11*12, $E$80))-('Executive Summary'!$L$14/12),0)</f>
        <v>-20746.6816925086</v>
      </c>
      <c r="BB87" s="522" t="n">
        <f aca="false">IF(BB82,IF(BB81&gt;0, IPMT('Executive Summary'!$L$8/12, BB81, 'Executive Summary'!$L$11*12, $E$80), IPMT('Executive Summary'!$L$8/12, 1, 'Executive Summary'!$L$11*12, $E$80))-('Executive Summary'!$L$14/12),0)</f>
        <v>-20716.0738856096</v>
      </c>
      <c r="BC87" s="522" t="n">
        <f aca="false">IF(BC82,IF(BC81&gt;0, IPMT('Executive Summary'!$L$8/12, BC81, 'Executive Summary'!$L$11*12, $E$80), IPMT('Executive Summary'!$L$8/12, 1, 'Executive Summary'!$L$11*12, $E$80))-('Executive Summary'!$L$14/12),0)</f>
        <v>-20685.3423721576</v>
      </c>
      <c r="BD87" s="522" t="n">
        <f aca="false">IF(BD82,IF(BD81&gt;0, IPMT('Executive Summary'!$L$8/12, BD81, 'Executive Summary'!$L$11*12, $E$80), IPMT('Executive Summary'!$L$8/12, 1, 'Executive Summary'!$L$11*12, $E$80))-('Executive Summary'!$L$14/12),0)</f>
        <v>-20654.4866521722</v>
      </c>
      <c r="BE87" s="522" t="n">
        <f aca="false">IF(BE82,IF(BE81&gt;0, IPMT('Executive Summary'!$L$8/12, BE81, 'Executive Summary'!$L$11*12, $E$80), IPMT('Executive Summary'!$L$8/12, 1, 'Executive Summary'!$L$11*12, $E$80))-('Executive Summary'!$L$14/12),0)</f>
        <v>-20623.5062236518</v>
      </c>
      <c r="BF87" s="522" t="n">
        <f aca="false">IF(BF82,IF(BF81&gt;0, IPMT('Executive Summary'!$L$8/12, BF81, 'Executive Summary'!$L$11*12, $E$80), IPMT('Executive Summary'!$L$8/12, 1, 'Executive Summary'!$L$11*12, $E$80))-('Executive Summary'!$L$14/12),0)</f>
        <v>-20592.4005825661</v>
      </c>
      <c r="BG87" s="522" t="n">
        <f aca="false">IF(BG82,IF(BG81&gt;0, IPMT('Executive Summary'!$L$8/12, BG81, 'Executive Summary'!$L$11*12, $E$80), IPMT('Executive Summary'!$L$8/12, 1, 'Executive Summary'!$L$11*12, $E$80))-('Executive Summary'!$L$14/12),0)</f>
        <v>-20561.1692228478</v>
      </c>
      <c r="BH87" s="522" t="n">
        <f aca="false">IF(BH82,IF(BH81&gt;0, IPMT('Executive Summary'!$L$8/12, BH81, 'Executive Summary'!$L$11*12, $E$80), IPMT('Executive Summary'!$L$8/12, 1, 'Executive Summary'!$L$11*12, $E$80))-('Executive Summary'!$L$14/12),0)</f>
        <v>-20529.8116363839</v>
      </c>
      <c r="BI87" s="522" t="n">
        <f aca="false">IF(BI82,IF(BI81&gt;0, IPMT('Executive Summary'!$L$8/12, BI81, 'Executive Summary'!$L$11*12, $E$80), IPMT('Executive Summary'!$L$8/12, 1, 'Executive Summary'!$L$11*12, $E$80))-('Executive Summary'!$L$14/12),0)</f>
        <v>-20498.327313008</v>
      </c>
      <c r="BJ87" s="522" t="n">
        <f aca="false">IF(BJ82,IF(BJ81&gt;0, IPMT('Executive Summary'!$L$8/12, BJ81, 'Executive Summary'!$L$11*12, $E$80), IPMT('Executive Summary'!$L$8/12, 1, 'Executive Summary'!$L$11*12, $E$80))-('Executive Summary'!$L$14/12),0)</f>
        <v>-20466.7157404918</v>
      </c>
      <c r="BK87" s="522" t="n">
        <f aca="false">IF(BK82,IF(BK81&gt;0, IPMT('Executive Summary'!$L$8/12, BK81, 'Executive Summary'!$L$11*12, $E$80), IPMT('Executive Summary'!$L$8/12, 1, 'Executive Summary'!$L$11*12, $E$80))-('Executive Summary'!$L$14/12),0)</f>
        <v>-20434.9764045367</v>
      </c>
      <c r="BL87" s="522" t="n">
        <f aca="false">IF(BL82,IF(BL81&gt;0, IPMT('Executive Summary'!$L$8/12, BL81, 'Executive Summary'!$L$11*12, $E$80), IPMT('Executive Summary'!$L$8/12, 1, 'Executive Summary'!$L$11*12, $E$80))-('Executive Summary'!$L$14/12),0)</f>
        <v>-20403.1087887655</v>
      </c>
      <c r="BM87" s="522" t="n">
        <f aca="false">IF(BM82,IF(BM81&gt;0, IPMT('Executive Summary'!$L$8/12, BM81, 'Executive Summary'!$L$11*12, $E$80), IPMT('Executive Summary'!$L$8/12, 1, 'Executive Summary'!$L$11*12, $E$80))-('Executive Summary'!$L$14/12),0)</f>
        <v>-20371.1123747138</v>
      </c>
      <c r="BN87" s="522" t="n">
        <f aca="false">IF(BN82,IF(BN81&gt;0, IPMT('Executive Summary'!$L$8/12, BN81, 'Executive Summary'!$L$11*12, $E$80), IPMT('Executive Summary'!$L$8/12, 1, 'Executive Summary'!$L$11*12, $E$80))-('Executive Summary'!$L$14/12),0)</f>
        <v>-20338.986641822</v>
      </c>
      <c r="BO87" s="522" t="n">
        <f aca="false">IF(BO82,IF(BO81&gt;0, IPMT('Executive Summary'!$L$8/12, BO81, 'Executive Summary'!$L$11*12, $E$80), IPMT('Executive Summary'!$L$8/12, 1, 'Executive Summary'!$L$11*12, $E$80))-('Executive Summary'!$L$14/12),0)</f>
        <v>-20306.7310674265</v>
      </c>
      <c r="BP87" s="522" t="n">
        <f aca="false">IF(BP82,IF(BP81&gt;0, IPMT('Executive Summary'!$L$8/12, BP81, 'Executive Summary'!$L$11*12, $E$80), IPMT('Executive Summary'!$L$8/12, 1, 'Executive Summary'!$L$11*12, $E$80))-('Executive Summary'!$L$14/12),0)</f>
        <v>0</v>
      </c>
      <c r="BQ87" s="522" t="n">
        <f aca="false">IF(BQ82,IF(BQ81&gt;0, IPMT('Executive Summary'!$L$8/12, BQ81, 'Executive Summary'!$L$11*12, $E$80), IPMT('Executive Summary'!$L$8/12, 1, 'Executive Summary'!$L$11*12, $E$80))-('Executive Summary'!$L$14/12),0)</f>
        <v>0</v>
      </c>
      <c r="BR87" s="522" t="n">
        <f aca="false">IF(BR82,IF(BR81&gt;0, IPMT('Executive Summary'!$L$8/12, BR81, 'Executive Summary'!$L$11*12, $E$80), IPMT('Executive Summary'!$L$8/12, 1, 'Executive Summary'!$L$11*12, $E$80))-('Executive Summary'!$L$14/12),0)</f>
        <v>0</v>
      </c>
      <c r="BS87" s="522" t="n">
        <f aca="false">IF(BS82,IF(BS81&gt;0, IPMT('Executive Summary'!$L$8/12, BS81, 'Executive Summary'!$L$11*12, $E$80), IPMT('Executive Summary'!$L$8/12, 1, 'Executive Summary'!$L$11*12, $E$80))-('Executive Summary'!$L$14/12),0)</f>
        <v>0</v>
      </c>
      <c r="BT87" s="522" t="n">
        <f aca="false">IF(BT82,IF(BT81&gt;0, IPMT('Executive Summary'!$L$8/12, BT81, 'Executive Summary'!$L$11*12, $E$80), IPMT('Executive Summary'!$L$8/12, 1, 'Executive Summary'!$L$11*12, $E$80))-('Executive Summary'!$L$14/12),0)</f>
        <v>0</v>
      </c>
      <c r="BU87" s="522" t="n">
        <f aca="false">IF(BU82,IF(BU81&gt;0, IPMT('Executive Summary'!$L$8/12, BU81, 'Executive Summary'!$L$11*12, $E$80), IPMT('Executive Summary'!$L$8/12, 1, 'Executive Summary'!$L$11*12, $E$80))-('Executive Summary'!$L$14/12),0)</f>
        <v>0</v>
      </c>
      <c r="BV87" s="522" t="n">
        <f aca="false">IF(BV82,IF(BV81&gt;0, IPMT('Executive Summary'!$L$8/12, BV81, 'Executive Summary'!$L$11*12, $E$80), IPMT('Executive Summary'!$L$8/12, 1, 'Executive Summary'!$L$11*12, $E$80))-('Executive Summary'!$L$14/12),0)</f>
        <v>0</v>
      </c>
      <c r="BW87" s="522" t="n">
        <f aca="false">IF(BW82,IF(BW81&gt;0, IPMT('Executive Summary'!$L$8/12, BW81, 'Executive Summary'!$L$11*12, $E$80), IPMT('Executive Summary'!$L$8/12, 1, 'Executive Summary'!$L$11*12, $E$80))-('Executive Summary'!$L$14/12),0)</f>
        <v>0</v>
      </c>
      <c r="BX87" s="522" t="n">
        <f aca="false">IF(BX82,IF(BX81&gt;0, IPMT('Executive Summary'!$L$8/12, BX81, 'Executive Summary'!$L$11*12, $E$80), IPMT('Executive Summary'!$L$8/12, 1, 'Executive Summary'!$L$11*12, $E$80))-('Executive Summary'!$L$14/12),0)</f>
        <v>0</v>
      </c>
      <c r="BY87" s="522" t="n">
        <f aca="false">IF(BY82,IF(BY81&gt;0, IPMT('Executive Summary'!$L$8/12, BY81, 'Executive Summary'!$L$11*12, $E$80), IPMT('Executive Summary'!$L$8/12, 1, 'Executive Summary'!$L$11*12, $E$80))-('Executive Summary'!$L$14/12),0)</f>
        <v>0</v>
      </c>
      <c r="BZ87" s="522" t="n">
        <f aca="false">IF(BZ82,IF(BZ81&gt;0, IPMT('Executive Summary'!$L$8/12, BZ81, 'Executive Summary'!$L$11*12, $E$80), IPMT('Executive Summary'!$L$8/12, 1, 'Executive Summary'!$L$11*12, $E$80))-('Executive Summary'!$L$14/12),0)</f>
        <v>0</v>
      </c>
      <c r="CA87" s="522" t="n">
        <f aca="false">IF(CA82,IF(CA81&gt;0, IPMT('Executive Summary'!$L$8/12, CA81, 'Executive Summary'!$L$11*12, $E$80), IPMT('Executive Summary'!$L$8/12, 1, 'Executive Summary'!$L$11*12, $E$80))-('Executive Summary'!$L$14/12),0)</f>
        <v>0</v>
      </c>
      <c r="CB87" s="522" t="n">
        <f aca="false">IF(CB82,IF(CB81&gt;0, IPMT('Executive Summary'!$L$8/12, CB81, 'Executive Summary'!$L$11*12, $E$80), IPMT('Executive Summary'!$L$8/12, 1, 'Executive Summary'!$L$11*12, $E$80))-('Executive Summary'!$L$14/12),0)</f>
        <v>0</v>
      </c>
      <c r="CC87" s="522" t="n">
        <f aca="false">IF(CC82,IF(CC81&gt;0, IPMT('Executive Summary'!$L$8/12, CC81, 'Executive Summary'!$L$11*12, $E$80), IPMT('Executive Summary'!$L$8/12, 1, 'Executive Summary'!$L$11*12, $E$80))-('Executive Summary'!$L$14/12),0)</f>
        <v>0</v>
      </c>
      <c r="CD87" s="522" t="n">
        <f aca="false">IF(CD82,IF(CD81&gt;0, IPMT('Executive Summary'!$L$8/12, CD81, 'Executive Summary'!$L$11*12, $E$80), IPMT('Executive Summary'!$L$8/12, 1, 'Executive Summary'!$L$11*12, $E$80))-('Executive Summary'!$L$14/12),0)</f>
        <v>0</v>
      </c>
      <c r="CE87" s="522" t="n">
        <f aca="false">IF(CE82,IF(CE81&gt;0, IPMT('Executive Summary'!$L$8/12, CE81, 'Executive Summary'!$L$11*12, $E$80), IPMT('Executive Summary'!$L$8/12, 1, 'Executive Summary'!$L$11*12, $E$80))-('Executive Summary'!$L$14/12),0)</f>
        <v>0</v>
      </c>
      <c r="CF87" s="522" t="n">
        <f aca="false">IF(CF82,IF(CF81&gt;0, IPMT('Executive Summary'!$L$8/12, CF81, 'Executive Summary'!$L$11*12, $E$80), IPMT('Executive Summary'!$L$8/12, 1, 'Executive Summary'!$L$11*12, $E$80))-('Executive Summary'!$L$14/12),0)</f>
        <v>0</v>
      </c>
      <c r="CG87" s="522" t="n">
        <f aca="false">IF(CG82,IF(CG81&gt;0, IPMT('Executive Summary'!$L$8/12, CG81, 'Executive Summary'!$L$11*12, $E$80), IPMT('Executive Summary'!$L$8/12, 1, 'Executive Summary'!$L$11*12, $E$80))-('Executive Summary'!$L$14/12),0)</f>
        <v>0</v>
      </c>
      <c r="CH87" s="522" t="n">
        <f aca="false">IF(CH82,IF(CH81&gt;0, IPMT('Executive Summary'!$L$8/12, CH81, 'Executive Summary'!$L$11*12, $E$80), IPMT('Executive Summary'!$L$8/12, 1, 'Executive Summary'!$L$11*12, $E$80))-('Executive Summary'!$L$14/12),0)</f>
        <v>0</v>
      </c>
      <c r="CI87" s="522" t="n">
        <f aca="false">IF(CI82,IF(CI81&gt;0, IPMT('Executive Summary'!$L$8/12, CI81, 'Executive Summary'!$L$11*12, $E$80), IPMT('Executive Summary'!$L$8/12, 1, 'Executive Summary'!$L$11*12, $E$80))-('Executive Summary'!$L$14/12),0)</f>
        <v>0</v>
      </c>
      <c r="CJ87" s="522" t="n">
        <f aca="false">IF(CJ82,IF(CJ81&gt;0, IPMT('Executive Summary'!$L$8/12, CJ81, 'Executive Summary'!$L$11*12, $E$80), IPMT('Executive Summary'!$L$8/12, 1, 'Executive Summary'!$L$11*12, $E$80))-('Executive Summary'!$L$14/12),0)</f>
        <v>0</v>
      </c>
      <c r="CK87" s="522" t="n">
        <f aca="false">IF(CK82,IF(CK81&gt;0, IPMT('Executive Summary'!$L$8/12, CK81, 'Executive Summary'!$L$11*12, $E$80), IPMT('Executive Summary'!$L$8/12, 1, 'Executive Summary'!$L$11*12, $E$80))-('Executive Summary'!$L$14/12),0)</f>
        <v>0</v>
      </c>
      <c r="CL87" s="522" t="n">
        <f aca="false">IF(CL82,IF(CL81&gt;0, IPMT('Executive Summary'!$L$8/12, CL81, 'Executive Summary'!$L$11*12, $E$80), IPMT('Executive Summary'!$L$8/12, 1, 'Executive Summary'!$L$11*12, $E$80))-('Executive Summary'!$L$14/12),0)</f>
        <v>0</v>
      </c>
      <c r="CM87" s="522" t="n">
        <f aca="false">IF(CM82,IF(CM81&gt;0, IPMT('Executive Summary'!$L$8/12, CM81, 'Executive Summary'!$L$11*12, $E$80), IPMT('Executive Summary'!$L$8/12, 1, 'Executive Summary'!$L$11*12, $E$80))-('Executive Summary'!$L$14/12),0)</f>
        <v>0</v>
      </c>
      <c r="CN87" s="522" t="n">
        <f aca="false">IF(CN82,IF(CN81&gt;0, IPMT('Executive Summary'!$L$8/12, CN81, 'Executive Summary'!$L$11*12, $E$80), IPMT('Executive Summary'!$L$8/12, 1, 'Executive Summary'!$L$11*12, $E$80))-('Executive Summary'!$L$14/12),0)</f>
        <v>0</v>
      </c>
      <c r="CO87" s="522" t="n">
        <f aca="false">IF(CO82,IF(CO81&gt;0, IPMT('Executive Summary'!$L$8/12, CO81, 'Executive Summary'!$L$11*12, $E$80), IPMT('Executive Summary'!$L$8/12, 1, 'Executive Summary'!$L$11*12, $E$80))-('Executive Summary'!$L$14/12),0)</f>
        <v>0</v>
      </c>
      <c r="CP87" s="522" t="n">
        <f aca="false">IF(CP82,IF(CP81&gt;0, IPMT('Executive Summary'!$L$8/12, CP81, 'Executive Summary'!$L$11*12, $E$80), IPMT('Executive Summary'!$L$8/12, 1, 'Executive Summary'!$L$11*12, $E$80))-('Executive Summary'!$L$14/12),0)</f>
        <v>0</v>
      </c>
      <c r="CQ87" s="522" t="n">
        <f aca="false">IF(CQ82,IF(CQ81&gt;0, IPMT('Executive Summary'!$L$8/12, CQ81, 'Executive Summary'!$L$11*12, $E$80), IPMT('Executive Summary'!$L$8/12, 1, 'Executive Summary'!$L$11*12, $E$80))-('Executive Summary'!$L$14/12),0)</f>
        <v>0</v>
      </c>
      <c r="CR87" s="522" t="n">
        <f aca="false">IF(CR82,IF(CR81&gt;0, IPMT('Executive Summary'!$L$8/12, CR81, 'Executive Summary'!$L$11*12, $E$80), IPMT('Executive Summary'!$L$8/12, 1, 'Executive Summary'!$L$11*12, $E$80))-('Executive Summary'!$L$14/12),0)</f>
        <v>0</v>
      </c>
      <c r="CS87" s="522" t="n">
        <f aca="false">IF(CS82,IF(CS81&gt;0, IPMT('Executive Summary'!$L$8/12, CS81, 'Executive Summary'!$L$11*12, $E$80), IPMT('Executive Summary'!$L$8/12, 1, 'Executive Summary'!$L$11*12, $E$80))-('Executive Summary'!$L$14/12),0)</f>
        <v>0</v>
      </c>
      <c r="CT87" s="522" t="n">
        <f aca="false">IF(CT82,IF(CT81&gt;0, IPMT('Executive Summary'!$L$8/12, CT81, 'Executive Summary'!$L$11*12, $E$80), IPMT('Executive Summary'!$L$8/12, 1, 'Executive Summary'!$L$11*12, $E$80))-('Executive Summary'!$L$14/12),0)</f>
        <v>0</v>
      </c>
      <c r="CU87" s="522" t="n">
        <f aca="false">IF(CU82,IF(CU81&gt;0, IPMT('Executive Summary'!$L$8/12, CU81, 'Executive Summary'!$L$11*12, $E$80), IPMT('Executive Summary'!$L$8/12, 1, 'Executive Summary'!$L$11*12, $E$80))-('Executive Summary'!$L$14/12),0)</f>
        <v>0</v>
      </c>
      <c r="CV87" s="522" t="n">
        <f aca="false">IF(CV82,IF(CV81&gt;0, IPMT('Executive Summary'!$L$8/12, CV81, 'Executive Summary'!$L$11*12, $E$80), IPMT('Executive Summary'!$L$8/12, 1, 'Executive Summary'!$L$11*12, $E$80))-('Executive Summary'!$L$14/12),0)</f>
        <v>0</v>
      </c>
      <c r="CW87" s="522" t="n">
        <f aca="false">IF(CW82,IF(CW81&gt;0, IPMT('Executive Summary'!$L$8/12, CW81, 'Executive Summary'!$L$11*12, $E$80), IPMT('Executive Summary'!$L$8/12, 1, 'Executive Summary'!$L$11*12, $E$80))-('Executive Summary'!$L$14/12),0)</f>
        <v>0</v>
      </c>
      <c r="CX87" s="522" t="n">
        <f aca="false">IF(CX82,IF(CX81&gt;0, IPMT('Executive Summary'!$L$8/12, CX81, 'Executive Summary'!$L$11*12, $E$80), IPMT('Executive Summary'!$L$8/12, 1, 'Executive Summary'!$L$11*12, $E$80))-('Executive Summary'!$L$14/12),0)</f>
        <v>0</v>
      </c>
      <c r="CY87" s="522" t="n">
        <f aca="false">IF(CY82,IF(CY81&gt;0, IPMT('Executive Summary'!$L$8/12, CY81, 'Executive Summary'!$L$11*12, $E$80), IPMT('Executive Summary'!$L$8/12, 1, 'Executive Summary'!$L$11*12, $E$80))-('Executive Summary'!$L$14/12),0)</f>
        <v>0</v>
      </c>
      <c r="CZ87" s="522" t="n">
        <f aca="false">IF(CZ82,IF(CZ81&gt;0, IPMT('Executive Summary'!$L$8/12, CZ81, 'Executive Summary'!$L$11*12, $E$80), IPMT('Executive Summary'!$L$8/12, 1, 'Executive Summary'!$L$11*12, $E$80))-('Executive Summary'!$L$14/12),0)</f>
        <v>0</v>
      </c>
      <c r="DA87" s="522" t="n">
        <f aca="false">IF(DA82,IF(DA81&gt;0, IPMT('Executive Summary'!$L$8/12, DA81, 'Executive Summary'!$L$11*12, $E$80), IPMT('Executive Summary'!$L$8/12, 1, 'Executive Summary'!$L$11*12, $E$80))-('Executive Summary'!$L$14/12),0)</f>
        <v>0</v>
      </c>
      <c r="DB87" s="522" t="n">
        <f aca="false">IF(DB82,IF(DB81&gt;0, IPMT('Executive Summary'!$L$8/12, DB81, 'Executive Summary'!$L$11*12, $E$80), IPMT('Executive Summary'!$L$8/12, 1, 'Executive Summary'!$L$11*12, $E$80))-('Executive Summary'!$L$14/12),0)</f>
        <v>0</v>
      </c>
      <c r="DC87" s="522" t="n">
        <f aca="false">IF(DC82,IF(DC81&gt;0, IPMT('Executive Summary'!$L$8/12, DC81, 'Executive Summary'!$L$11*12, $E$80), IPMT('Executive Summary'!$L$8/12, 1, 'Executive Summary'!$L$11*12, $E$80))-('Executive Summary'!$L$14/12),0)</f>
        <v>0</v>
      </c>
      <c r="DD87" s="522" t="n">
        <f aca="false">IF(DD82,IF(DD81&gt;0, IPMT('Executive Summary'!$L$8/12, DD81, 'Executive Summary'!$L$11*12, $E$80), IPMT('Executive Summary'!$L$8/12, 1, 'Executive Summary'!$L$11*12, $E$80))-('Executive Summary'!$L$14/12),0)</f>
        <v>0</v>
      </c>
      <c r="DE87" s="522" t="n">
        <f aca="false">IF(DE82,IF(DE81&gt;0, IPMT('Executive Summary'!$L$8/12, DE81, 'Executive Summary'!$L$11*12, $E$80), IPMT('Executive Summary'!$L$8/12, 1, 'Executive Summary'!$L$11*12, $E$80))-('Executive Summary'!$L$14/12),0)</f>
        <v>0</v>
      </c>
      <c r="DF87" s="522" t="n">
        <f aca="false">IF(DF82,IF(DF81&gt;0, IPMT('Executive Summary'!$L$8/12, DF81, 'Executive Summary'!$L$11*12, $E$80), IPMT('Executive Summary'!$L$8/12, 1, 'Executive Summary'!$L$11*12, $E$80))-('Executive Summary'!$L$14/12),0)</f>
        <v>0</v>
      </c>
      <c r="DG87" s="522" t="n">
        <f aca="false">IF(DG82,IF(DG81&gt;0, IPMT('Executive Summary'!$L$8/12, DG81, 'Executive Summary'!$L$11*12, $E$80), IPMT('Executive Summary'!$L$8/12, 1, 'Executive Summary'!$L$11*12, $E$80))-('Executive Summary'!$L$14/12),0)</f>
        <v>0</v>
      </c>
      <c r="DH87" s="522" t="n">
        <f aca="false">IF(DH82,IF(DH81&gt;0, IPMT('Executive Summary'!$L$8/12, DH81, 'Executive Summary'!$L$11*12, $E$80), IPMT('Executive Summary'!$L$8/12, 1, 'Executive Summary'!$L$11*12, $E$80))-('Executive Summary'!$L$14/12),0)</f>
        <v>0</v>
      </c>
      <c r="DI87" s="522" t="n">
        <f aca="false">IF(DI82,IF(DI81&gt;0, IPMT('Executive Summary'!$L$8/12, DI81, 'Executive Summary'!$L$11*12, $E$80), IPMT('Executive Summary'!$L$8/12, 1, 'Executive Summary'!$L$11*12, $E$80))-('Executive Summary'!$L$14/12),0)</f>
        <v>0</v>
      </c>
      <c r="DJ87" s="522" t="n">
        <f aca="false">IF(DJ82,IF(DJ81&gt;0, IPMT('Executive Summary'!$L$8/12, DJ81, 'Executive Summary'!$L$11*12, $E$80), IPMT('Executive Summary'!$L$8/12, 1, 'Executive Summary'!$L$11*12, $E$80))-('Executive Summary'!$L$14/12),0)</f>
        <v>0</v>
      </c>
      <c r="DK87" s="522" t="n">
        <f aca="false">IF(DK82,IF(DK81&gt;0, IPMT('Executive Summary'!$L$8/12, DK81, 'Executive Summary'!$L$11*12, $E$80), IPMT('Executive Summary'!$L$8/12, 1, 'Executive Summary'!$L$11*12, $E$80))-('Executive Summary'!$L$14/12),0)</f>
        <v>0</v>
      </c>
      <c r="DL87" s="522" t="n">
        <f aca="false">IF(DL82,IF(DL81&gt;0, IPMT('Executive Summary'!$L$8/12, DL81, 'Executive Summary'!$L$11*12, $E$80), IPMT('Executive Summary'!$L$8/12, 1, 'Executive Summary'!$L$11*12, $E$80))-('Executive Summary'!$L$14/12),0)</f>
        <v>0</v>
      </c>
      <c r="DM87" s="522" t="n">
        <f aca="false">IF(DM82,IF(DM81&gt;0, IPMT('Executive Summary'!$L$8/12, DM81, 'Executive Summary'!$L$11*12, $E$80), IPMT('Executive Summary'!$L$8/12, 1, 'Executive Summary'!$L$11*12, $E$80))-('Executive Summary'!$L$14/12),0)</f>
        <v>0</v>
      </c>
      <c r="DN87" s="522" t="n">
        <f aca="false">IF(DN82,IF(DN81&gt;0, IPMT('Executive Summary'!$L$8/12, DN81, 'Executive Summary'!$L$11*12, $E$80), IPMT('Executive Summary'!$L$8/12, 1, 'Executive Summary'!$L$11*12, $E$80))-('Executive Summary'!$L$14/12),0)</f>
        <v>0</v>
      </c>
      <c r="DO87" s="522" t="n">
        <f aca="false">IF(DO82,IF(DO81&gt;0, IPMT('Executive Summary'!$L$8/12, DO81, 'Executive Summary'!$L$11*12, $E$80), IPMT('Executive Summary'!$L$8/12, 1, 'Executive Summary'!$L$11*12, $E$80))-('Executive Summary'!$L$14/12),0)</f>
        <v>0</v>
      </c>
      <c r="DP87" s="522" t="n">
        <f aca="false">IF(DP82,IF(DP81&gt;0, IPMT('Executive Summary'!$L$8/12, DP81, 'Executive Summary'!$L$11*12, $E$80), IPMT('Executive Summary'!$L$8/12, 1, 'Executive Summary'!$L$11*12, $E$80))-('Executive Summary'!$L$14/12),0)</f>
        <v>0</v>
      </c>
      <c r="DQ87" s="522" t="n">
        <f aca="false">IF(DQ82,IF(DQ81&gt;0, IPMT('Executive Summary'!$L$8/12, DQ81, 'Executive Summary'!$L$11*12, $E$80), IPMT('Executive Summary'!$L$8/12, 1, 'Executive Summary'!$L$11*12, $E$80))-('Executive Summary'!$L$14/12),0)</f>
        <v>0</v>
      </c>
      <c r="DR87" s="522" t="n">
        <f aca="false">IF(DR82,IF(DR81&gt;0, IPMT('Executive Summary'!$L$8/12, DR81, 'Executive Summary'!$L$11*12, $E$80), IPMT('Executive Summary'!$L$8/12, 1, 'Executive Summary'!$L$11*12, $E$80))-('Executive Summary'!$L$14/12),0)</f>
        <v>0</v>
      </c>
      <c r="DS87" s="522" t="n">
        <f aca="false">IF(DS82,IF(DS81&gt;0, IPMT('Executive Summary'!$L$8/12, DS81, 'Executive Summary'!$L$11*12, $E$80), IPMT('Executive Summary'!$L$8/12, 1, 'Executive Summary'!$L$11*12, $E$80))-('Executive Summary'!$L$14/12),0)</f>
        <v>0</v>
      </c>
      <c r="DT87" s="522" t="n">
        <f aca="false">IF(DT82,IF(DT81&gt;0, IPMT('Executive Summary'!$L$8/12, DT81, 'Executive Summary'!$L$11*12, $E$80), IPMT('Executive Summary'!$L$8/12, 1, 'Executive Summary'!$L$11*12, $E$80))-('Executive Summary'!$L$14/12),0)</f>
        <v>0</v>
      </c>
      <c r="DU87" s="522" t="n">
        <f aca="false">IF(DU82,IF(DU81&gt;0, IPMT('Executive Summary'!$L$8/12, DU81, 'Executive Summary'!$L$11*12, $E$80), IPMT('Executive Summary'!$L$8/12, 1, 'Executive Summary'!$L$11*12, $E$80))-('Executive Summary'!$L$14/12),0)</f>
        <v>0</v>
      </c>
      <c r="DV87" s="522" t="n">
        <f aca="false">IF(DV82,IF(DV81&gt;0, IPMT('Executive Summary'!$L$8/12, DV81, 'Executive Summary'!$L$11*12, $E$80), IPMT('Executive Summary'!$L$8/12, 1, 'Executive Summary'!$L$11*12, $E$80))-('Executive Summary'!$L$14/12),0)</f>
        <v>0</v>
      </c>
      <c r="DW87" s="522" t="n">
        <f aca="false">IF(DW82,IF(DW81&gt;0, IPMT('Executive Summary'!$L$8/12, DW81, 'Executive Summary'!$L$11*12, $E$80), IPMT('Executive Summary'!$L$8/12, 1, 'Executive Summary'!$L$11*12, $E$80))-('Executive Summary'!$L$14/12),0)</f>
        <v>0</v>
      </c>
      <c r="DX87" s="522" t="n">
        <f aca="false">IF(DX82,IF(DX81&gt;0, IPMT('Executive Summary'!$L$8/12, DX81, 'Executive Summary'!$L$11*12, $E$80), IPMT('Executive Summary'!$L$8/12, 1, 'Executive Summary'!$L$11*12, $E$80))-('Executive Summary'!$L$14/12),0)</f>
        <v>0</v>
      </c>
      <c r="DY87" s="522" t="n">
        <f aca="false">IF(DY82,IF(DY81&gt;0, IPMT('Executive Summary'!$L$8/12, DY81, 'Executive Summary'!$L$11*12, $E$80), IPMT('Executive Summary'!$L$8/12, 1, 'Executive Summary'!$L$11*12, $E$80))-('Executive Summary'!$L$14/12),0)</f>
        <v>0</v>
      </c>
      <c r="DZ87" s="522" t="n">
        <f aca="false">IF(DZ82,IF(DZ81&gt;0, IPMT('Executive Summary'!$L$8/12, DZ81, 'Executive Summary'!$L$11*12, $E$80), IPMT('Executive Summary'!$L$8/12, 1, 'Executive Summary'!$L$11*12, $E$80))-('Executive Summary'!$L$14/12),0)</f>
        <v>0</v>
      </c>
      <c r="EA87" s="522" t="n">
        <f aca="false">IF(EA82,IF(EA81&gt;0, IPMT('Executive Summary'!$L$8/12, EA81, 'Executive Summary'!$L$11*12, $E$80), IPMT('Executive Summary'!$L$8/12, 1, 'Executive Summary'!$L$11*12, $E$80))-('Executive Summary'!$L$14/12),0)</f>
        <v>0</v>
      </c>
      <c r="EB87" s="522" t="n">
        <f aca="false">IF(EB82,IF(EB81&gt;0, IPMT('Executive Summary'!$L$8/12, EB81, 'Executive Summary'!$L$11*12, $E$80), IPMT('Executive Summary'!$L$8/12, 1, 'Executive Summary'!$L$11*12, $E$80))-('Executive Summary'!$L$14/12),0)</f>
        <v>0</v>
      </c>
      <c r="EC87" s="522" t="n">
        <f aca="false">IF(EC82,IF(EC81&gt;0, IPMT('Executive Summary'!$L$8/12, EC81, 'Executive Summary'!$L$11*12, $E$80), IPMT('Executive Summary'!$L$8/12, 1, 'Executive Summary'!$L$11*12, $E$80))-('Executive Summary'!$L$14/12),0)</f>
        <v>0</v>
      </c>
      <c r="ED87" s="522" t="n">
        <f aca="false">IF(ED82,IF(ED81&gt;0, IPMT('Executive Summary'!$L$8/12, ED81, 'Executive Summary'!$L$11*12, $E$80), IPMT('Executive Summary'!$L$8/12, 1, 'Executive Summary'!$L$11*12, $E$80))-('Executive Summary'!$L$14/12),0)</f>
        <v>0</v>
      </c>
      <c r="EE87" s="522" t="n">
        <f aca="false">IF(EE82,IF(EE81&gt;0, IPMT('Executive Summary'!$L$8/12, EE81, 'Executive Summary'!$L$11*12, $E$80), IPMT('Executive Summary'!$L$8/12, 1, 'Executive Summary'!$L$11*12, $E$80))-('Executive Summary'!$L$14/12),0)</f>
        <v>0</v>
      </c>
      <c r="EF87" s="522" t="n">
        <f aca="false">IF(EF82,IF(EF81&gt;0, IPMT('Executive Summary'!$L$8/12, EF81, 'Executive Summary'!$L$11*12, $E$80), IPMT('Executive Summary'!$L$8/12, 1, 'Executive Summary'!$L$11*12, $E$80))-('Executive Summary'!$L$14/12),0)</f>
        <v>0</v>
      </c>
      <c r="EG87" s="522" t="n">
        <f aca="false">IF(EG82,IF(EG81&gt;0, IPMT('Executive Summary'!$L$8/12, EG81, 'Executive Summary'!$L$11*12, $E$80), IPMT('Executive Summary'!$L$8/12, 1, 'Executive Summary'!$L$11*12, $E$80))-('Executive Summary'!$L$14/12),0)</f>
        <v>0</v>
      </c>
      <c r="EH87" s="522" t="n">
        <f aca="false">IF(EH82,IF(EH81&gt;0, IPMT('Executive Summary'!$L$8/12, EH81, 'Executive Summary'!$L$11*12, $E$80), IPMT('Executive Summary'!$L$8/12, 1, 'Executive Summary'!$L$11*12, $E$80))-('Executive Summary'!$L$14/12),0)</f>
        <v>0</v>
      </c>
      <c r="EI87" s="558" t="n">
        <f aca="false">IF(EI82,IF(EI81&gt;0, IPMT('Executive Summary'!$L$8/12, EI81, 'Executive Summary'!$L$11*12, $E$80), IPMT('Executive Summary'!$L$8/12, 1, 'Executive Summary'!$L$11*12, $E$80))-('Executive Summary'!$L$14/12),0)</f>
        <v>0</v>
      </c>
      <c r="EK87" s="559" t="n">
        <f aca="false">SUMIF($G$3:$EI$3,EK$24,$G87:$EI87)</f>
        <v>-252200</v>
      </c>
      <c r="EL87" s="522" t="n">
        <f aca="false">SUMIF($G$3:$EI$3,EL$24,$G87:$EI87)</f>
        <v>-252200</v>
      </c>
      <c r="EM87" s="522" t="n">
        <f aca="false">SUMIF($G$3:$EI$3,EM$24,$G87:$EI87)</f>
        <v>-252200</v>
      </c>
      <c r="EN87" s="522" t="n">
        <f aca="false">SUMIF($G$3:$EI$3,EN$24,$G87:$EI87)</f>
        <v>-250225.417826109</v>
      </c>
      <c r="EO87" s="522" t="n">
        <f aca="false">SUMIF($G$3:$EI$3,EO$24,$G87:$EI87)</f>
        <v>-245781.332648386</v>
      </c>
      <c r="EP87" s="522" t="n">
        <f aca="false">SUMIF($G$3:$EI$3,EP$24,$G87:$EI87)</f>
        <v>0</v>
      </c>
      <c r="EQ87" s="522" t="n">
        <f aca="false">SUMIF($G$3:$EI$3,EQ$24,$G87:$EI87)</f>
        <v>0</v>
      </c>
      <c r="ER87" s="522" t="n">
        <f aca="false">SUMIF($G$3:$EI$3,ER$24,$G87:$EI87)</f>
        <v>0</v>
      </c>
      <c r="ES87" s="522" t="n">
        <f aca="false">SUMIF($G$3:$EI$3,ES$24,$G87:$EI87)</f>
        <v>0</v>
      </c>
      <c r="ET87" s="558" t="n">
        <f aca="false">SUMIF($G$3:$EI$3,ET$24,$G87:$EI87)</f>
        <v>0</v>
      </c>
    </row>
    <row r="88" customFormat="false" ht="13.5" hidden="false" customHeight="true" outlineLevel="1" collapsed="false">
      <c r="B88" s="58"/>
      <c r="C88" s="498"/>
      <c r="EI88" s="588"/>
      <c r="EK88" s="58"/>
      <c r="ET88" s="588"/>
    </row>
    <row r="89" customFormat="false" ht="13.5" hidden="false" customHeight="true" outlineLevel="1" collapsed="false">
      <c r="B89" s="589" t="s">
        <v>595</v>
      </c>
      <c r="C89" s="498"/>
      <c r="EI89" s="588"/>
      <c r="EK89" s="58"/>
      <c r="ET89" s="588"/>
    </row>
    <row r="90" s="522" customFormat="true" ht="13.5" hidden="false" customHeight="true" outlineLevel="1" collapsed="false">
      <c r="B90" s="556" t="s">
        <v>588</v>
      </c>
      <c r="C90" s="557"/>
      <c r="E90" s="522" t="n">
        <f aca="false">'Executive Summary'!L18</f>
        <v>0</v>
      </c>
      <c r="EI90" s="558"/>
      <c r="EK90" s="559" t="n">
        <f aca="false">SUMIF($G$3:$EI$3,EK$24,$G90:$EI90)</f>
        <v>0</v>
      </c>
      <c r="EL90" s="522" t="n">
        <f aca="false">SUMIF($G$3:$EI$3,EL$24,$G90:$EI90)</f>
        <v>0</v>
      </c>
      <c r="EM90" s="522" t="n">
        <f aca="false">SUMIF($G$3:$EI$3,EM$24,$G90:$EI90)</f>
        <v>0</v>
      </c>
      <c r="EN90" s="522" t="n">
        <f aca="false">SUMIF($G$3:$EI$3,EN$24,$G90:$EI90)</f>
        <v>0</v>
      </c>
      <c r="EO90" s="522" t="n">
        <f aca="false">SUMIF($G$3:$EI$3,EO$24,$G90:$EI90)</f>
        <v>0</v>
      </c>
      <c r="EP90" s="522" t="n">
        <f aca="false">SUMIF($G$3:$EI$3,EP$24,$G90:$EI90)</f>
        <v>0</v>
      </c>
      <c r="EQ90" s="522" t="n">
        <f aca="false">SUMIF($G$3:$EI$3,EQ$24,$G90:$EI90)</f>
        <v>0</v>
      </c>
      <c r="ER90" s="522" t="n">
        <f aca="false">SUMIF($G$3:$EI$3,ER$24,$G90:$EI90)</f>
        <v>0</v>
      </c>
      <c r="ES90" s="522" t="n">
        <f aca="false">SUMIF($G$3:$EI$3,ES$24,$G90:$EI90)</f>
        <v>0</v>
      </c>
      <c r="ET90" s="558" t="n">
        <f aca="false">SUMIF($G$3:$EI$3,ET$24,$G90:$EI90)</f>
        <v>0</v>
      </c>
    </row>
    <row r="91" customFormat="false" ht="13.5" hidden="false" customHeight="true" outlineLevel="1" collapsed="false">
      <c r="B91" s="58" t="s">
        <v>589</v>
      </c>
      <c r="C91" s="498"/>
      <c r="G91" s="10" t="n">
        <f aca="false">G4-'Executive Summary'!$L$17-'Executive Summary'!$L$23</f>
        <v>0</v>
      </c>
      <c r="H91" s="10" t="n">
        <f aca="false">H4-'Executive Summary'!$L$17-'Executive Summary'!$L$23</f>
        <v>1</v>
      </c>
      <c r="I91" s="10" t="n">
        <f aca="false">I4-'Executive Summary'!$L$17-'Executive Summary'!$L$23</f>
        <v>2</v>
      </c>
      <c r="J91" s="10" t="n">
        <f aca="false">J4-'Executive Summary'!$L$17-'Executive Summary'!$L$23</f>
        <v>3</v>
      </c>
      <c r="K91" s="10" t="n">
        <f aca="false">K4-'Executive Summary'!$L$17-'Executive Summary'!$L$23</f>
        <v>4</v>
      </c>
      <c r="L91" s="10" t="n">
        <f aca="false">L4-'Executive Summary'!$L$17-'Executive Summary'!$L$23</f>
        <v>5</v>
      </c>
      <c r="M91" s="10" t="n">
        <f aca="false">M4-'Executive Summary'!$L$17-'Executive Summary'!$L$23</f>
        <v>6</v>
      </c>
      <c r="N91" s="10" t="n">
        <f aca="false">N4-'Executive Summary'!$L$17-'Executive Summary'!$L$23</f>
        <v>7</v>
      </c>
      <c r="O91" s="10" t="n">
        <f aca="false">O4-'Executive Summary'!$L$17-'Executive Summary'!$L$23</f>
        <v>8</v>
      </c>
      <c r="P91" s="10" t="n">
        <f aca="false">P4-'Executive Summary'!$L$17-'Executive Summary'!$L$23</f>
        <v>9</v>
      </c>
      <c r="Q91" s="10" t="n">
        <f aca="false">Q4-'Executive Summary'!$L$17-'Executive Summary'!$L$23</f>
        <v>10</v>
      </c>
      <c r="R91" s="10" t="n">
        <f aca="false">R4-'Executive Summary'!$L$17-'Executive Summary'!$L$23</f>
        <v>11</v>
      </c>
      <c r="S91" s="10" t="n">
        <f aca="false">S4-'Executive Summary'!$L$17-'Executive Summary'!$L$23</f>
        <v>12</v>
      </c>
      <c r="T91" s="10" t="n">
        <f aca="false">T4-'Executive Summary'!$L$17-'Executive Summary'!$L$23</f>
        <v>13</v>
      </c>
      <c r="U91" s="10" t="n">
        <f aca="false">U4-'Executive Summary'!$L$17-'Executive Summary'!$L$23</f>
        <v>14</v>
      </c>
      <c r="V91" s="10" t="n">
        <f aca="false">V4-'Executive Summary'!$L$17-'Executive Summary'!$L$23</f>
        <v>15</v>
      </c>
      <c r="W91" s="10" t="n">
        <f aca="false">W4-'Executive Summary'!$L$17-'Executive Summary'!$L$23</f>
        <v>16</v>
      </c>
      <c r="X91" s="10" t="n">
        <f aca="false">X4-'Executive Summary'!$L$17-'Executive Summary'!$L$23</f>
        <v>17</v>
      </c>
      <c r="Y91" s="10" t="n">
        <f aca="false">Y4-'Executive Summary'!$L$17-'Executive Summary'!$L$23</f>
        <v>18</v>
      </c>
      <c r="Z91" s="10" t="n">
        <f aca="false">Z4-'Executive Summary'!$L$17-'Executive Summary'!$L$23</f>
        <v>19</v>
      </c>
      <c r="AA91" s="10" t="n">
        <f aca="false">AA4-'Executive Summary'!$L$17-'Executive Summary'!$L$23</f>
        <v>20</v>
      </c>
      <c r="AB91" s="10" t="n">
        <f aca="false">AB4-'Executive Summary'!$L$17-'Executive Summary'!$L$23</f>
        <v>21</v>
      </c>
      <c r="AC91" s="10" t="n">
        <f aca="false">AC4-'Executive Summary'!$L$17-'Executive Summary'!$L$23</f>
        <v>22</v>
      </c>
      <c r="AD91" s="10" t="n">
        <f aca="false">AD4-'Executive Summary'!$L$17-'Executive Summary'!$L$23</f>
        <v>23</v>
      </c>
      <c r="AE91" s="10" t="n">
        <f aca="false">AE4-'Executive Summary'!$L$17-'Executive Summary'!$L$23</f>
        <v>24</v>
      </c>
      <c r="AF91" s="10" t="n">
        <f aca="false">AF4-'Executive Summary'!$L$17-'Executive Summary'!$L$23</f>
        <v>25</v>
      </c>
      <c r="AG91" s="10" t="n">
        <f aca="false">AG4-'Executive Summary'!$L$17-'Executive Summary'!$L$23</f>
        <v>26</v>
      </c>
      <c r="AH91" s="10" t="n">
        <f aca="false">AH4-'Executive Summary'!$L$17-'Executive Summary'!$L$23</f>
        <v>27</v>
      </c>
      <c r="AI91" s="10" t="n">
        <f aca="false">AI4-'Executive Summary'!$L$17-'Executive Summary'!$L$23</f>
        <v>28</v>
      </c>
      <c r="AJ91" s="10" t="n">
        <f aca="false">AJ4-'Executive Summary'!$L$17-'Executive Summary'!$L$23</f>
        <v>29</v>
      </c>
      <c r="AK91" s="10" t="n">
        <f aca="false">AK4-'Executive Summary'!$L$17-'Executive Summary'!$L$23</f>
        <v>30</v>
      </c>
      <c r="AL91" s="10" t="n">
        <f aca="false">AL4-'Executive Summary'!$L$17-'Executive Summary'!$L$23</f>
        <v>31</v>
      </c>
      <c r="AM91" s="10" t="n">
        <f aca="false">AM4-'Executive Summary'!$L$17-'Executive Summary'!$L$23</f>
        <v>32</v>
      </c>
      <c r="AN91" s="10" t="n">
        <f aca="false">AN4-'Executive Summary'!$L$17-'Executive Summary'!$L$23</f>
        <v>33</v>
      </c>
      <c r="AO91" s="10" t="n">
        <f aca="false">AO4-'Executive Summary'!$L$17-'Executive Summary'!$L$23</f>
        <v>34</v>
      </c>
      <c r="AP91" s="10" t="n">
        <f aca="false">AP4-'Executive Summary'!$L$17-'Executive Summary'!$L$23</f>
        <v>35</v>
      </c>
      <c r="AQ91" s="10" t="n">
        <f aca="false">AQ4-'Executive Summary'!$L$17-'Executive Summary'!$L$23</f>
        <v>36</v>
      </c>
      <c r="AR91" s="10" t="n">
        <f aca="false">AR4-'Executive Summary'!$L$17-'Executive Summary'!$L$23</f>
        <v>37</v>
      </c>
      <c r="AS91" s="10" t="n">
        <f aca="false">AS4-'Executive Summary'!$L$17-'Executive Summary'!$L$23</f>
        <v>38</v>
      </c>
      <c r="AT91" s="10" t="n">
        <f aca="false">AT4-'Executive Summary'!$L$17-'Executive Summary'!$L$23</f>
        <v>39</v>
      </c>
      <c r="AU91" s="10" t="n">
        <f aca="false">AU4-'Executive Summary'!$L$17-'Executive Summary'!$L$23</f>
        <v>40</v>
      </c>
      <c r="AV91" s="10" t="n">
        <f aca="false">AV4-'Executive Summary'!$L$17-'Executive Summary'!$L$23</f>
        <v>41</v>
      </c>
      <c r="AW91" s="10" t="n">
        <f aca="false">AW4-'Executive Summary'!$L$17-'Executive Summary'!$L$23</f>
        <v>42</v>
      </c>
      <c r="AX91" s="10" t="n">
        <f aca="false">AX4-'Executive Summary'!$L$17-'Executive Summary'!$L$23</f>
        <v>43</v>
      </c>
      <c r="AY91" s="10" t="n">
        <f aca="false">AY4-'Executive Summary'!$L$17-'Executive Summary'!$L$23</f>
        <v>44</v>
      </c>
      <c r="AZ91" s="10" t="n">
        <f aca="false">AZ4-'Executive Summary'!$L$17-'Executive Summary'!$L$23</f>
        <v>45</v>
      </c>
      <c r="BA91" s="10" t="n">
        <f aca="false">BA4-'Executive Summary'!$L$17-'Executive Summary'!$L$23</f>
        <v>46</v>
      </c>
      <c r="BB91" s="10" t="n">
        <f aca="false">BB4-'Executive Summary'!$L$17-'Executive Summary'!$L$23</f>
        <v>47</v>
      </c>
      <c r="BC91" s="10" t="n">
        <f aca="false">BC4-'Executive Summary'!$L$17-'Executive Summary'!$L$23</f>
        <v>48</v>
      </c>
      <c r="BD91" s="10" t="n">
        <f aca="false">BD4-'Executive Summary'!$L$17-'Executive Summary'!$L$23</f>
        <v>49</v>
      </c>
      <c r="BE91" s="10" t="n">
        <f aca="false">BE4-'Executive Summary'!$L$17-'Executive Summary'!$L$23</f>
        <v>50</v>
      </c>
      <c r="BF91" s="10" t="n">
        <f aca="false">BF4-'Executive Summary'!$L$17-'Executive Summary'!$L$23</f>
        <v>51</v>
      </c>
      <c r="BG91" s="10" t="n">
        <f aca="false">BG4-'Executive Summary'!$L$17-'Executive Summary'!$L$23</f>
        <v>52</v>
      </c>
      <c r="BH91" s="10" t="n">
        <f aca="false">BH4-'Executive Summary'!$L$17-'Executive Summary'!$L$23</f>
        <v>53</v>
      </c>
      <c r="BI91" s="10" t="n">
        <f aca="false">BI4-'Executive Summary'!$L$17-'Executive Summary'!$L$23</f>
        <v>54</v>
      </c>
      <c r="BJ91" s="10" t="n">
        <f aca="false">BJ4-'Executive Summary'!$L$17-'Executive Summary'!$L$23</f>
        <v>55</v>
      </c>
      <c r="BK91" s="10" t="n">
        <f aca="false">BK4-'Executive Summary'!$L$17-'Executive Summary'!$L$23</f>
        <v>56</v>
      </c>
      <c r="BL91" s="10" t="n">
        <f aca="false">BL4-'Executive Summary'!$L$17-'Executive Summary'!$L$23</f>
        <v>57</v>
      </c>
      <c r="BM91" s="10" t="n">
        <f aca="false">BM4-'Executive Summary'!$L$17-'Executive Summary'!$L$23</f>
        <v>58</v>
      </c>
      <c r="BN91" s="10" t="n">
        <f aca="false">BN4-'Executive Summary'!$L$17-'Executive Summary'!$L$23</f>
        <v>59</v>
      </c>
      <c r="BO91" s="10" t="n">
        <f aca="false">BO4-'Executive Summary'!$L$17-'Executive Summary'!$L$23</f>
        <v>60</v>
      </c>
      <c r="BP91" s="10" t="n">
        <f aca="false">BP4-'Executive Summary'!$L$17-'Executive Summary'!$L$23</f>
        <v>61</v>
      </c>
      <c r="BQ91" s="10" t="n">
        <f aca="false">BQ4-'Executive Summary'!$L$17-'Executive Summary'!$L$23</f>
        <v>62</v>
      </c>
      <c r="BR91" s="10" t="n">
        <f aca="false">BR4-'Executive Summary'!$L$17-'Executive Summary'!$L$23</f>
        <v>63</v>
      </c>
      <c r="BS91" s="10" t="n">
        <f aca="false">BS4-'Executive Summary'!$L$17-'Executive Summary'!$L$23</f>
        <v>64</v>
      </c>
      <c r="BT91" s="10" t="n">
        <f aca="false">BT4-'Executive Summary'!$L$17-'Executive Summary'!$L$23</f>
        <v>65</v>
      </c>
      <c r="BU91" s="10" t="n">
        <f aca="false">BU4-'Executive Summary'!$L$17-'Executive Summary'!$L$23</f>
        <v>66</v>
      </c>
      <c r="BV91" s="10" t="n">
        <f aca="false">BV4-'Executive Summary'!$L$17-'Executive Summary'!$L$23</f>
        <v>67</v>
      </c>
      <c r="BW91" s="10" t="n">
        <f aca="false">BW4-'Executive Summary'!$L$17-'Executive Summary'!$L$23</f>
        <v>68</v>
      </c>
      <c r="BX91" s="10" t="n">
        <f aca="false">BX4-'Executive Summary'!$L$17-'Executive Summary'!$L$23</f>
        <v>69</v>
      </c>
      <c r="BY91" s="10" t="n">
        <f aca="false">BY4-'Executive Summary'!$L$17-'Executive Summary'!$L$23</f>
        <v>70</v>
      </c>
      <c r="BZ91" s="10" t="n">
        <f aca="false">BZ4-'Executive Summary'!$L$17-'Executive Summary'!$L$23</f>
        <v>71</v>
      </c>
      <c r="CA91" s="10" t="n">
        <f aca="false">CA4-'Executive Summary'!$L$17-'Executive Summary'!$L$23</f>
        <v>72</v>
      </c>
      <c r="CB91" s="10" t="n">
        <f aca="false">CB4-'Executive Summary'!$L$17-'Executive Summary'!$L$23</f>
        <v>73</v>
      </c>
      <c r="CC91" s="10" t="n">
        <f aca="false">CC4-'Executive Summary'!$L$17-'Executive Summary'!$L$23</f>
        <v>74</v>
      </c>
      <c r="CD91" s="10" t="n">
        <f aca="false">CD4-'Executive Summary'!$L$17-'Executive Summary'!$L$23</f>
        <v>75</v>
      </c>
      <c r="CE91" s="10" t="n">
        <f aca="false">CE4-'Executive Summary'!$L$17-'Executive Summary'!$L$23</f>
        <v>76</v>
      </c>
      <c r="CF91" s="10" t="n">
        <f aca="false">CF4-'Executive Summary'!$L$17-'Executive Summary'!$L$23</f>
        <v>77</v>
      </c>
      <c r="CG91" s="10" t="n">
        <f aca="false">CG4-'Executive Summary'!$L$17-'Executive Summary'!$L$23</f>
        <v>78</v>
      </c>
      <c r="CH91" s="10" t="n">
        <f aca="false">CH4-'Executive Summary'!$L$17-'Executive Summary'!$L$23</f>
        <v>79</v>
      </c>
      <c r="CI91" s="10" t="n">
        <f aca="false">CI4-'Executive Summary'!$L$17-'Executive Summary'!$L$23</f>
        <v>80</v>
      </c>
      <c r="CJ91" s="10" t="n">
        <f aca="false">CJ4-'Executive Summary'!$L$17-'Executive Summary'!$L$23</f>
        <v>81</v>
      </c>
      <c r="CK91" s="10" t="n">
        <f aca="false">CK4-'Executive Summary'!$L$17-'Executive Summary'!$L$23</f>
        <v>82</v>
      </c>
      <c r="CL91" s="10" t="n">
        <f aca="false">CL4-'Executive Summary'!$L$17-'Executive Summary'!$L$23</f>
        <v>83</v>
      </c>
      <c r="CM91" s="10" t="n">
        <f aca="false">CM4-'Executive Summary'!$L$17-'Executive Summary'!$L$23</f>
        <v>84</v>
      </c>
      <c r="CN91" s="10" t="n">
        <f aca="false">CN4-'Executive Summary'!$L$17-'Executive Summary'!$L$23</f>
        <v>85</v>
      </c>
      <c r="CO91" s="10" t="n">
        <f aca="false">CO4-'Executive Summary'!$L$17-'Executive Summary'!$L$23</f>
        <v>86</v>
      </c>
      <c r="CP91" s="10" t="n">
        <f aca="false">CP4-'Executive Summary'!$L$17-'Executive Summary'!$L$23</f>
        <v>87</v>
      </c>
      <c r="CQ91" s="10" t="n">
        <f aca="false">CQ4-'Executive Summary'!$L$17-'Executive Summary'!$L$23</f>
        <v>88</v>
      </c>
      <c r="CR91" s="10" t="n">
        <f aca="false">CR4-'Executive Summary'!$L$17-'Executive Summary'!$L$23</f>
        <v>89</v>
      </c>
      <c r="CS91" s="10" t="n">
        <f aca="false">CS4-'Executive Summary'!$L$17-'Executive Summary'!$L$23</f>
        <v>90</v>
      </c>
      <c r="CT91" s="10" t="n">
        <f aca="false">CT4-'Executive Summary'!$L$17-'Executive Summary'!$L$23</f>
        <v>91</v>
      </c>
      <c r="CU91" s="10" t="n">
        <f aca="false">CU4-'Executive Summary'!$L$17-'Executive Summary'!$L$23</f>
        <v>92</v>
      </c>
      <c r="CV91" s="10" t="n">
        <f aca="false">CV4-'Executive Summary'!$L$17-'Executive Summary'!$L$23</f>
        <v>93</v>
      </c>
      <c r="CW91" s="10" t="n">
        <f aca="false">CW4-'Executive Summary'!$L$17-'Executive Summary'!$L$23</f>
        <v>94</v>
      </c>
      <c r="CX91" s="10" t="n">
        <f aca="false">CX4-'Executive Summary'!$L$17-'Executive Summary'!$L$23</f>
        <v>95</v>
      </c>
      <c r="CY91" s="10" t="n">
        <f aca="false">CY4-'Executive Summary'!$L$17-'Executive Summary'!$L$23</f>
        <v>96</v>
      </c>
      <c r="CZ91" s="10" t="n">
        <f aca="false">CZ4-'Executive Summary'!$L$17-'Executive Summary'!$L$23</f>
        <v>97</v>
      </c>
      <c r="DA91" s="10" t="n">
        <f aca="false">DA4-'Executive Summary'!$L$17-'Executive Summary'!$L$23</f>
        <v>98</v>
      </c>
      <c r="DB91" s="10" t="n">
        <f aca="false">DB4-'Executive Summary'!$L$17-'Executive Summary'!$L$23</f>
        <v>99</v>
      </c>
      <c r="DC91" s="10" t="n">
        <f aca="false">DC4-'Executive Summary'!$L$17-'Executive Summary'!$L$23</f>
        <v>100</v>
      </c>
      <c r="DD91" s="10" t="n">
        <f aca="false">DD4-'Executive Summary'!$L$17-'Executive Summary'!$L$23</f>
        <v>101</v>
      </c>
      <c r="DE91" s="10" t="n">
        <f aca="false">DE4-'Executive Summary'!$L$17-'Executive Summary'!$L$23</f>
        <v>102</v>
      </c>
      <c r="DF91" s="10" t="n">
        <f aca="false">DF4-'Executive Summary'!$L$17-'Executive Summary'!$L$23</f>
        <v>103</v>
      </c>
      <c r="DG91" s="10" t="n">
        <f aca="false">DG4-'Executive Summary'!$L$17-'Executive Summary'!$L$23</f>
        <v>104</v>
      </c>
      <c r="DH91" s="10" t="n">
        <f aca="false">DH4-'Executive Summary'!$L$17-'Executive Summary'!$L$23</f>
        <v>105</v>
      </c>
      <c r="DI91" s="10" t="n">
        <f aca="false">DI4-'Executive Summary'!$L$17-'Executive Summary'!$L$23</f>
        <v>106</v>
      </c>
      <c r="DJ91" s="10" t="n">
        <f aca="false">DJ4-'Executive Summary'!$L$17-'Executive Summary'!$L$23</f>
        <v>107</v>
      </c>
      <c r="DK91" s="10" t="n">
        <f aca="false">DK4-'Executive Summary'!$L$17-'Executive Summary'!$L$23</f>
        <v>108</v>
      </c>
      <c r="DL91" s="10" t="n">
        <f aca="false">DL4-'Executive Summary'!$L$17-'Executive Summary'!$L$23</f>
        <v>109</v>
      </c>
      <c r="DM91" s="10" t="n">
        <f aca="false">DM4-'Executive Summary'!$L$17-'Executive Summary'!$L$23</f>
        <v>110</v>
      </c>
      <c r="DN91" s="10" t="n">
        <f aca="false">DN4-'Executive Summary'!$L$17-'Executive Summary'!$L$23</f>
        <v>111</v>
      </c>
      <c r="DO91" s="10" t="n">
        <f aca="false">DO4-'Executive Summary'!$L$17-'Executive Summary'!$L$23</f>
        <v>112</v>
      </c>
      <c r="DP91" s="10" t="n">
        <f aca="false">DP4-'Executive Summary'!$L$17-'Executive Summary'!$L$23</f>
        <v>113</v>
      </c>
      <c r="DQ91" s="10" t="n">
        <f aca="false">DQ4-'Executive Summary'!$L$17-'Executive Summary'!$L$23</f>
        <v>114</v>
      </c>
      <c r="DR91" s="10" t="n">
        <f aca="false">DR4-'Executive Summary'!$L$17-'Executive Summary'!$L$23</f>
        <v>115</v>
      </c>
      <c r="DS91" s="10" t="n">
        <f aca="false">DS4-'Executive Summary'!$L$17-'Executive Summary'!$L$23</f>
        <v>116</v>
      </c>
      <c r="DT91" s="10" t="n">
        <f aca="false">DT4-'Executive Summary'!$L$17-'Executive Summary'!$L$23</f>
        <v>117</v>
      </c>
      <c r="DU91" s="10" t="n">
        <f aca="false">DU4-'Executive Summary'!$L$17-'Executive Summary'!$L$23</f>
        <v>118</v>
      </c>
      <c r="DV91" s="10" t="n">
        <f aca="false">DV4-'Executive Summary'!$L$17-'Executive Summary'!$L$23</f>
        <v>119</v>
      </c>
      <c r="DW91" s="10" t="n">
        <f aca="false">DW4-'Executive Summary'!$L$17-'Executive Summary'!$L$23</f>
        <v>120</v>
      </c>
      <c r="DX91" s="10" t="n">
        <f aca="false">DX4-'Executive Summary'!$L$17-'Executive Summary'!$L$23</f>
        <v>121</v>
      </c>
      <c r="DY91" s="10" t="n">
        <f aca="false">DY4-'Executive Summary'!$L$17-'Executive Summary'!$L$23</f>
        <v>122</v>
      </c>
      <c r="DZ91" s="10" t="n">
        <f aca="false">DZ4-'Executive Summary'!$L$17-'Executive Summary'!$L$23</f>
        <v>123</v>
      </c>
      <c r="EA91" s="10" t="n">
        <f aca="false">EA4-'Executive Summary'!$L$17-'Executive Summary'!$L$23</f>
        <v>124</v>
      </c>
      <c r="EB91" s="10" t="n">
        <f aca="false">EB4-'Executive Summary'!$L$17-'Executive Summary'!$L$23</f>
        <v>125</v>
      </c>
      <c r="EC91" s="10" t="n">
        <f aca="false">EC4-'Executive Summary'!$L$17-'Executive Summary'!$L$23</f>
        <v>126</v>
      </c>
      <c r="ED91" s="10" t="n">
        <f aca="false">ED4-'Executive Summary'!$L$17-'Executive Summary'!$L$23</f>
        <v>127</v>
      </c>
      <c r="EE91" s="10" t="n">
        <f aca="false">EE4-'Executive Summary'!$L$17-'Executive Summary'!$L$23</f>
        <v>128</v>
      </c>
      <c r="EF91" s="10" t="n">
        <f aca="false">EF4-'Executive Summary'!$L$17-'Executive Summary'!$L$23</f>
        <v>129</v>
      </c>
      <c r="EG91" s="10" t="n">
        <f aca="false">EG4-'Executive Summary'!$L$17-'Executive Summary'!$L$23</f>
        <v>130</v>
      </c>
      <c r="EH91" s="10" t="n">
        <f aca="false">EH4-'Executive Summary'!$L$17-'Executive Summary'!$L$23</f>
        <v>131</v>
      </c>
      <c r="EI91" s="588" t="n">
        <f aca="false">EI4-'Executive Summary'!$L$17-'Executive Summary'!$L$23</f>
        <v>132</v>
      </c>
      <c r="EK91" s="58"/>
      <c r="ET91" s="588"/>
    </row>
    <row r="92" s="522" customFormat="true" ht="13.5" hidden="false" customHeight="true" outlineLevel="1" collapsed="false">
      <c r="B92" s="559" t="s">
        <v>590</v>
      </c>
      <c r="C92" s="557"/>
      <c r="G92" s="522" t="n">
        <v>0</v>
      </c>
      <c r="H92" s="522" t="n">
        <f aca="false">G96</f>
        <v>0</v>
      </c>
      <c r="I92" s="522" t="n">
        <f aca="false">H96</f>
        <v>0</v>
      </c>
      <c r="J92" s="522" t="n">
        <f aca="false">I96</f>
        <v>0</v>
      </c>
      <c r="K92" s="522" t="n">
        <f aca="false">J96</f>
        <v>0</v>
      </c>
      <c r="L92" s="522" t="n">
        <f aca="false">K96</f>
        <v>0</v>
      </c>
      <c r="M92" s="522" t="n">
        <f aca="false">L96</f>
        <v>0</v>
      </c>
      <c r="N92" s="522" t="n">
        <f aca="false">M96</f>
        <v>0</v>
      </c>
      <c r="O92" s="522" t="n">
        <f aca="false">N96</f>
        <v>0</v>
      </c>
      <c r="P92" s="522" t="n">
        <f aca="false">O96</f>
        <v>0</v>
      </c>
      <c r="Q92" s="522" t="n">
        <f aca="false">P96</f>
        <v>0</v>
      </c>
      <c r="R92" s="522" t="n">
        <f aca="false">Q96</f>
        <v>0</v>
      </c>
      <c r="S92" s="522" t="n">
        <f aca="false">R96</f>
        <v>0</v>
      </c>
      <c r="T92" s="522" t="n">
        <f aca="false">S96</f>
        <v>0</v>
      </c>
      <c r="U92" s="522" t="n">
        <f aca="false">T96</f>
        <v>0</v>
      </c>
      <c r="V92" s="522" t="n">
        <f aca="false">U96</f>
        <v>0</v>
      </c>
      <c r="W92" s="522" t="n">
        <f aca="false">V96</f>
        <v>0</v>
      </c>
      <c r="X92" s="522" t="n">
        <f aca="false">W96</f>
        <v>0</v>
      </c>
      <c r="Y92" s="522" t="n">
        <f aca="false">X96</f>
        <v>0</v>
      </c>
      <c r="Z92" s="522" t="n">
        <f aca="false">Y96</f>
        <v>0</v>
      </c>
      <c r="AA92" s="522" t="n">
        <f aca="false">Z96</f>
        <v>0</v>
      </c>
      <c r="AB92" s="522" t="n">
        <f aca="false">AA96</f>
        <v>0</v>
      </c>
      <c r="AC92" s="522" t="n">
        <f aca="false">AB96</f>
        <v>0</v>
      </c>
      <c r="AD92" s="522" t="n">
        <f aca="false">AC96</f>
        <v>0</v>
      </c>
      <c r="AE92" s="522" t="n">
        <f aca="false">AD96</f>
        <v>0</v>
      </c>
      <c r="AF92" s="522" t="n">
        <f aca="false">AE96</f>
        <v>0</v>
      </c>
      <c r="AG92" s="522" t="n">
        <f aca="false">AF96</f>
        <v>0</v>
      </c>
      <c r="AH92" s="522" t="n">
        <f aca="false">AG96</f>
        <v>0</v>
      </c>
      <c r="AI92" s="522" t="n">
        <f aca="false">AH96</f>
        <v>0</v>
      </c>
      <c r="AJ92" s="522" t="n">
        <f aca="false">AI96</f>
        <v>0</v>
      </c>
      <c r="AK92" s="522" t="n">
        <f aca="false">AJ96</f>
        <v>0</v>
      </c>
      <c r="AL92" s="522" t="n">
        <f aca="false">AK96</f>
        <v>0</v>
      </c>
      <c r="AM92" s="522" t="n">
        <f aca="false">AL96</f>
        <v>0</v>
      </c>
      <c r="AN92" s="522" t="n">
        <f aca="false">AM96</f>
        <v>0</v>
      </c>
      <c r="AO92" s="522" t="n">
        <f aca="false">AN96</f>
        <v>0</v>
      </c>
      <c r="AP92" s="522" t="n">
        <f aca="false">AO96</f>
        <v>0</v>
      </c>
      <c r="AQ92" s="522" t="n">
        <f aca="false">AP96</f>
        <v>0</v>
      </c>
      <c r="AR92" s="522" t="n">
        <f aca="false">AQ96</f>
        <v>0</v>
      </c>
      <c r="AS92" s="522" t="n">
        <f aca="false">AR96</f>
        <v>0</v>
      </c>
      <c r="AT92" s="522" t="n">
        <f aca="false">AS96</f>
        <v>0</v>
      </c>
      <c r="AU92" s="522" t="n">
        <f aca="false">AT96</f>
        <v>0</v>
      </c>
      <c r="AV92" s="522" t="n">
        <f aca="false">AU96</f>
        <v>0</v>
      </c>
      <c r="AW92" s="522" t="n">
        <f aca="false">AV96</f>
        <v>0</v>
      </c>
      <c r="AX92" s="522" t="n">
        <f aca="false">AW96</f>
        <v>0</v>
      </c>
      <c r="AY92" s="522" t="n">
        <f aca="false">AX96</f>
        <v>0</v>
      </c>
      <c r="AZ92" s="522" t="n">
        <f aca="false">AY96</f>
        <v>0</v>
      </c>
      <c r="BA92" s="522" t="n">
        <f aca="false">AZ96</f>
        <v>0</v>
      </c>
      <c r="BB92" s="522" t="n">
        <f aca="false">BA96</f>
        <v>0</v>
      </c>
      <c r="BC92" s="522" t="n">
        <f aca="false">BB96</f>
        <v>0</v>
      </c>
      <c r="BD92" s="522" t="n">
        <f aca="false">BC96</f>
        <v>0</v>
      </c>
      <c r="BE92" s="522" t="n">
        <f aca="false">BD96</f>
        <v>0</v>
      </c>
      <c r="BF92" s="522" t="n">
        <f aca="false">BE96</f>
        <v>0</v>
      </c>
      <c r="BG92" s="522" t="n">
        <f aca="false">BF96</f>
        <v>0</v>
      </c>
      <c r="BH92" s="522" t="n">
        <f aca="false">BG96</f>
        <v>0</v>
      </c>
      <c r="BI92" s="522" t="n">
        <f aca="false">BH96</f>
        <v>0</v>
      </c>
      <c r="BJ92" s="522" t="n">
        <f aca="false">BI96</f>
        <v>0</v>
      </c>
      <c r="BK92" s="522" t="n">
        <f aca="false">BJ96</f>
        <v>0</v>
      </c>
      <c r="BL92" s="522" t="n">
        <f aca="false">BK96</f>
        <v>0</v>
      </c>
      <c r="BM92" s="522" t="n">
        <f aca="false">BL96</f>
        <v>0</v>
      </c>
      <c r="BN92" s="522" t="n">
        <f aca="false">BM96</f>
        <v>0</v>
      </c>
      <c r="BO92" s="522" t="n">
        <f aca="false">BN96</f>
        <v>0</v>
      </c>
      <c r="BP92" s="522" t="n">
        <f aca="false">BO96</f>
        <v>0</v>
      </c>
      <c r="BQ92" s="522" t="n">
        <f aca="false">BP96</f>
        <v>0</v>
      </c>
      <c r="BR92" s="522" t="n">
        <f aca="false">BQ96</f>
        <v>0</v>
      </c>
      <c r="BS92" s="522" t="n">
        <f aca="false">BR96</f>
        <v>0</v>
      </c>
      <c r="BT92" s="522" t="n">
        <f aca="false">BS96</f>
        <v>0</v>
      </c>
      <c r="BU92" s="522" t="n">
        <f aca="false">BT96</f>
        <v>0</v>
      </c>
      <c r="BV92" s="522" t="n">
        <f aca="false">BU96</f>
        <v>0</v>
      </c>
      <c r="BW92" s="522" t="n">
        <f aca="false">BV96</f>
        <v>0</v>
      </c>
      <c r="BX92" s="522" t="n">
        <f aca="false">BW96</f>
        <v>0</v>
      </c>
      <c r="BY92" s="522" t="n">
        <f aca="false">BX96</f>
        <v>0</v>
      </c>
      <c r="BZ92" s="522" t="n">
        <f aca="false">BY96</f>
        <v>0</v>
      </c>
      <c r="CA92" s="522" t="n">
        <f aca="false">BZ96</f>
        <v>0</v>
      </c>
      <c r="CB92" s="522" t="n">
        <f aca="false">CA96</f>
        <v>0</v>
      </c>
      <c r="CC92" s="522" t="n">
        <f aca="false">CB96</f>
        <v>0</v>
      </c>
      <c r="CD92" s="522" t="n">
        <f aca="false">CC96</f>
        <v>0</v>
      </c>
      <c r="CE92" s="522" t="n">
        <f aca="false">CD96</f>
        <v>0</v>
      </c>
      <c r="CF92" s="522" t="n">
        <f aca="false">CE96</f>
        <v>0</v>
      </c>
      <c r="CG92" s="522" t="n">
        <f aca="false">CF96</f>
        <v>0</v>
      </c>
      <c r="CH92" s="522" t="n">
        <f aca="false">CG96</f>
        <v>0</v>
      </c>
      <c r="CI92" s="522" t="n">
        <f aca="false">CH96</f>
        <v>0</v>
      </c>
      <c r="CJ92" s="522" t="n">
        <f aca="false">CI96</f>
        <v>0</v>
      </c>
      <c r="CK92" s="522" t="n">
        <f aca="false">CJ96</f>
        <v>0</v>
      </c>
      <c r="CL92" s="522" t="n">
        <f aca="false">CK96</f>
        <v>0</v>
      </c>
      <c r="CM92" s="522" t="n">
        <f aca="false">CL96</f>
        <v>0</v>
      </c>
      <c r="CN92" s="522" t="n">
        <f aca="false">CM96</f>
        <v>0</v>
      </c>
      <c r="CO92" s="522" t="n">
        <f aca="false">CN96</f>
        <v>0</v>
      </c>
      <c r="CP92" s="522" t="n">
        <f aca="false">CO96</f>
        <v>0</v>
      </c>
      <c r="CQ92" s="522" t="n">
        <f aca="false">CP96</f>
        <v>0</v>
      </c>
      <c r="CR92" s="522" t="n">
        <f aca="false">CQ96</f>
        <v>0</v>
      </c>
      <c r="CS92" s="522" t="n">
        <f aca="false">CR96</f>
        <v>0</v>
      </c>
      <c r="CT92" s="522" t="n">
        <f aca="false">CS96</f>
        <v>0</v>
      </c>
      <c r="CU92" s="522" t="n">
        <f aca="false">CT96</f>
        <v>0</v>
      </c>
      <c r="CV92" s="522" t="n">
        <f aca="false">CU96</f>
        <v>0</v>
      </c>
      <c r="CW92" s="522" t="n">
        <f aca="false">CV96</f>
        <v>0</v>
      </c>
      <c r="CX92" s="522" t="n">
        <f aca="false">CW96</f>
        <v>0</v>
      </c>
      <c r="CY92" s="522" t="n">
        <f aca="false">CX96</f>
        <v>0</v>
      </c>
      <c r="CZ92" s="522" t="n">
        <f aca="false">CY96</f>
        <v>0</v>
      </c>
      <c r="DA92" s="522" t="n">
        <f aca="false">CZ96</f>
        <v>0</v>
      </c>
      <c r="DB92" s="522" t="n">
        <f aca="false">DA96</f>
        <v>0</v>
      </c>
      <c r="DC92" s="522" t="n">
        <f aca="false">DB96</f>
        <v>0</v>
      </c>
      <c r="DD92" s="522" t="n">
        <f aca="false">DC96</f>
        <v>0</v>
      </c>
      <c r="DE92" s="522" t="n">
        <f aca="false">DD96</f>
        <v>0</v>
      </c>
      <c r="DF92" s="522" t="n">
        <f aca="false">DE96</f>
        <v>0</v>
      </c>
      <c r="DG92" s="522" t="n">
        <f aca="false">DF96</f>
        <v>0</v>
      </c>
      <c r="DH92" s="522" t="n">
        <f aca="false">DG96</f>
        <v>0</v>
      </c>
      <c r="DI92" s="522" t="n">
        <f aca="false">DH96</f>
        <v>0</v>
      </c>
      <c r="DJ92" s="522" t="n">
        <f aca="false">DI96</f>
        <v>0</v>
      </c>
      <c r="DK92" s="522" t="n">
        <f aca="false">DJ96</f>
        <v>0</v>
      </c>
      <c r="DL92" s="522" t="n">
        <f aca="false">DK96</f>
        <v>0</v>
      </c>
      <c r="DM92" s="522" t="n">
        <f aca="false">DL96</f>
        <v>0</v>
      </c>
      <c r="DN92" s="522" t="n">
        <f aca="false">DM96</f>
        <v>0</v>
      </c>
      <c r="DO92" s="522" t="n">
        <f aca="false">DN96</f>
        <v>0</v>
      </c>
      <c r="DP92" s="522" t="n">
        <f aca="false">DO96</f>
        <v>0</v>
      </c>
      <c r="DQ92" s="522" t="n">
        <f aca="false">DP96</f>
        <v>0</v>
      </c>
      <c r="DR92" s="522" t="n">
        <f aca="false">DQ96</f>
        <v>0</v>
      </c>
      <c r="DS92" s="522" t="n">
        <f aca="false">DR96</f>
        <v>0</v>
      </c>
      <c r="DT92" s="522" t="n">
        <f aca="false">DS96</f>
        <v>0</v>
      </c>
      <c r="DU92" s="522" t="n">
        <f aca="false">DT96</f>
        <v>0</v>
      </c>
      <c r="DV92" s="522" t="n">
        <f aca="false">DU96</f>
        <v>0</v>
      </c>
      <c r="DW92" s="522" t="n">
        <f aca="false">DV96</f>
        <v>0</v>
      </c>
      <c r="DX92" s="522" t="n">
        <f aca="false">DW96</f>
        <v>0</v>
      </c>
      <c r="DY92" s="522" t="n">
        <f aca="false">DX96</f>
        <v>0</v>
      </c>
      <c r="DZ92" s="522" t="n">
        <f aca="false">DY96</f>
        <v>0</v>
      </c>
      <c r="EA92" s="522" t="n">
        <f aca="false">DZ96</f>
        <v>0</v>
      </c>
      <c r="EB92" s="522" t="n">
        <f aca="false">EA96</f>
        <v>0</v>
      </c>
      <c r="EC92" s="522" t="n">
        <f aca="false">EB96</f>
        <v>0</v>
      </c>
      <c r="ED92" s="522" t="n">
        <f aca="false">EC96</f>
        <v>0</v>
      </c>
      <c r="EE92" s="522" t="n">
        <f aca="false">ED96</f>
        <v>0</v>
      </c>
      <c r="EF92" s="522" t="n">
        <f aca="false">EE96</f>
        <v>0</v>
      </c>
      <c r="EG92" s="522" t="n">
        <f aca="false">EF96</f>
        <v>0</v>
      </c>
      <c r="EH92" s="522" t="n">
        <f aca="false">EG96</f>
        <v>0</v>
      </c>
      <c r="EI92" s="558" t="n">
        <f aca="false">EH96</f>
        <v>0</v>
      </c>
      <c r="EK92" s="559" t="n">
        <f aca="false">SUMIF($G$3:$EI$3,EK$24,$G92:$EI92)</f>
        <v>0</v>
      </c>
      <c r="EL92" s="522" t="n">
        <f aca="false">SUMIF($G$3:$EI$3,EL$24,$G92:$EI92)</f>
        <v>0</v>
      </c>
      <c r="EM92" s="522" t="n">
        <f aca="false">SUMIF($G$3:$EI$3,EM$24,$G92:$EI92)</f>
        <v>0</v>
      </c>
      <c r="EN92" s="522" t="n">
        <f aca="false">SUMIF($G$3:$EI$3,EN$24,$G92:$EI92)</f>
        <v>0</v>
      </c>
      <c r="EO92" s="522" t="n">
        <f aca="false">SUMIF($G$3:$EI$3,EO$24,$G92:$EI92)</f>
        <v>0</v>
      </c>
      <c r="EP92" s="522" t="n">
        <f aca="false">SUMIF($G$3:$EI$3,EP$24,$G92:$EI92)</f>
        <v>0</v>
      </c>
      <c r="EQ92" s="522" t="n">
        <f aca="false">SUMIF($G$3:$EI$3,EQ$24,$G92:$EI92)</f>
        <v>0</v>
      </c>
      <c r="ER92" s="522" t="n">
        <f aca="false">SUMIF($G$3:$EI$3,ER$24,$G92:$EI92)</f>
        <v>0</v>
      </c>
      <c r="ES92" s="522" t="n">
        <f aca="false">SUMIF($G$3:$EI$3,ES$24,$G92:$EI92)</f>
        <v>0</v>
      </c>
      <c r="ET92" s="558" t="n">
        <f aca="false">SUMIF($G$3:$EI$3,ET$24,$G92:$EI92)</f>
        <v>0</v>
      </c>
    </row>
    <row r="93" s="522" customFormat="true" ht="13.5" hidden="false" customHeight="true" outlineLevel="1" collapsed="false">
      <c r="B93" s="559" t="s">
        <v>591</v>
      </c>
      <c r="C93" s="557"/>
      <c r="G93" s="522" t="n">
        <f aca="false">$E$90*(G4='Executive Summary'!$L$17)</f>
        <v>0</v>
      </c>
      <c r="H93" s="522" t="n">
        <f aca="false">$E$90*(H4='Executive Summary'!$L$17)</f>
        <v>0</v>
      </c>
      <c r="I93" s="522" t="n">
        <f aca="false">$E$90*(I4='Executive Summary'!$L$17)</f>
        <v>0</v>
      </c>
      <c r="J93" s="522" t="n">
        <f aca="false">$E$90*(J4='Executive Summary'!$L$17)</f>
        <v>0</v>
      </c>
      <c r="K93" s="522" t="n">
        <f aca="false">$E$90*(K4='Executive Summary'!$L$17)</f>
        <v>0</v>
      </c>
      <c r="L93" s="522" t="n">
        <f aca="false">$E$90*(L4='Executive Summary'!$L$17)</f>
        <v>0</v>
      </c>
      <c r="M93" s="522" t="n">
        <f aca="false">$E$90*(M4='Executive Summary'!$L$17)</f>
        <v>0</v>
      </c>
      <c r="N93" s="522" t="n">
        <f aca="false">$E$90*(N4='Executive Summary'!$L$17)</f>
        <v>0</v>
      </c>
      <c r="O93" s="522" t="n">
        <f aca="false">$E$90*(O4='Executive Summary'!$L$17)</f>
        <v>0</v>
      </c>
      <c r="P93" s="522" t="n">
        <f aca="false">$E$90*(P4='Executive Summary'!$L$17)</f>
        <v>0</v>
      </c>
      <c r="Q93" s="522" t="n">
        <f aca="false">$E$90*(Q4='Executive Summary'!$L$17)</f>
        <v>0</v>
      </c>
      <c r="R93" s="522" t="n">
        <f aca="false">$E$90*(R4='Executive Summary'!$L$17)</f>
        <v>0</v>
      </c>
      <c r="S93" s="522" t="n">
        <f aca="false">$E$90*(S4='Executive Summary'!$L$17)</f>
        <v>0</v>
      </c>
      <c r="T93" s="522" t="n">
        <f aca="false">$E$90*(T4='Executive Summary'!$L$17)</f>
        <v>0</v>
      </c>
      <c r="U93" s="522" t="n">
        <f aca="false">$E$90*(U4='Executive Summary'!$L$17)</f>
        <v>0</v>
      </c>
      <c r="V93" s="522" t="n">
        <f aca="false">$E$90*(V4='Executive Summary'!$L$17)</f>
        <v>0</v>
      </c>
      <c r="W93" s="522" t="n">
        <f aca="false">$E$90*(W4='Executive Summary'!$L$17)</f>
        <v>0</v>
      </c>
      <c r="X93" s="522" t="n">
        <f aca="false">$E$90*(X4='Executive Summary'!$L$17)</f>
        <v>0</v>
      </c>
      <c r="Y93" s="522" t="n">
        <f aca="false">$E$90*(Y4='Executive Summary'!$L$17)</f>
        <v>0</v>
      </c>
      <c r="Z93" s="522" t="n">
        <f aca="false">$E$90*(Z4='Executive Summary'!$L$17)</f>
        <v>0</v>
      </c>
      <c r="AA93" s="522" t="n">
        <f aca="false">$E$90*(AA4='Executive Summary'!$L$17)</f>
        <v>0</v>
      </c>
      <c r="AB93" s="522" t="n">
        <f aca="false">$E$90*(AB4='Executive Summary'!$L$17)</f>
        <v>0</v>
      </c>
      <c r="AC93" s="522" t="n">
        <f aca="false">$E$90*(AC4='Executive Summary'!$L$17)</f>
        <v>0</v>
      </c>
      <c r="AD93" s="522" t="n">
        <f aca="false">$E$90*(AD4='Executive Summary'!$L$17)</f>
        <v>0</v>
      </c>
      <c r="AE93" s="522" t="n">
        <f aca="false">$E$90*(AE4='Executive Summary'!$L$17)</f>
        <v>0</v>
      </c>
      <c r="AF93" s="522" t="n">
        <f aca="false">$E$90*(AF4='Executive Summary'!$L$17)</f>
        <v>0</v>
      </c>
      <c r="AG93" s="522" t="n">
        <f aca="false">$E$90*(AG4='Executive Summary'!$L$17)</f>
        <v>0</v>
      </c>
      <c r="AH93" s="522" t="n">
        <f aca="false">$E$90*(AH4='Executive Summary'!$L$17)</f>
        <v>0</v>
      </c>
      <c r="AI93" s="522" t="n">
        <f aca="false">$E$90*(AI4='Executive Summary'!$L$17)</f>
        <v>0</v>
      </c>
      <c r="AJ93" s="522" t="n">
        <f aca="false">$E$90*(AJ4='Executive Summary'!$L$17)</f>
        <v>0</v>
      </c>
      <c r="AK93" s="522" t="n">
        <f aca="false">$E$90*(AK4='Executive Summary'!$L$17)</f>
        <v>0</v>
      </c>
      <c r="AL93" s="522" t="n">
        <f aca="false">$E$90*(AL4='Executive Summary'!$L$17)</f>
        <v>0</v>
      </c>
      <c r="AM93" s="522" t="n">
        <f aca="false">$E$90*(AM4='Executive Summary'!$L$17)</f>
        <v>0</v>
      </c>
      <c r="AN93" s="522" t="n">
        <f aca="false">$E$90*(AN4='Executive Summary'!$L$17)</f>
        <v>0</v>
      </c>
      <c r="AO93" s="522" t="n">
        <f aca="false">$E$90*(AO4='Executive Summary'!$L$17)</f>
        <v>0</v>
      </c>
      <c r="AP93" s="522" t="n">
        <f aca="false">$E$90*(AP4='Executive Summary'!$L$17)</f>
        <v>0</v>
      </c>
      <c r="AQ93" s="522" t="n">
        <f aca="false">$E$90*(AQ4='Executive Summary'!$L$17)</f>
        <v>0</v>
      </c>
      <c r="AR93" s="522" t="n">
        <f aca="false">$E$90*(AR4='Executive Summary'!$L$17)</f>
        <v>0</v>
      </c>
      <c r="AS93" s="522" t="n">
        <f aca="false">$E$90*(AS4='Executive Summary'!$L$17)</f>
        <v>0</v>
      </c>
      <c r="AT93" s="522" t="n">
        <f aca="false">$E$90*(AT4='Executive Summary'!$L$17)</f>
        <v>0</v>
      </c>
      <c r="AU93" s="522" t="n">
        <f aca="false">$E$90*(AU4='Executive Summary'!$L$17)</f>
        <v>0</v>
      </c>
      <c r="AV93" s="522" t="n">
        <f aca="false">$E$90*(AV4='Executive Summary'!$L$17)</f>
        <v>0</v>
      </c>
      <c r="AW93" s="522" t="n">
        <f aca="false">$E$90*(AW4='Executive Summary'!$L$17)</f>
        <v>0</v>
      </c>
      <c r="AX93" s="522" t="n">
        <f aca="false">$E$90*(AX4='Executive Summary'!$L$17)</f>
        <v>0</v>
      </c>
      <c r="AY93" s="522" t="n">
        <f aca="false">$E$90*(AY4='Executive Summary'!$L$17)</f>
        <v>0</v>
      </c>
      <c r="AZ93" s="522" t="n">
        <f aca="false">$E$90*(AZ4='Executive Summary'!$L$17)</f>
        <v>0</v>
      </c>
      <c r="BA93" s="522" t="n">
        <f aca="false">$E$90*(BA4='Executive Summary'!$L$17)</f>
        <v>0</v>
      </c>
      <c r="BB93" s="522" t="n">
        <f aca="false">$E$90*(BB4='Executive Summary'!$L$17)</f>
        <v>0</v>
      </c>
      <c r="BC93" s="522" t="n">
        <f aca="false">$E$90*(BC4='Executive Summary'!$L$17)</f>
        <v>0</v>
      </c>
      <c r="BD93" s="522" t="n">
        <f aca="false">$E$90*(BD4='Executive Summary'!$L$17)</f>
        <v>0</v>
      </c>
      <c r="BE93" s="522" t="n">
        <f aca="false">$E$90*(BE4='Executive Summary'!$L$17)</f>
        <v>0</v>
      </c>
      <c r="BF93" s="522" t="n">
        <f aca="false">$E$90*(BF4='Executive Summary'!$L$17)</f>
        <v>0</v>
      </c>
      <c r="BG93" s="522" t="n">
        <f aca="false">$E$90*(BG4='Executive Summary'!$L$17)</f>
        <v>0</v>
      </c>
      <c r="BH93" s="522" t="n">
        <f aca="false">$E$90*(BH4='Executive Summary'!$L$17)</f>
        <v>0</v>
      </c>
      <c r="BI93" s="522" t="n">
        <f aca="false">$E$90*(BI4='Executive Summary'!$L$17)</f>
        <v>0</v>
      </c>
      <c r="BJ93" s="522" t="n">
        <f aca="false">$E$90*(BJ4='Executive Summary'!$L$17)</f>
        <v>0</v>
      </c>
      <c r="BK93" s="522" t="n">
        <f aca="false">$E$90*(BK4='Executive Summary'!$L$17)</f>
        <v>0</v>
      </c>
      <c r="BL93" s="522" t="n">
        <f aca="false">$E$90*(BL4='Executive Summary'!$L$17)</f>
        <v>0</v>
      </c>
      <c r="BM93" s="522" t="n">
        <f aca="false">$E$90*(BM4='Executive Summary'!$L$17)</f>
        <v>0</v>
      </c>
      <c r="BN93" s="522" t="n">
        <f aca="false">$E$90*(BN4='Executive Summary'!$L$17)</f>
        <v>0</v>
      </c>
      <c r="BO93" s="522" t="n">
        <f aca="false">$E$90*(BO4='Executive Summary'!$L$17)</f>
        <v>0</v>
      </c>
      <c r="BP93" s="522" t="n">
        <f aca="false">$E$90*(BP4='Executive Summary'!$L$17)</f>
        <v>0</v>
      </c>
      <c r="BQ93" s="522" t="n">
        <f aca="false">$E$90*(BQ4='Executive Summary'!$L$17)</f>
        <v>0</v>
      </c>
      <c r="BR93" s="522" t="n">
        <f aca="false">$E$90*(BR4='Executive Summary'!$L$17)</f>
        <v>0</v>
      </c>
      <c r="BS93" s="522" t="n">
        <f aca="false">$E$90*(BS4='Executive Summary'!$L$17)</f>
        <v>0</v>
      </c>
      <c r="BT93" s="522" t="n">
        <f aca="false">$E$90*(BT4='Executive Summary'!$L$17)</f>
        <v>0</v>
      </c>
      <c r="BU93" s="522" t="n">
        <f aca="false">$E$90*(BU4='Executive Summary'!$L$17)</f>
        <v>0</v>
      </c>
      <c r="BV93" s="522" t="n">
        <f aca="false">$E$90*(BV4='Executive Summary'!$L$17)</f>
        <v>0</v>
      </c>
      <c r="BW93" s="522" t="n">
        <f aca="false">$E$90*(BW4='Executive Summary'!$L$17)</f>
        <v>0</v>
      </c>
      <c r="BX93" s="522" t="n">
        <f aca="false">$E$90*(BX4='Executive Summary'!$L$17)</f>
        <v>0</v>
      </c>
      <c r="BY93" s="522" t="n">
        <f aca="false">$E$90*(BY4='Executive Summary'!$L$17)</f>
        <v>0</v>
      </c>
      <c r="BZ93" s="522" t="n">
        <f aca="false">$E$90*(BZ4='Executive Summary'!$L$17)</f>
        <v>0</v>
      </c>
      <c r="CA93" s="522" t="n">
        <f aca="false">$E$90*(CA4='Executive Summary'!$L$17)</f>
        <v>0</v>
      </c>
      <c r="CB93" s="522" t="n">
        <f aca="false">$E$90*(CB4='Executive Summary'!$L$17)</f>
        <v>0</v>
      </c>
      <c r="CC93" s="522" t="n">
        <f aca="false">$E$90*(CC4='Executive Summary'!$L$17)</f>
        <v>0</v>
      </c>
      <c r="CD93" s="522" t="n">
        <f aca="false">$E$90*(CD4='Executive Summary'!$L$17)</f>
        <v>0</v>
      </c>
      <c r="CE93" s="522" t="n">
        <f aca="false">$E$90*(CE4='Executive Summary'!$L$17)</f>
        <v>0</v>
      </c>
      <c r="CF93" s="522" t="n">
        <f aca="false">$E$90*(CF4='Executive Summary'!$L$17)</f>
        <v>0</v>
      </c>
      <c r="CG93" s="522" t="n">
        <f aca="false">$E$90*(CG4='Executive Summary'!$L$17)</f>
        <v>0</v>
      </c>
      <c r="CH93" s="522" t="n">
        <f aca="false">$E$90*(CH4='Executive Summary'!$L$17)</f>
        <v>0</v>
      </c>
      <c r="CI93" s="522" t="n">
        <f aca="false">$E$90*(CI4='Executive Summary'!$L$17)</f>
        <v>0</v>
      </c>
      <c r="CJ93" s="522" t="n">
        <f aca="false">$E$90*(CJ4='Executive Summary'!$L$17)</f>
        <v>0</v>
      </c>
      <c r="CK93" s="522" t="n">
        <f aca="false">$E$90*(CK4='Executive Summary'!$L$17)</f>
        <v>0</v>
      </c>
      <c r="CL93" s="522" t="n">
        <f aca="false">$E$90*(CL4='Executive Summary'!$L$17)</f>
        <v>0</v>
      </c>
      <c r="CM93" s="522" t="n">
        <f aca="false">$E$90*(CM4='Executive Summary'!$L$17)</f>
        <v>0</v>
      </c>
      <c r="CN93" s="522" t="n">
        <f aca="false">$E$90*(CN4='Executive Summary'!$L$17)</f>
        <v>0</v>
      </c>
      <c r="CO93" s="522" t="n">
        <f aca="false">$E$90*(CO4='Executive Summary'!$L$17)</f>
        <v>0</v>
      </c>
      <c r="CP93" s="522" t="n">
        <f aca="false">$E$90*(CP4='Executive Summary'!$L$17)</f>
        <v>0</v>
      </c>
      <c r="CQ93" s="522" t="n">
        <f aca="false">$E$90*(CQ4='Executive Summary'!$L$17)</f>
        <v>0</v>
      </c>
      <c r="CR93" s="522" t="n">
        <f aca="false">$E$90*(CR4='Executive Summary'!$L$17)</f>
        <v>0</v>
      </c>
      <c r="CS93" s="522" t="n">
        <f aca="false">$E$90*(CS4='Executive Summary'!$L$17)</f>
        <v>0</v>
      </c>
      <c r="CT93" s="522" t="n">
        <f aca="false">$E$90*(CT4='Executive Summary'!$L$17)</f>
        <v>0</v>
      </c>
      <c r="CU93" s="522" t="n">
        <f aca="false">$E$90*(CU4='Executive Summary'!$L$17)</f>
        <v>0</v>
      </c>
      <c r="CV93" s="522" t="n">
        <f aca="false">$E$90*(CV4='Executive Summary'!$L$17)</f>
        <v>0</v>
      </c>
      <c r="CW93" s="522" t="n">
        <f aca="false">$E$90*(CW4='Executive Summary'!$L$17)</f>
        <v>0</v>
      </c>
      <c r="CX93" s="522" t="n">
        <f aca="false">$E$90*(CX4='Executive Summary'!$L$17)</f>
        <v>0</v>
      </c>
      <c r="CY93" s="522" t="n">
        <f aca="false">$E$90*(CY4='Executive Summary'!$L$17)</f>
        <v>0</v>
      </c>
      <c r="CZ93" s="522" t="n">
        <f aca="false">$E$90*(CZ4='Executive Summary'!$L$17)</f>
        <v>0</v>
      </c>
      <c r="DA93" s="522" t="n">
        <f aca="false">$E$90*(DA4='Executive Summary'!$L$17)</f>
        <v>0</v>
      </c>
      <c r="DB93" s="522" t="n">
        <f aca="false">$E$90*(DB4='Executive Summary'!$L$17)</f>
        <v>0</v>
      </c>
      <c r="DC93" s="522" t="n">
        <f aca="false">$E$90*(DC4='Executive Summary'!$L$17)</f>
        <v>0</v>
      </c>
      <c r="DD93" s="522" t="n">
        <f aca="false">$E$90*(DD4='Executive Summary'!$L$17)</f>
        <v>0</v>
      </c>
      <c r="DE93" s="522" t="n">
        <f aca="false">$E$90*(DE4='Executive Summary'!$L$17)</f>
        <v>0</v>
      </c>
      <c r="DF93" s="522" t="n">
        <f aca="false">$E$90*(DF4='Executive Summary'!$L$17)</f>
        <v>0</v>
      </c>
      <c r="DG93" s="522" t="n">
        <f aca="false">$E$90*(DG4='Executive Summary'!$L$17)</f>
        <v>0</v>
      </c>
      <c r="DH93" s="522" t="n">
        <f aca="false">$E$90*(DH4='Executive Summary'!$L$17)</f>
        <v>0</v>
      </c>
      <c r="DI93" s="522" t="n">
        <f aca="false">$E$90*(DI4='Executive Summary'!$L$17)</f>
        <v>0</v>
      </c>
      <c r="DJ93" s="522" t="n">
        <f aca="false">$E$90*(DJ4='Executive Summary'!$L$17)</f>
        <v>0</v>
      </c>
      <c r="DK93" s="522" t="n">
        <f aca="false">$E$90*(DK4='Executive Summary'!$L$17)</f>
        <v>0</v>
      </c>
      <c r="DL93" s="522" t="n">
        <f aca="false">$E$90*(DL4='Executive Summary'!$L$17)</f>
        <v>0</v>
      </c>
      <c r="DM93" s="522" t="n">
        <f aca="false">$E$90*(DM4='Executive Summary'!$L$17)</f>
        <v>0</v>
      </c>
      <c r="DN93" s="522" t="n">
        <f aca="false">$E$90*(DN4='Executive Summary'!$L$17)</f>
        <v>0</v>
      </c>
      <c r="DO93" s="522" t="n">
        <f aca="false">$E$90*(DO4='Executive Summary'!$L$17)</f>
        <v>0</v>
      </c>
      <c r="DP93" s="522" t="n">
        <f aca="false">$E$90*(DP4='Executive Summary'!$L$17)</f>
        <v>0</v>
      </c>
      <c r="DQ93" s="522" t="n">
        <f aca="false">$E$90*(DQ4='Executive Summary'!$L$17)</f>
        <v>0</v>
      </c>
      <c r="DR93" s="522" t="n">
        <f aca="false">$E$90*(DR4='Executive Summary'!$L$17)</f>
        <v>0</v>
      </c>
      <c r="DS93" s="522" t="n">
        <f aca="false">$E$90*(DS4='Executive Summary'!$L$17)</f>
        <v>0</v>
      </c>
      <c r="DT93" s="522" t="n">
        <f aca="false">$E$90*(DT4='Executive Summary'!$L$17)</f>
        <v>0</v>
      </c>
      <c r="DU93" s="522" t="n">
        <f aca="false">$E$90*(DU4='Executive Summary'!$L$17)</f>
        <v>0</v>
      </c>
      <c r="DV93" s="522" t="n">
        <f aca="false">$E$90*(DV4='Executive Summary'!$L$17)</f>
        <v>0</v>
      </c>
      <c r="DW93" s="522" t="n">
        <f aca="false">$E$90*(DW4='Executive Summary'!$L$17)</f>
        <v>0</v>
      </c>
      <c r="DX93" s="522" t="n">
        <f aca="false">$E$90*(DX4='Executive Summary'!$L$17)</f>
        <v>0</v>
      </c>
      <c r="DY93" s="522" t="n">
        <f aca="false">$E$90*(DY4='Executive Summary'!$L$17)</f>
        <v>0</v>
      </c>
      <c r="DZ93" s="522" t="n">
        <f aca="false">$E$90*(DZ4='Executive Summary'!$L$17)</f>
        <v>0</v>
      </c>
      <c r="EA93" s="522" t="n">
        <f aca="false">$E$90*(EA4='Executive Summary'!$L$17)</f>
        <v>0</v>
      </c>
      <c r="EB93" s="522" t="n">
        <f aca="false">$E$90*(EB4='Executive Summary'!$L$17)</f>
        <v>0</v>
      </c>
      <c r="EC93" s="522" t="n">
        <f aca="false">$E$90*(EC4='Executive Summary'!$L$17)</f>
        <v>0</v>
      </c>
      <c r="ED93" s="522" t="n">
        <f aca="false">$E$90*(ED4='Executive Summary'!$L$17)</f>
        <v>0</v>
      </c>
      <c r="EE93" s="522" t="n">
        <f aca="false">$E$90*(EE4='Executive Summary'!$L$17)</f>
        <v>0</v>
      </c>
      <c r="EF93" s="522" t="n">
        <f aca="false">$E$90*(EF4='Executive Summary'!$L$17)</f>
        <v>0</v>
      </c>
      <c r="EG93" s="522" t="n">
        <f aca="false">$E$90*(EG4='Executive Summary'!$L$17)</f>
        <v>0</v>
      </c>
      <c r="EH93" s="522" t="n">
        <f aca="false">$E$90*(EH4='Executive Summary'!$L$17)</f>
        <v>0</v>
      </c>
      <c r="EI93" s="558" t="n">
        <f aca="false">$E$90*(EI4='Executive Summary'!$L$17)</f>
        <v>0</v>
      </c>
      <c r="EK93" s="559" t="n">
        <f aca="false">SUMIF($G$3:$EI$3,EK$24,$G93:$EI93)</f>
        <v>0</v>
      </c>
      <c r="EL93" s="522" t="n">
        <f aca="false">SUMIF($G$3:$EI$3,EL$24,$G93:$EI93)</f>
        <v>0</v>
      </c>
      <c r="EM93" s="522" t="n">
        <f aca="false">SUMIF($G$3:$EI$3,EM$24,$G93:$EI93)</f>
        <v>0</v>
      </c>
      <c r="EN93" s="522" t="n">
        <f aca="false">SUMIF($G$3:$EI$3,EN$24,$G93:$EI93)</f>
        <v>0</v>
      </c>
      <c r="EO93" s="522" t="n">
        <f aca="false">SUMIF($G$3:$EI$3,EO$24,$G93:$EI93)</f>
        <v>0</v>
      </c>
      <c r="EP93" s="522" t="n">
        <f aca="false">SUMIF($G$3:$EI$3,EP$24,$G93:$EI93)</f>
        <v>0</v>
      </c>
      <c r="EQ93" s="522" t="n">
        <f aca="false">SUMIF($G$3:$EI$3,EQ$24,$G93:$EI93)</f>
        <v>0</v>
      </c>
      <c r="ER93" s="522" t="n">
        <f aca="false">SUMIF($G$3:$EI$3,ER$24,$G93:$EI93)</f>
        <v>0</v>
      </c>
      <c r="ES93" s="522" t="n">
        <f aca="false">SUMIF($G$3:$EI$3,ES$24,$G93:$EI93)</f>
        <v>0</v>
      </c>
      <c r="ET93" s="558" t="n">
        <f aca="false">SUMIF($G$3:$EI$3,ET$24,$G93:$EI93)</f>
        <v>0</v>
      </c>
    </row>
    <row r="94" s="522" customFormat="true" ht="13.5" hidden="false" customHeight="true" outlineLevel="1" collapsed="false">
      <c r="B94" s="559" t="s">
        <v>592</v>
      </c>
      <c r="C94" s="557"/>
      <c r="H94" s="522" t="n">
        <f aca="false">IF(H91&gt;0, MAX(PPMT('Executive Summary'!$L$21/12, H91, 'Executive Summary'!$L$24*12, $E$90), -H92), 0)</f>
        <v>-0</v>
      </c>
      <c r="I94" s="522" t="n">
        <f aca="false">IF(I91&gt;0, MAX(PPMT('Executive Summary'!$L$21/12, I91, 'Executive Summary'!$L$24*12, $E$90), -I92), 0)</f>
        <v>-0</v>
      </c>
      <c r="J94" s="522" t="n">
        <f aca="false">IF(J91&gt;0, MAX(PPMT('Executive Summary'!$L$21/12, J91, 'Executive Summary'!$L$24*12, $E$90), -J92), 0)</f>
        <v>-0</v>
      </c>
      <c r="K94" s="522" t="n">
        <f aca="false">IF(K91&gt;0, MAX(PPMT('Executive Summary'!$L$21/12, K91, 'Executive Summary'!$L$24*12, $E$90), -K92), 0)</f>
        <v>-0</v>
      </c>
      <c r="L94" s="522" t="n">
        <f aca="false">IF(L91&gt;0, MAX(PPMT('Executive Summary'!$L$21/12, L91, 'Executive Summary'!$L$24*12, $E$90), -L92), 0)</f>
        <v>-0</v>
      </c>
      <c r="M94" s="522" t="n">
        <f aca="false">IF(M91&gt;0, MAX(PPMT('Executive Summary'!$L$21/12, M91, 'Executive Summary'!$L$24*12, $E$90), -M92), 0)</f>
        <v>-0</v>
      </c>
      <c r="N94" s="522" t="n">
        <f aca="false">IF(N91&gt;0, MAX(PPMT('Executive Summary'!$L$21/12, N91, 'Executive Summary'!$L$24*12, $E$90), -N92), 0)</f>
        <v>-0</v>
      </c>
      <c r="O94" s="522" t="n">
        <f aca="false">IF(O91&gt;0, MAX(PPMT('Executive Summary'!$L$21/12, O91, 'Executive Summary'!$L$24*12, $E$90), -O92), 0)</f>
        <v>-0</v>
      </c>
      <c r="P94" s="522" t="n">
        <f aca="false">IF(P91&gt;0, MAX(PPMT('Executive Summary'!$L$21/12, P91, 'Executive Summary'!$L$24*12, $E$90), -P92), 0)</f>
        <v>-0</v>
      </c>
      <c r="Q94" s="522" t="n">
        <f aca="false">IF(Q91&gt;0, MAX(PPMT('Executive Summary'!$L$21/12, Q91, 'Executive Summary'!$L$24*12, $E$90), -Q92), 0)</f>
        <v>-0</v>
      </c>
      <c r="R94" s="522" t="n">
        <f aca="false">IF(R91&gt;0, MAX(PPMT('Executive Summary'!$L$21/12, R91, 'Executive Summary'!$L$24*12, $E$90), -R92), 0)</f>
        <v>-0</v>
      </c>
      <c r="S94" s="522" t="n">
        <f aca="false">IF(S91&gt;0, MAX(PPMT('Executive Summary'!$L$21/12, S91, 'Executive Summary'!$L$24*12, $E$90), -S92), 0)</f>
        <v>-0</v>
      </c>
      <c r="T94" s="522" t="n">
        <f aca="false">IF(T91&gt;0, MAX(PPMT('Executive Summary'!$L$21/12, T91, 'Executive Summary'!$L$24*12, $E$90), -T92), 0)</f>
        <v>-0</v>
      </c>
      <c r="U94" s="522" t="n">
        <f aca="false">IF(U91&gt;0, MAX(PPMT('Executive Summary'!$L$21/12, U91, 'Executive Summary'!$L$24*12, $E$90), -U92), 0)</f>
        <v>-0</v>
      </c>
      <c r="V94" s="522" t="n">
        <f aca="false">IF(V91&gt;0, MAX(PPMT('Executive Summary'!$L$21/12, V91, 'Executive Summary'!$L$24*12, $E$90), -V92), 0)</f>
        <v>-0</v>
      </c>
      <c r="W94" s="522" t="n">
        <f aca="false">IF(W91&gt;0, MAX(PPMT('Executive Summary'!$L$21/12, W91, 'Executive Summary'!$L$24*12, $E$90), -W92), 0)</f>
        <v>-0</v>
      </c>
      <c r="X94" s="522" t="n">
        <f aca="false">IF(X91&gt;0, MAX(PPMT('Executive Summary'!$L$21/12, X91, 'Executive Summary'!$L$24*12, $E$90), -X92), 0)</f>
        <v>-0</v>
      </c>
      <c r="Y94" s="522" t="n">
        <f aca="false">IF(Y91&gt;0, MAX(PPMT('Executive Summary'!$L$21/12, Y91, 'Executive Summary'!$L$24*12, $E$90), -Y92), 0)</f>
        <v>-0</v>
      </c>
      <c r="Z94" s="522" t="n">
        <f aca="false">IF(Z91&gt;0, MAX(PPMT('Executive Summary'!$L$21/12, Z91, 'Executive Summary'!$L$24*12, $E$90), -Z92), 0)</f>
        <v>-0</v>
      </c>
      <c r="AA94" s="522" t="n">
        <f aca="false">IF(AA91&gt;0, MAX(PPMT('Executive Summary'!$L$21/12, AA91, 'Executive Summary'!$L$24*12, $E$90), -AA92), 0)</f>
        <v>-0</v>
      </c>
      <c r="AB94" s="522" t="n">
        <f aca="false">IF(AB91&gt;0, MAX(PPMT('Executive Summary'!$L$21/12, AB91, 'Executive Summary'!$L$24*12, $E$90), -AB92), 0)</f>
        <v>-0</v>
      </c>
      <c r="AC94" s="522" t="n">
        <f aca="false">IF(AC91&gt;0, MAX(PPMT('Executive Summary'!$L$21/12, AC91, 'Executive Summary'!$L$24*12, $E$90), -AC92), 0)</f>
        <v>-0</v>
      </c>
      <c r="AD94" s="522" t="n">
        <f aca="false">IF(AD91&gt;0, MAX(PPMT('Executive Summary'!$L$21/12, AD91, 'Executive Summary'!$L$24*12, $E$90), -AD92), 0)</f>
        <v>-0</v>
      </c>
      <c r="AE94" s="522" t="n">
        <f aca="false">IF(AE91&gt;0, MAX(PPMT('Executive Summary'!$L$21/12, AE91, 'Executive Summary'!$L$24*12, $E$90), -AE92), 0)</f>
        <v>-0</v>
      </c>
      <c r="AF94" s="522" t="n">
        <f aca="false">IF(AF91&gt;0, MAX(PPMT('Executive Summary'!$L$21/12, AF91, 'Executive Summary'!$L$24*12, $E$90), -AF92), 0)</f>
        <v>-0</v>
      </c>
      <c r="AG94" s="522" t="n">
        <f aca="false">IF(AG91&gt;0, MAX(PPMT('Executive Summary'!$L$21/12, AG91, 'Executive Summary'!$L$24*12, $E$90), -AG92), 0)</f>
        <v>-0</v>
      </c>
      <c r="AH94" s="522" t="n">
        <f aca="false">IF(AH91&gt;0, MAX(PPMT('Executive Summary'!$L$21/12, AH91, 'Executive Summary'!$L$24*12, $E$90), -AH92), 0)</f>
        <v>-0</v>
      </c>
      <c r="AI94" s="522" t="n">
        <f aca="false">IF(AI91&gt;0, MAX(PPMT('Executive Summary'!$L$21/12, AI91, 'Executive Summary'!$L$24*12, $E$90), -AI92), 0)</f>
        <v>-0</v>
      </c>
      <c r="AJ94" s="522" t="n">
        <f aca="false">IF(AJ91&gt;0, MAX(PPMT('Executive Summary'!$L$21/12, AJ91, 'Executive Summary'!$L$24*12, $E$90), -AJ92), 0)</f>
        <v>-0</v>
      </c>
      <c r="AK94" s="522" t="n">
        <f aca="false">IF(AK91&gt;0, MAX(PPMT('Executive Summary'!$L$21/12, AK91, 'Executive Summary'!$L$24*12, $E$90), -AK92), 0)</f>
        <v>-0</v>
      </c>
      <c r="AL94" s="522" t="n">
        <f aca="false">IF(AL91&gt;0, MAX(PPMT('Executive Summary'!$L$21/12, AL91, 'Executive Summary'!$L$24*12, $E$90), -AL92), 0)</f>
        <v>-0</v>
      </c>
      <c r="AM94" s="522" t="n">
        <f aca="false">IF(AM91&gt;0, MAX(PPMT('Executive Summary'!$L$21/12, AM91, 'Executive Summary'!$L$24*12, $E$90), -AM92), 0)</f>
        <v>-0</v>
      </c>
      <c r="AN94" s="522" t="n">
        <f aca="false">IF(AN91&gt;0, MAX(PPMT('Executive Summary'!$L$21/12, AN91, 'Executive Summary'!$L$24*12, $E$90), -AN92), 0)</f>
        <v>-0</v>
      </c>
      <c r="AO94" s="522" t="n">
        <f aca="false">IF(AO91&gt;0, MAX(PPMT('Executive Summary'!$L$21/12, AO91, 'Executive Summary'!$L$24*12, $E$90), -AO92), 0)</f>
        <v>-0</v>
      </c>
      <c r="AP94" s="522" t="n">
        <f aca="false">IF(AP91&gt;0, MAX(PPMT('Executive Summary'!$L$21/12, AP91, 'Executive Summary'!$L$24*12, $E$90), -AP92), 0)</f>
        <v>-0</v>
      </c>
      <c r="AQ94" s="522" t="n">
        <f aca="false">IF(AQ91&gt;0, MAX(PPMT('Executive Summary'!$L$21/12, AQ91, 'Executive Summary'!$L$24*12, $E$90), -AQ92), 0)</f>
        <v>-0</v>
      </c>
      <c r="AR94" s="522" t="n">
        <f aca="false">IF(AR91&gt;0, MAX(PPMT('Executive Summary'!$L$21/12, AR91, 'Executive Summary'!$L$24*12, $E$90), -AR92), 0)</f>
        <v>-0</v>
      </c>
      <c r="AS94" s="522" t="n">
        <f aca="false">IF(AS91&gt;0, MAX(PPMT('Executive Summary'!$L$21/12, AS91, 'Executive Summary'!$L$24*12, $E$90), -AS92), 0)</f>
        <v>-0</v>
      </c>
      <c r="AT94" s="522" t="n">
        <f aca="false">IF(AT91&gt;0, MAX(PPMT('Executive Summary'!$L$21/12, AT91, 'Executive Summary'!$L$24*12, $E$90), -AT92), 0)</f>
        <v>-0</v>
      </c>
      <c r="AU94" s="522" t="n">
        <f aca="false">IF(AU91&gt;0, MAX(PPMT('Executive Summary'!$L$21/12, AU91, 'Executive Summary'!$L$24*12, $E$90), -AU92), 0)</f>
        <v>-0</v>
      </c>
      <c r="AV94" s="522" t="n">
        <f aca="false">IF(AV91&gt;0, MAX(PPMT('Executive Summary'!$L$21/12, AV91, 'Executive Summary'!$L$24*12, $E$90), -AV92), 0)</f>
        <v>-0</v>
      </c>
      <c r="AW94" s="522" t="n">
        <f aca="false">IF(AW91&gt;0, MAX(PPMT('Executive Summary'!$L$21/12, AW91, 'Executive Summary'!$L$24*12, $E$90), -AW92), 0)</f>
        <v>-0</v>
      </c>
      <c r="AX94" s="522" t="n">
        <f aca="false">IF(AX91&gt;0, MAX(PPMT('Executive Summary'!$L$21/12, AX91, 'Executive Summary'!$L$24*12, $E$90), -AX92), 0)</f>
        <v>-0</v>
      </c>
      <c r="AY94" s="522" t="n">
        <f aca="false">IF(AY91&gt;0, MAX(PPMT('Executive Summary'!$L$21/12, AY91, 'Executive Summary'!$L$24*12, $E$90), -AY92), 0)</f>
        <v>-0</v>
      </c>
      <c r="AZ94" s="522" t="n">
        <f aca="false">IF(AZ91&gt;0, MAX(PPMT('Executive Summary'!$L$21/12, AZ91, 'Executive Summary'!$L$24*12, $E$90), -AZ92), 0)</f>
        <v>-0</v>
      </c>
      <c r="BA94" s="522" t="n">
        <f aca="false">IF(BA91&gt;0, MAX(PPMT('Executive Summary'!$L$21/12, BA91, 'Executive Summary'!$L$24*12, $E$90), -BA92), 0)</f>
        <v>-0</v>
      </c>
      <c r="BB94" s="522" t="n">
        <f aca="false">IF(BB91&gt;0, MAX(PPMT('Executive Summary'!$L$21/12, BB91, 'Executive Summary'!$L$24*12, $E$90), -BB92), 0)</f>
        <v>-0</v>
      </c>
      <c r="BC94" s="522" t="n">
        <f aca="false">IF(BC91&gt;0, MAX(PPMT('Executive Summary'!$L$21/12, BC91, 'Executive Summary'!$L$24*12, $E$90), -BC92), 0)</f>
        <v>-0</v>
      </c>
      <c r="BD94" s="522" t="n">
        <f aca="false">IF(BD91&gt;0, MAX(PPMT('Executive Summary'!$L$21/12, BD91, 'Executive Summary'!$L$24*12, $E$90), -BD92), 0)</f>
        <v>-0</v>
      </c>
      <c r="BE94" s="522" t="n">
        <f aca="false">IF(BE91&gt;0, MAX(PPMT('Executive Summary'!$L$21/12, BE91, 'Executive Summary'!$L$24*12, $E$90), -BE92), 0)</f>
        <v>-0</v>
      </c>
      <c r="BF94" s="522" t="n">
        <f aca="false">IF(BF91&gt;0, MAX(PPMT('Executive Summary'!$L$21/12, BF91, 'Executive Summary'!$L$24*12, $E$90), -BF92), 0)</f>
        <v>-0</v>
      </c>
      <c r="BG94" s="522" t="n">
        <f aca="false">IF(BG91&gt;0, MAX(PPMT('Executive Summary'!$L$21/12, BG91, 'Executive Summary'!$L$24*12, $E$90), -BG92), 0)</f>
        <v>-0</v>
      </c>
      <c r="BH94" s="522" t="n">
        <f aca="false">IF(BH91&gt;0, MAX(PPMT('Executive Summary'!$L$21/12, BH91, 'Executive Summary'!$L$24*12, $E$90), -BH92), 0)</f>
        <v>-0</v>
      </c>
      <c r="BI94" s="522" t="n">
        <f aca="false">IF(BI91&gt;0, MAX(PPMT('Executive Summary'!$L$21/12, BI91, 'Executive Summary'!$L$24*12, $E$90), -BI92), 0)</f>
        <v>-0</v>
      </c>
      <c r="BJ94" s="522" t="n">
        <f aca="false">IF(BJ91&gt;0, MAX(PPMT('Executive Summary'!$L$21/12, BJ91, 'Executive Summary'!$L$24*12, $E$90), -BJ92), 0)</f>
        <v>-0</v>
      </c>
      <c r="BK94" s="522" t="n">
        <f aca="false">IF(BK91&gt;0, MAX(PPMT('Executive Summary'!$L$21/12, BK91, 'Executive Summary'!$L$24*12, $E$90), -BK92), 0)</f>
        <v>-0</v>
      </c>
      <c r="BL94" s="522" t="n">
        <f aca="false">IF(BL91&gt;0, MAX(PPMT('Executive Summary'!$L$21/12, BL91, 'Executive Summary'!$L$24*12, $E$90), -BL92), 0)</f>
        <v>-0</v>
      </c>
      <c r="BM94" s="522" t="n">
        <f aca="false">IF(BM91&gt;0, MAX(PPMT('Executive Summary'!$L$21/12, BM91, 'Executive Summary'!$L$24*12, $E$90), -BM92), 0)</f>
        <v>-0</v>
      </c>
      <c r="BN94" s="522" t="n">
        <f aca="false">IF(BN91&gt;0, MAX(PPMT('Executive Summary'!$L$21/12, BN91, 'Executive Summary'!$L$24*12, $E$90), -BN92), 0)</f>
        <v>-0</v>
      </c>
      <c r="BO94" s="522" t="n">
        <f aca="false">IF(BO91&gt;0, MAX(PPMT('Executive Summary'!$L$21/12, BO91, 'Executive Summary'!$L$24*12, $E$90), -BO92), 0)</f>
        <v>-0</v>
      </c>
      <c r="BP94" s="522" t="n">
        <f aca="false">IF(BP91&gt;0, MAX(PPMT('Executive Summary'!$L$21/12, BP91, 'Executive Summary'!$L$24*12, $E$90), -BP92), 0)</f>
        <v>-0</v>
      </c>
      <c r="BQ94" s="522" t="n">
        <f aca="false">IF(BQ91&gt;0, MAX(PPMT('Executive Summary'!$L$21/12, BQ91, 'Executive Summary'!$L$24*12, $E$90), -BQ92), 0)</f>
        <v>-0</v>
      </c>
      <c r="BR94" s="522" t="n">
        <f aca="false">IF(BR91&gt;0, MAX(PPMT('Executive Summary'!$L$21/12, BR91, 'Executive Summary'!$L$24*12, $E$90), -BR92), 0)</f>
        <v>-0</v>
      </c>
      <c r="BS94" s="522" t="n">
        <f aca="false">IF(BS91&gt;0, MAX(PPMT('Executive Summary'!$L$21/12, BS91, 'Executive Summary'!$L$24*12, $E$90), -BS92), 0)</f>
        <v>-0</v>
      </c>
      <c r="BT94" s="522" t="n">
        <f aca="false">IF(BT91&gt;0, MAX(PPMT('Executive Summary'!$L$21/12, BT91, 'Executive Summary'!$L$24*12, $E$90), -BT92), 0)</f>
        <v>-0</v>
      </c>
      <c r="BU94" s="522" t="n">
        <f aca="false">IF(BU91&gt;0, MAX(PPMT('Executive Summary'!$L$21/12, BU91, 'Executive Summary'!$L$24*12, $E$90), -BU92), 0)</f>
        <v>-0</v>
      </c>
      <c r="BV94" s="522" t="n">
        <f aca="false">IF(BV91&gt;0, MAX(PPMT('Executive Summary'!$L$21/12, BV91, 'Executive Summary'!$L$24*12, $E$90), -BV92), 0)</f>
        <v>-0</v>
      </c>
      <c r="BW94" s="522" t="n">
        <f aca="false">IF(BW91&gt;0, MAX(PPMT('Executive Summary'!$L$21/12, BW91, 'Executive Summary'!$L$24*12, $E$90), -BW92), 0)</f>
        <v>-0</v>
      </c>
      <c r="BX94" s="522" t="n">
        <f aca="false">IF(BX91&gt;0, MAX(PPMT('Executive Summary'!$L$21/12, BX91, 'Executive Summary'!$L$24*12, $E$90), -BX92), 0)</f>
        <v>-0</v>
      </c>
      <c r="BY94" s="522" t="n">
        <f aca="false">IF(BY91&gt;0, MAX(PPMT('Executive Summary'!$L$21/12, BY91, 'Executive Summary'!$L$24*12, $E$90), -BY92), 0)</f>
        <v>-0</v>
      </c>
      <c r="BZ94" s="522" t="n">
        <f aca="false">IF(BZ91&gt;0, MAX(PPMT('Executive Summary'!$L$21/12, BZ91, 'Executive Summary'!$L$24*12, $E$90), -BZ92), 0)</f>
        <v>-0</v>
      </c>
      <c r="CA94" s="522" t="n">
        <f aca="false">IF(CA91&gt;0, MAX(PPMT('Executive Summary'!$L$21/12, CA91, 'Executive Summary'!$L$24*12, $E$90), -CA92), 0)</f>
        <v>-0</v>
      </c>
      <c r="CB94" s="522" t="n">
        <f aca="false">IF(CB91&gt;0, MAX(PPMT('Executive Summary'!$L$21/12, CB91, 'Executive Summary'!$L$24*12, $E$90), -CB92), 0)</f>
        <v>-0</v>
      </c>
      <c r="CC94" s="522" t="n">
        <f aca="false">IF(CC91&gt;0, MAX(PPMT('Executive Summary'!$L$21/12, CC91, 'Executive Summary'!$L$24*12, $E$90), -CC92), 0)</f>
        <v>-0</v>
      </c>
      <c r="CD94" s="522" t="n">
        <f aca="false">IF(CD91&gt;0, MAX(PPMT('Executive Summary'!$L$21/12, CD91, 'Executive Summary'!$L$24*12, $E$90), -CD92), 0)</f>
        <v>-0</v>
      </c>
      <c r="CE94" s="522" t="n">
        <f aca="false">IF(CE91&gt;0, MAX(PPMT('Executive Summary'!$L$21/12, CE91, 'Executive Summary'!$L$24*12, $E$90), -CE92), 0)</f>
        <v>-0</v>
      </c>
      <c r="CF94" s="522" t="n">
        <f aca="false">IF(CF91&gt;0, MAX(PPMT('Executive Summary'!$L$21/12, CF91, 'Executive Summary'!$L$24*12, $E$90), -CF92), 0)</f>
        <v>-0</v>
      </c>
      <c r="CG94" s="522" t="n">
        <f aca="false">IF(CG91&gt;0, MAX(PPMT('Executive Summary'!$L$21/12, CG91, 'Executive Summary'!$L$24*12, $E$90), -CG92), 0)</f>
        <v>-0</v>
      </c>
      <c r="CH94" s="522" t="n">
        <f aca="false">IF(CH91&gt;0, MAX(PPMT('Executive Summary'!$L$21/12, CH91, 'Executive Summary'!$L$24*12, $E$90), -CH92), 0)</f>
        <v>-0</v>
      </c>
      <c r="CI94" s="522" t="n">
        <f aca="false">IF(CI91&gt;0, MAX(PPMT('Executive Summary'!$L$21/12, CI91, 'Executive Summary'!$L$24*12, $E$90), -CI92), 0)</f>
        <v>-0</v>
      </c>
      <c r="CJ94" s="522" t="n">
        <f aca="false">IF(CJ91&gt;0, MAX(PPMT('Executive Summary'!$L$21/12, CJ91, 'Executive Summary'!$L$24*12, $E$90), -CJ92), 0)</f>
        <v>-0</v>
      </c>
      <c r="CK94" s="522" t="n">
        <f aca="false">IF(CK91&gt;0, MAX(PPMT('Executive Summary'!$L$21/12, CK91, 'Executive Summary'!$L$24*12, $E$90), -CK92), 0)</f>
        <v>-0</v>
      </c>
      <c r="CL94" s="522" t="n">
        <f aca="false">IF(CL91&gt;0, MAX(PPMT('Executive Summary'!$L$21/12, CL91, 'Executive Summary'!$L$24*12, $E$90), -CL92), 0)</f>
        <v>-0</v>
      </c>
      <c r="CM94" s="522" t="n">
        <f aca="false">IF(CM91&gt;0, MAX(PPMT('Executive Summary'!$L$21/12, CM91, 'Executive Summary'!$L$24*12, $E$90), -CM92), 0)</f>
        <v>-0</v>
      </c>
      <c r="CN94" s="522" t="n">
        <f aca="false">IF(CN91&gt;0, MAX(PPMT('Executive Summary'!$L$21/12, CN91, 'Executive Summary'!$L$24*12, $E$90), -CN92), 0)</f>
        <v>-0</v>
      </c>
      <c r="CO94" s="522" t="n">
        <f aca="false">IF(CO91&gt;0, MAX(PPMT('Executive Summary'!$L$21/12, CO91, 'Executive Summary'!$L$24*12, $E$90), -CO92), 0)</f>
        <v>-0</v>
      </c>
      <c r="CP94" s="522" t="n">
        <f aca="false">IF(CP91&gt;0, MAX(PPMT('Executive Summary'!$L$21/12, CP91, 'Executive Summary'!$L$24*12, $E$90), -CP92), 0)</f>
        <v>-0</v>
      </c>
      <c r="CQ94" s="522" t="n">
        <f aca="false">IF(CQ91&gt;0, MAX(PPMT('Executive Summary'!$L$21/12, CQ91, 'Executive Summary'!$L$24*12, $E$90), -CQ92), 0)</f>
        <v>-0</v>
      </c>
      <c r="CR94" s="522" t="n">
        <f aca="false">IF(CR91&gt;0, MAX(PPMT('Executive Summary'!$L$21/12, CR91, 'Executive Summary'!$L$24*12, $E$90), -CR92), 0)</f>
        <v>-0</v>
      </c>
      <c r="CS94" s="522" t="n">
        <f aca="false">IF(CS91&gt;0, MAX(PPMT('Executive Summary'!$L$21/12, CS91, 'Executive Summary'!$L$24*12, $E$90), -CS92), 0)</f>
        <v>-0</v>
      </c>
      <c r="CT94" s="522" t="n">
        <f aca="false">IF(CT91&gt;0, MAX(PPMT('Executive Summary'!$L$21/12, CT91, 'Executive Summary'!$L$24*12, $E$90), -CT92), 0)</f>
        <v>-0</v>
      </c>
      <c r="CU94" s="522" t="n">
        <f aca="false">IF(CU91&gt;0, MAX(PPMT('Executive Summary'!$L$21/12, CU91, 'Executive Summary'!$L$24*12, $E$90), -CU92), 0)</f>
        <v>-0</v>
      </c>
      <c r="CV94" s="522" t="n">
        <f aca="false">IF(CV91&gt;0, MAX(PPMT('Executive Summary'!$L$21/12, CV91, 'Executive Summary'!$L$24*12, $E$90), -CV92), 0)</f>
        <v>-0</v>
      </c>
      <c r="CW94" s="522" t="n">
        <f aca="false">IF(CW91&gt;0, MAX(PPMT('Executive Summary'!$L$21/12, CW91, 'Executive Summary'!$L$24*12, $E$90), -CW92), 0)</f>
        <v>-0</v>
      </c>
      <c r="CX94" s="522" t="n">
        <f aca="false">IF(CX91&gt;0, MAX(PPMT('Executive Summary'!$L$21/12, CX91, 'Executive Summary'!$L$24*12, $E$90), -CX92), 0)</f>
        <v>-0</v>
      </c>
      <c r="CY94" s="522" t="n">
        <f aca="false">IF(CY91&gt;0, MAX(PPMT('Executive Summary'!$L$21/12, CY91, 'Executive Summary'!$L$24*12, $E$90), -CY92), 0)</f>
        <v>-0</v>
      </c>
      <c r="CZ94" s="522" t="n">
        <f aca="false">IF(CZ91&gt;0, MAX(PPMT('Executive Summary'!$L$21/12, CZ91, 'Executive Summary'!$L$24*12, $E$90), -CZ92), 0)</f>
        <v>-0</v>
      </c>
      <c r="DA94" s="522" t="n">
        <f aca="false">IF(DA91&gt;0, MAX(PPMT('Executive Summary'!$L$21/12, DA91, 'Executive Summary'!$L$24*12, $E$90), -DA92), 0)</f>
        <v>-0</v>
      </c>
      <c r="DB94" s="522" t="n">
        <f aca="false">IF(DB91&gt;0, MAX(PPMT('Executive Summary'!$L$21/12, DB91, 'Executive Summary'!$L$24*12, $E$90), -DB92), 0)</f>
        <v>-0</v>
      </c>
      <c r="DC94" s="522" t="n">
        <f aca="false">IF(DC91&gt;0, MAX(PPMT('Executive Summary'!$L$21/12, DC91, 'Executive Summary'!$L$24*12, $E$90), -DC92), 0)</f>
        <v>-0</v>
      </c>
      <c r="DD94" s="522" t="n">
        <f aca="false">IF(DD91&gt;0, MAX(PPMT('Executive Summary'!$L$21/12, DD91, 'Executive Summary'!$L$24*12, $E$90), -DD92), 0)</f>
        <v>-0</v>
      </c>
      <c r="DE94" s="522" t="n">
        <f aca="false">IF(DE91&gt;0, MAX(PPMT('Executive Summary'!$L$21/12, DE91, 'Executive Summary'!$L$24*12, $E$90), -DE92), 0)</f>
        <v>-0</v>
      </c>
      <c r="DF94" s="522" t="n">
        <f aca="false">IF(DF91&gt;0, MAX(PPMT('Executive Summary'!$L$21/12, DF91, 'Executive Summary'!$L$24*12, $E$90), -DF92), 0)</f>
        <v>-0</v>
      </c>
      <c r="DG94" s="522" t="n">
        <f aca="false">IF(DG91&gt;0, MAX(PPMT('Executive Summary'!$L$21/12, DG91, 'Executive Summary'!$L$24*12, $E$90), -DG92), 0)</f>
        <v>-0</v>
      </c>
      <c r="DH94" s="522" t="n">
        <f aca="false">IF(DH91&gt;0, MAX(PPMT('Executive Summary'!$L$21/12, DH91, 'Executive Summary'!$L$24*12, $E$90), -DH92), 0)</f>
        <v>-0</v>
      </c>
      <c r="DI94" s="522" t="n">
        <f aca="false">IF(DI91&gt;0, MAX(PPMT('Executive Summary'!$L$21/12, DI91, 'Executive Summary'!$L$24*12, $E$90), -DI92), 0)</f>
        <v>-0</v>
      </c>
      <c r="DJ94" s="522" t="n">
        <f aca="false">IF(DJ91&gt;0, MAX(PPMT('Executive Summary'!$L$21/12, DJ91, 'Executive Summary'!$L$24*12, $E$90), -DJ92), 0)</f>
        <v>-0</v>
      </c>
      <c r="DK94" s="522" t="n">
        <f aca="false">IF(DK91&gt;0, MAX(PPMT('Executive Summary'!$L$21/12, DK91, 'Executive Summary'!$L$24*12, $E$90), -DK92), 0)</f>
        <v>-0</v>
      </c>
      <c r="DL94" s="522" t="n">
        <f aca="false">IF(DL91&gt;0, MAX(PPMT('Executive Summary'!$L$21/12, DL91, 'Executive Summary'!$L$24*12, $E$90), -DL92), 0)</f>
        <v>-0</v>
      </c>
      <c r="DM94" s="522" t="n">
        <f aca="false">IF(DM91&gt;0, MAX(PPMT('Executive Summary'!$L$21/12, DM91, 'Executive Summary'!$L$24*12, $E$90), -DM92), 0)</f>
        <v>-0</v>
      </c>
      <c r="DN94" s="522" t="n">
        <f aca="false">IF(DN91&gt;0, MAX(PPMT('Executive Summary'!$L$21/12, DN91, 'Executive Summary'!$L$24*12, $E$90), -DN92), 0)</f>
        <v>-0</v>
      </c>
      <c r="DO94" s="522" t="n">
        <f aca="false">IF(DO91&gt;0, MAX(PPMT('Executive Summary'!$L$21/12, DO91, 'Executive Summary'!$L$24*12, $E$90), -DO92), 0)</f>
        <v>-0</v>
      </c>
      <c r="DP94" s="522" t="n">
        <f aca="false">IF(DP91&gt;0, MAX(PPMT('Executive Summary'!$L$21/12, DP91, 'Executive Summary'!$L$24*12, $E$90), -DP92), 0)</f>
        <v>-0</v>
      </c>
      <c r="DQ94" s="522" t="n">
        <f aca="false">IF(DQ91&gt;0, MAX(PPMT('Executive Summary'!$L$21/12, DQ91, 'Executive Summary'!$L$24*12, $E$90), -DQ92), 0)</f>
        <v>-0</v>
      </c>
      <c r="DR94" s="522" t="n">
        <f aca="false">IF(DR91&gt;0, MAX(PPMT('Executive Summary'!$L$21/12, DR91, 'Executive Summary'!$L$24*12, $E$90), -DR92), 0)</f>
        <v>-0</v>
      </c>
      <c r="DS94" s="522" t="n">
        <f aca="false">IF(DS91&gt;0, MAX(PPMT('Executive Summary'!$L$21/12, DS91, 'Executive Summary'!$L$24*12, $E$90), -DS92), 0)</f>
        <v>-0</v>
      </c>
      <c r="DT94" s="522" t="n">
        <f aca="false">IF(DT91&gt;0, MAX(PPMT('Executive Summary'!$L$21/12, DT91, 'Executive Summary'!$L$24*12, $E$90), -DT92), 0)</f>
        <v>-0</v>
      </c>
      <c r="DU94" s="522" t="n">
        <f aca="false">IF(DU91&gt;0, MAX(PPMT('Executive Summary'!$L$21/12, DU91, 'Executive Summary'!$L$24*12, $E$90), -DU92), 0)</f>
        <v>-0</v>
      </c>
      <c r="DV94" s="522" t="n">
        <f aca="false">IF(DV91&gt;0, MAX(PPMT('Executive Summary'!$L$21/12, DV91, 'Executive Summary'!$L$24*12, $E$90), -DV92), 0)</f>
        <v>-0</v>
      </c>
      <c r="DW94" s="522" t="n">
        <f aca="false">IF(DW91&gt;0, MAX(PPMT('Executive Summary'!$L$21/12, DW91, 'Executive Summary'!$L$24*12, $E$90), -DW92), 0)</f>
        <v>-0</v>
      </c>
      <c r="DX94" s="522" t="n">
        <f aca="false">IF(DX91&gt;0, MAX(PPMT('Executive Summary'!$L$21/12, DX91, 'Executive Summary'!$L$24*12, $E$90), -DX92), 0)</f>
        <v>-0</v>
      </c>
      <c r="DY94" s="522" t="n">
        <f aca="false">IF(DY91&gt;0, MAX(PPMT('Executive Summary'!$L$21/12, DY91, 'Executive Summary'!$L$24*12, $E$90), -DY92), 0)</f>
        <v>-0</v>
      </c>
      <c r="DZ94" s="522" t="n">
        <f aca="false">IF(DZ91&gt;0, MAX(PPMT('Executive Summary'!$L$21/12, DZ91, 'Executive Summary'!$L$24*12, $E$90), -DZ92), 0)</f>
        <v>-0</v>
      </c>
      <c r="EA94" s="522" t="n">
        <f aca="false">IF(EA91&gt;0, MAX(PPMT('Executive Summary'!$L$21/12, EA91, 'Executive Summary'!$L$24*12, $E$90), -EA92), 0)</f>
        <v>-0</v>
      </c>
      <c r="EB94" s="522" t="n">
        <f aca="false">IF(EB91&gt;0, MAX(PPMT('Executive Summary'!$L$21/12, EB91, 'Executive Summary'!$L$24*12, $E$90), -EB92), 0)</f>
        <v>-0</v>
      </c>
      <c r="EC94" s="522" t="n">
        <f aca="false">IF(EC91&gt;0, MAX(PPMT('Executive Summary'!$L$21/12, EC91, 'Executive Summary'!$L$24*12, $E$90), -EC92), 0)</f>
        <v>-0</v>
      </c>
      <c r="ED94" s="522" t="n">
        <f aca="false">IF(ED91&gt;0, MAX(PPMT('Executive Summary'!$L$21/12, ED91, 'Executive Summary'!$L$24*12, $E$90), -ED92), 0)</f>
        <v>-0</v>
      </c>
      <c r="EE94" s="522" t="n">
        <f aca="false">IF(EE91&gt;0, MAX(PPMT('Executive Summary'!$L$21/12, EE91, 'Executive Summary'!$L$24*12, $E$90), -EE92), 0)</f>
        <v>-0</v>
      </c>
      <c r="EF94" s="522" t="n">
        <f aca="false">IF(EF91&gt;0, MAX(PPMT('Executive Summary'!$L$21/12, EF91, 'Executive Summary'!$L$24*12, $E$90), -EF92), 0)</f>
        <v>-0</v>
      </c>
      <c r="EG94" s="522" t="n">
        <f aca="false">IF(EG91&gt;0, MAX(PPMT('Executive Summary'!$L$21/12, EG91, 'Executive Summary'!$L$24*12, $E$90), -EG92), 0)</f>
        <v>-0</v>
      </c>
      <c r="EH94" s="522" t="n">
        <f aca="false">IF(EH91&gt;0, MAX(PPMT('Executive Summary'!$L$21/12, EH91, 'Executive Summary'!$L$24*12, $E$90), -EH92), 0)</f>
        <v>-0</v>
      </c>
      <c r="EI94" s="558" t="n">
        <f aca="false">IF(EI91&gt;0, MAX(PPMT('Executive Summary'!$L$21/12, EI91, 'Executive Summary'!$L$24*12, $E$90), -EI92), 0)</f>
        <v>-0</v>
      </c>
      <c r="EK94" s="559" t="n">
        <f aca="false">SUMIF($G$3:$EI$3,EK$24,$G94:$EI94)</f>
        <v>0</v>
      </c>
      <c r="EL94" s="522" t="n">
        <f aca="false">SUMIF($G$3:$EI$3,EL$24,$G94:$EI94)</f>
        <v>0</v>
      </c>
      <c r="EM94" s="522" t="n">
        <f aca="false">SUMIF($G$3:$EI$3,EM$24,$G94:$EI94)</f>
        <v>0</v>
      </c>
      <c r="EN94" s="522" t="n">
        <f aca="false">SUMIF($G$3:$EI$3,EN$24,$G94:$EI94)</f>
        <v>0</v>
      </c>
      <c r="EO94" s="522" t="n">
        <f aca="false">SUMIF($G$3:$EI$3,EO$24,$G94:$EI94)</f>
        <v>0</v>
      </c>
      <c r="EP94" s="522" t="n">
        <f aca="false">SUMIF($G$3:$EI$3,EP$24,$G94:$EI94)</f>
        <v>0</v>
      </c>
      <c r="EQ94" s="522" t="n">
        <f aca="false">SUMIF($G$3:$EI$3,EQ$24,$G94:$EI94)</f>
        <v>0</v>
      </c>
      <c r="ER94" s="522" t="n">
        <f aca="false">SUMIF($G$3:$EI$3,ER$24,$G94:$EI94)</f>
        <v>0</v>
      </c>
      <c r="ES94" s="522" t="n">
        <f aca="false">SUMIF($G$3:$EI$3,ES$24,$G94:$EI94)</f>
        <v>0</v>
      </c>
      <c r="ET94" s="558" t="n">
        <f aca="false">SUMIF($G$3:$EI$3,ET$24,$G94:$EI94)</f>
        <v>0</v>
      </c>
    </row>
    <row r="95" s="522" customFormat="true" ht="13.5" hidden="false" customHeight="true" outlineLevel="1" collapsed="false">
      <c r="B95" s="559" t="s">
        <v>593</v>
      </c>
      <c r="C95" s="557"/>
      <c r="H95" s="522" t="n">
        <f aca="false">-SUM(H92:H94)*MAX((H4='Executive Summary'!$I$13),(H4=('Executive Summary'!$L$22*12+'Executive Summary'!$L$17)))</f>
        <v>-0</v>
      </c>
      <c r="I95" s="522" t="n">
        <f aca="false">-SUM(I92:I94)*MAX((I4='Executive Summary'!$I$13),(I4=('Executive Summary'!$L$22*12+'Executive Summary'!$L$17)))</f>
        <v>-0</v>
      </c>
      <c r="J95" s="522" t="n">
        <f aca="false">-SUM(J92:J94)*MAX((J4='Executive Summary'!$I$13),(J4=('Executive Summary'!$L$22*12+'Executive Summary'!$L$17)))</f>
        <v>-0</v>
      </c>
      <c r="K95" s="522" t="n">
        <f aca="false">-SUM(K92:K94)*MAX((K4='Executive Summary'!$I$13),(K4=('Executive Summary'!$L$22*12+'Executive Summary'!$L$17)))</f>
        <v>-0</v>
      </c>
      <c r="L95" s="522" t="n">
        <f aca="false">-SUM(L92:L94)*MAX((L4='Executive Summary'!$I$13),(L4=('Executive Summary'!$L$22*12+'Executive Summary'!$L$17)))</f>
        <v>-0</v>
      </c>
      <c r="M95" s="522" t="n">
        <f aca="false">-SUM(M92:M94)*MAX((M4='Executive Summary'!$I$13),(M4=('Executive Summary'!$L$22*12+'Executive Summary'!$L$17)))</f>
        <v>-0</v>
      </c>
      <c r="N95" s="522" t="n">
        <f aca="false">-SUM(N92:N94)*MAX((N4='Executive Summary'!$I$13),(N4=('Executive Summary'!$L$22*12+'Executive Summary'!$L$17)))</f>
        <v>-0</v>
      </c>
      <c r="O95" s="522" t="n">
        <f aca="false">-SUM(O92:O94)*MAX((O4='Executive Summary'!$I$13),(O4=('Executive Summary'!$L$22*12+'Executive Summary'!$L$17)))</f>
        <v>-0</v>
      </c>
      <c r="P95" s="522" t="n">
        <f aca="false">-SUM(P92:P94)*MAX((P4='Executive Summary'!$I$13),(P4=('Executive Summary'!$L$22*12+'Executive Summary'!$L$17)))</f>
        <v>-0</v>
      </c>
      <c r="Q95" s="522" t="n">
        <f aca="false">-SUM(Q92:Q94)*MAX((Q4='Executive Summary'!$I$13),(Q4=('Executive Summary'!$L$22*12+'Executive Summary'!$L$17)))</f>
        <v>-0</v>
      </c>
      <c r="R95" s="522" t="n">
        <f aca="false">-SUM(R92:R94)*MAX((R4='Executive Summary'!$I$13),(R4=('Executive Summary'!$L$22*12+'Executive Summary'!$L$17)))</f>
        <v>-0</v>
      </c>
      <c r="S95" s="522" t="n">
        <f aca="false">-SUM(S92:S94)*MAX((S4='Executive Summary'!$I$13),(S4=('Executive Summary'!$L$22*12+'Executive Summary'!$L$17)))</f>
        <v>-0</v>
      </c>
      <c r="T95" s="522" t="n">
        <f aca="false">-SUM(T92:T94)*MAX((T4='Executive Summary'!$I$13),(T4=('Executive Summary'!$L$22*12+'Executive Summary'!$L$17)))</f>
        <v>-0</v>
      </c>
      <c r="U95" s="522" t="n">
        <f aca="false">-SUM(U92:U94)*MAX((U4='Executive Summary'!$I$13),(U4=('Executive Summary'!$L$22*12+'Executive Summary'!$L$17)))</f>
        <v>-0</v>
      </c>
      <c r="V95" s="522" t="n">
        <f aca="false">-SUM(V92:V94)*MAX((V4='Executive Summary'!$I$13),(V4=('Executive Summary'!$L$22*12+'Executive Summary'!$L$17)))</f>
        <v>-0</v>
      </c>
      <c r="W95" s="522" t="n">
        <f aca="false">-SUM(W92:W94)*MAX((W4='Executive Summary'!$I$13),(W4=('Executive Summary'!$L$22*12+'Executive Summary'!$L$17)))</f>
        <v>-0</v>
      </c>
      <c r="X95" s="522" t="n">
        <f aca="false">-SUM(X92:X94)*MAX((X4='Executive Summary'!$I$13),(X4=('Executive Summary'!$L$22*12+'Executive Summary'!$L$17)))</f>
        <v>-0</v>
      </c>
      <c r="Y95" s="522" t="n">
        <f aca="false">-SUM(Y92:Y94)*MAX((Y4='Executive Summary'!$I$13),(Y4=('Executive Summary'!$L$22*12+'Executive Summary'!$L$17)))</f>
        <v>-0</v>
      </c>
      <c r="Z95" s="522" t="n">
        <f aca="false">-SUM(Z92:Z94)*MAX((Z4='Executive Summary'!$I$13),(Z4=('Executive Summary'!$L$22*12+'Executive Summary'!$L$17)))</f>
        <v>-0</v>
      </c>
      <c r="AA95" s="522" t="n">
        <f aca="false">-SUM(AA92:AA94)*MAX((AA4='Executive Summary'!$I$13),(AA4=('Executive Summary'!$L$22*12+'Executive Summary'!$L$17)))</f>
        <v>-0</v>
      </c>
      <c r="AB95" s="522" t="n">
        <f aca="false">-SUM(AB92:AB94)*MAX((AB4='Executive Summary'!$I$13),(AB4=('Executive Summary'!$L$22*12+'Executive Summary'!$L$17)))</f>
        <v>-0</v>
      </c>
      <c r="AC95" s="522" t="n">
        <f aca="false">-SUM(AC92:AC94)*MAX((AC4='Executive Summary'!$I$13),(AC4=('Executive Summary'!$L$22*12+'Executive Summary'!$L$17)))</f>
        <v>-0</v>
      </c>
      <c r="AD95" s="522" t="n">
        <f aca="false">-SUM(AD92:AD94)*MAX((AD4='Executive Summary'!$I$13),(AD4=('Executive Summary'!$L$22*12+'Executive Summary'!$L$17)))</f>
        <v>-0</v>
      </c>
      <c r="AE95" s="522" t="n">
        <f aca="false">-SUM(AE92:AE94)*MAX((AE4='Executive Summary'!$I$13),(AE4=('Executive Summary'!$L$22*12+'Executive Summary'!$L$17)))</f>
        <v>-0</v>
      </c>
      <c r="AF95" s="522" t="n">
        <f aca="false">-SUM(AF92:AF94)*MAX((AF4='Executive Summary'!$I$13),(AF4=('Executive Summary'!$L$22*12+'Executive Summary'!$L$17)))</f>
        <v>-0</v>
      </c>
      <c r="AG95" s="522" t="n">
        <f aca="false">-SUM(AG92:AG94)*MAX((AG4='Executive Summary'!$I$13),(AG4=('Executive Summary'!$L$22*12+'Executive Summary'!$L$17)))</f>
        <v>-0</v>
      </c>
      <c r="AH95" s="522" t="n">
        <f aca="false">-SUM(AH92:AH94)*MAX((AH4='Executive Summary'!$I$13),(AH4=('Executive Summary'!$L$22*12+'Executive Summary'!$L$17)))</f>
        <v>-0</v>
      </c>
      <c r="AI95" s="522" t="n">
        <f aca="false">-SUM(AI92:AI94)*MAX((AI4='Executive Summary'!$I$13),(AI4=('Executive Summary'!$L$22*12+'Executive Summary'!$L$17)))</f>
        <v>-0</v>
      </c>
      <c r="AJ95" s="522" t="n">
        <f aca="false">-SUM(AJ92:AJ94)*MAX((AJ4='Executive Summary'!$I$13),(AJ4=('Executive Summary'!$L$22*12+'Executive Summary'!$L$17)))</f>
        <v>-0</v>
      </c>
      <c r="AK95" s="522" t="n">
        <f aca="false">-SUM(AK92:AK94)*MAX((AK4='Executive Summary'!$I$13),(AK4=('Executive Summary'!$L$22*12+'Executive Summary'!$L$17)))</f>
        <v>-0</v>
      </c>
      <c r="AL95" s="522" t="n">
        <f aca="false">-SUM(AL92:AL94)*MAX((AL4='Executive Summary'!$I$13),(AL4=('Executive Summary'!$L$22*12+'Executive Summary'!$L$17)))</f>
        <v>-0</v>
      </c>
      <c r="AM95" s="522" t="n">
        <f aca="false">-SUM(AM92:AM94)*MAX((AM4='Executive Summary'!$I$13),(AM4=('Executive Summary'!$L$22*12+'Executive Summary'!$L$17)))</f>
        <v>-0</v>
      </c>
      <c r="AN95" s="522" t="n">
        <f aca="false">-SUM(AN92:AN94)*MAX((AN4='Executive Summary'!$I$13),(AN4=('Executive Summary'!$L$22*12+'Executive Summary'!$L$17)))</f>
        <v>-0</v>
      </c>
      <c r="AO95" s="522" t="n">
        <f aca="false">-SUM(AO92:AO94)*MAX((AO4='Executive Summary'!$I$13),(AO4=('Executive Summary'!$L$22*12+'Executive Summary'!$L$17)))</f>
        <v>-0</v>
      </c>
      <c r="AP95" s="522" t="n">
        <f aca="false">-SUM(AP92:AP94)*MAX((AP4='Executive Summary'!$I$13),(AP4=('Executive Summary'!$L$22*12+'Executive Summary'!$L$17)))</f>
        <v>-0</v>
      </c>
      <c r="AQ95" s="522" t="n">
        <f aca="false">-SUM(AQ92:AQ94)*MAX((AQ4='Executive Summary'!$I$13),(AQ4=('Executive Summary'!$L$22*12+'Executive Summary'!$L$17)))</f>
        <v>-0</v>
      </c>
      <c r="AR95" s="522" t="n">
        <f aca="false">-SUM(AR92:AR94)*MAX((AR4='Executive Summary'!$I$13),(AR4=('Executive Summary'!$L$22*12+'Executive Summary'!$L$17)))</f>
        <v>-0</v>
      </c>
      <c r="AS95" s="522" t="n">
        <f aca="false">-SUM(AS92:AS94)*MAX((AS4='Executive Summary'!$I$13),(AS4=('Executive Summary'!$L$22*12+'Executive Summary'!$L$17)))</f>
        <v>-0</v>
      </c>
      <c r="AT95" s="522" t="n">
        <f aca="false">-SUM(AT92:AT94)*MAX((AT4='Executive Summary'!$I$13),(AT4=('Executive Summary'!$L$22*12+'Executive Summary'!$L$17)))</f>
        <v>-0</v>
      </c>
      <c r="AU95" s="522" t="n">
        <f aca="false">-SUM(AU92:AU94)*MAX((AU4='Executive Summary'!$I$13),(AU4=('Executive Summary'!$L$22*12+'Executive Summary'!$L$17)))</f>
        <v>-0</v>
      </c>
      <c r="AV95" s="522" t="n">
        <f aca="false">-SUM(AV92:AV94)*MAX((AV4='Executive Summary'!$I$13),(AV4=('Executive Summary'!$L$22*12+'Executive Summary'!$L$17)))</f>
        <v>-0</v>
      </c>
      <c r="AW95" s="522" t="n">
        <f aca="false">-SUM(AW92:AW94)*MAX((AW4='Executive Summary'!$I$13),(AW4=('Executive Summary'!$L$22*12+'Executive Summary'!$L$17)))</f>
        <v>-0</v>
      </c>
      <c r="AX95" s="522" t="n">
        <f aca="false">-SUM(AX92:AX94)*MAX((AX4='Executive Summary'!$I$13),(AX4=('Executive Summary'!$L$22*12+'Executive Summary'!$L$17)))</f>
        <v>-0</v>
      </c>
      <c r="AY95" s="522" t="n">
        <f aca="false">-SUM(AY92:AY94)*MAX((AY4='Executive Summary'!$I$13),(AY4=('Executive Summary'!$L$22*12+'Executive Summary'!$L$17)))</f>
        <v>-0</v>
      </c>
      <c r="AZ95" s="522" t="n">
        <f aca="false">-SUM(AZ92:AZ94)*MAX((AZ4='Executive Summary'!$I$13),(AZ4=('Executive Summary'!$L$22*12+'Executive Summary'!$L$17)))</f>
        <v>-0</v>
      </c>
      <c r="BA95" s="522" t="n">
        <f aca="false">-SUM(BA92:BA94)*MAX((BA4='Executive Summary'!$I$13),(BA4=('Executive Summary'!$L$22*12+'Executive Summary'!$L$17)))</f>
        <v>-0</v>
      </c>
      <c r="BB95" s="522" t="n">
        <f aca="false">-SUM(BB92:BB94)*MAX((BB4='Executive Summary'!$I$13),(BB4=('Executive Summary'!$L$22*12+'Executive Summary'!$L$17)))</f>
        <v>-0</v>
      </c>
      <c r="BC95" s="522" t="n">
        <f aca="false">-SUM(BC92:BC94)*MAX((BC4='Executive Summary'!$I$13),(BC4=('Executive Summary'!$L$22*12+'Executive Summary'!$L$17)))</f>
        <v>-0</v>
      </c>
      <c r="BD95" s="522" t="n">
        <f aca="false">-SUM(BD92:BD94)*MAX((BD4='Executive Summary'!$I$13),(BD4=('Executive Summary'!$L$22*12+'Executive Summary'!$L$17)))</f>
        <v>-0</v>
      </c>
      <c r="BE95" s="522" t="n">
        <f aca="false">-SUM(BE92:BE94)*MAX((BE4='Executive Summary'!$I$13),(BE4=('Executive Summary'!$L$22*12+'Executive Summary'!$L$17)))</f>
        <v>-0</v>
      </c>
      <c r="BF95" s="522" t="n">
        <f aca="false">-SUM(BF92:BF94)*MAX((BF4='Executive Summary'!$I$13),(BF4=('Executive Summary'!$L$22*12+'Executive Summary'!$L$17)))</f>
        <v>-0</v>
      </c>
      <c r="BG95" s="522" t="n">
        <f aca="false">-SUM(BG92:BG94)*MAX((BG4='Executive Summary'!$I$13),(BG4=('Executive Summary'!$L$22*12+'Executive Summary'!$L$17)))</f>
        <v>-0</v>
      </c>
      <c r="BH95" s="522" t="n">
        <f aca="false">-SUM(BH92:BH94)*MAX((BH4='Executive Summary'!$I$13),(BH4=('Executive Summary'!$L$22*12+'Executive Summary'!$L$17)))</f>
        <v>-0</v>
      </c>
      <c r="BI95" s="522" t="n">
        <f aca="false">-SUM(BI92:BI94)*MAX((BI4='Executive Summary'!$I$13),(BI4=('Executive Summary'!$L$22*12+'Executive Summary'!$L$17)))</f>
        <v>-0</v>
      </c>
      <c r="BJ95" s="522" t="n">
        <f aca="false">-SUM(BJ92:BJ94)*MAX((BJ4='Executive Summary'!$I$13),(BJ4=('Executive Summary'!$L$22*12+'Executive Summary'!$L$17)))</f>
        <v>-0</v>
      </c>
      <c r="BK95" s="522" t="n">
        <f aca="false">-SUM(BK92:BK94)*MAX((BK4='Executive Summary'!$I$13),(BK4=('Executive Summary'!$L$22*12+'Executive Summary'!$L$17)))</f>
        <v>-0</v>
      </c>
      <c r="BL95" s="522" t="n">
        <f aca="false">-SUM(BL92:BL94)*MAX((BL4='Executive Summary'!$I$13),(BL4=('Executive Summary'!$L$22*12+'Executive Summary'!$L$17)))</f>
        <v>-0</v>
      </c>
      <c r="BM95" s="522" t="n">
        <f aca="false">-SUM(BM92:BM94)*MAX((BM4='Executive Summary'!$I$13),(BM4=('Executive Summary'!$L$22*12+'Executive Summary'!$L$17)))</f>
        <v>-0</v>
      </c>
      <c r="BN95" s="522" t="n">
        <f aca="false">-SUM(BN92:BN94)*MAX((BN4='Executive Summary'!$I$13),(BN4=('Executive Summary'!$L$22*12+'Executive Summary'!$L$17)))</f>
        <v>-0</v>
      </c>
      <c r="BO95" s="522" t="n">
        <f aca="false">-SUM(BO92:BO94)*MAX((BO4='Executive Summary'!$I$13),(BO4=('Executive Summary'!$L$22*12+'Executive Summary'!$L$17)))</f>
        <v>-0</v>
      </c>
      <c r="BP95" s="522" t="n">
        <f aca="false">-SUM(BP92:BP94)*MAX((BP4='Executive Summary'!$I$13),(BP4=('Executive Summary'!$L$22*12+'Executive Summary'!$L$17)))</f>
        <v>-0</v>
      </c>
      <c r="BQ95" s="522" t="n">
        <f aca="false">-SUM(BQ92:BQ94)*MAX((BQ4='Executive Summary'!$I$13),(BQ4=('Executive Summary'!$L$22*12+'Executive Summary'!$L$17)))</f>
        <v>-0</v>
      </c>
      <c r="BR95" s="522" t="n">
        <f aca="false">-SUM(BR92:BR94)*MAX((BR4='Executive Summary'!$I$13),(BR4=('Executive Summary'!$L$22*12+'Executive Summary'!$L$17)))</f>
        <v>-0</v>
      </c>
      <c r="BS95" s="522" t="n">
        <f aca="false">-SUM(BS92:BS94)*MAX((BS4='Executive Summary'!$I$13),(BS4=('Executive Summary'!$L$22*12+'Executive Summary'!$L$17)))</f>
        <v>-0</v>
      </c>
      <c r="BT95" s="522" t="n">
        <f aca="false">-SUM(BT92:BT94)*MAX((BT4='Executive Summary'!$I$13),(BT4=('Executive Summary'!$L$22*12+'Executive Summary'!$L$17)))</f>
        <v>-0</v>
      </c>
      <c r="BU95" s="522" t="n">
        <f aca="false">-SUM(BU92:BU94)*MAX((BU4='Executive Summary'!$I$13),(BU4=('Executive Summary'!$L$22*12+'Executive Summary'!$L$17)))</f>
        <v>-0</v>
      </c>
      <c r="BV95" s="522" t="n">
        <f aca="false">-SUM(BV92:BV94)*MAX((BV4='Executive Summary'!$I$13),(BV4=('Executive Summary'!$L$22*12+'Executive Summary'!$L$17)))</f>
        <v>-0</v>
      </c>
      <c r="BW95" s="522" t="n">
        <f aca="false">-SUM(BW92:BW94)*MAX((BW4='Executive Summary'!$I$13),(BW4=('Executive Summary'!$L$22*12+'Executive Summary'!$L$17)))</f>
        <v>-0</v>
      </c>
      <c r="BX95" s="522" t="n">
        <f aca="false">-SUM(BX92:BX94)*MAX((BX4='Executive Summary'!$I$13),(BX4=('Executive Summary'!$L$22*12+'Executive Summary'!$L$17)))</f>
        <v>-0</v>
      </c>
      <c r="BY95" s="522" t="n">
        <f aca="false">-SUM(BY92:BY94)*MAX((BY4='Executive Summary'!$I$13),(BY4=('Executive Summary'!$L$22*12+'Executive Summary'!$L$17)))</f>
        <v>-0</v>
      </c>
      <c r="BZ95" s="522" t="n">
        <f aca="false">-SUM(BZ92:BZ94)*MAX((BZ4='Executive Summary'!$I$13),(BZ4=('Executive Summary'!$L$22*12+'Executive Summary'!$L$17)))</f>
        <v>-0</v>
      </c>
      <c r="CA95" s="522" t="n">
        <f aca="false">-SUM(CA92:CA94)*MAX((CA4='Executive Summary'!$I$13),(CA4=('Executive Summary'!$L$22*12+'Executive Summary'!$L$17)))</f>
        <v>-0</v>
      </c>
      <c r="CB95" s="522" t="n">
        <f aca="false">-SUM(CB92:CB94)*MAX((CB4='Executive Summary'!$I$13),(CB4=('Executive Summary'!$L$22*12+'Executive Summary'!$L$17)))</f>
        <v>-0</v>
      </c>
      <c r="CC95" s="522" t="n">
        <f aca="false">-SUM(CC92:CC94)*MAX((CC4='Executive Summary'!$I$13),(CC4=('Executive Summary'!$L$22*12+'Executive Summary'!$L$17)))</f>
        <v>-0</v>
      </c>
      <c r="CD95" s="522" t="n">
        <f aca="false">-SUM(CD92:CD94)*MAX((CD4='Executive Summary'!$I$13),(CD4=('Executive Summary'!$L$22*12+'Executive Summary'!$L$17)))</f>
        <v>-0</v>
      </c>
      <c r="CE95" s="522" t="n">
        <f aca="false">-SUM(CE92:CE94)*MAX((CE4='Executive Summary'!$I$13),(CE4=('Executive Summary'!$L$22*12+'Executive Summary'!$L$17)))</f>
        <v>-0</v>
      </c>
      <c r="CF95" s="522" t="n">
        <f aca="false">-SUM(CF92:CF94)*MAX((CF4='Executive Summary'!$I$13),(CF4=('Executive Summary'!$L$22*12+'Executive Summary'!$L$17)))</f>
        <v>-0</v>
      </c>
      <c r="CG95" s="522" t="n">
        <f aca="false">-SUM(CG92:CG94)*MAX((CG4='Executive Summary'!$I$13),(CG4=('Executive Summary'!$L$22*12+'Executive Summary'!$L$17)))</f>
        <v>-0</v>
      </c>
      <c r="CH95" s="522" t="n">
        <f aca="false">-SUM(CH92:CH94)*MAX((CH4='Executive Summary'!$I$13),(CH4=('Executive Summary'!$L$22*12+'Executive Summary'!$L$17)))</f>
        <v>-0</v>
      </c>
      <c r="CI95" s="522" t="n">
        <f aca="false">-SUM(CI92:CI94)*MAX((CI4='Executive Summary'!$I$13),(CI4=('Executive Summary'!$L$22*12+'Executive Summary'!$L$17)))</f>
        <v>-0</v>
      </c>
      <c r="CJ95" s="522" t="n">
        <f aca="false">-SUM(CJ92:CJ94)*MAX((CJ4='Executive Summary'!$I$13),(CJ4=('Executive Summary'!$L$22*12+'Executive Summary'!$L$17)))</f>
        <v>-0</v>
      </c>
      <c r="CK95" s="522" t="n">
        <f aca="false">-SUM(CK92:CK94)*MAX((CK4='Executive Summary'!$I$13),(CK4=('Executive Summary'!$L$22*12+'Executive Summary'!$L$17)))</f>
        <v>-0</v>
      </c>
      <c r="CL95" s="522" t="n">
        <f aca="false">-SUM(CL92:CL94)*MAX((CL4='Executive Summary'!$I$13),(CL4=('Executive Summary'!$L$22*12+'Executive Summary'!$L$17)))</f>
        <v>-0</v>
      </c>
      <c r="CM95" s="522" t="n">
        <f aca="false">-SUM(CM92:CM94)*MAX((CM4='Executive Summary'!$I$13),(CM4=('Executive Summary'!$L$22*12+'Executive Summary'!$L$17)))</f>
        <v>-0</v>
      </c>
      <c r="CN95" s="522" t="n">
        <f aca="false">-SUM(CN92:CN94)*MAX((CN4='Executive Summary'!$I$13),(CN4=('Executive Summary'!$L$22*12+'Executive Summary'!$L$17)))</f>
        <v>-0</v>
      </c>
      <c r="CO95" s="522" t="n">
        <f aca="false">-SUM(CO92:CO94)*MAX((CO4='Executive Summary'!$I$13),(CO4=('Executive Summary'!$L$22*12+'Executive Summary'!$L$17)))</f>
        <v>-0</v>
      </c>
      <c r="CP95" s="522" t="n">
        <f aca="false">-SUM(CP92:CP94)*MAX((CP4='Executive Summary'!$I$13),(CP4=('Executive Summary'!$L$22*12+'Executive Summary'!$L$17)))</f>
        <v>-0</v>
      </c>
      <c r="CQ95" s="522" t="n">
        <f aca="false">-SUM(CQ92:CQ94)*MAX((CQ4='Executive Summary'!$I$13),(CQ4=('Executive Summary'!$L$22*12+'Executive Summary'!$L$17)))</f>
        <v>-0</v>
      </c>
      <c r="CR95" s="522" t="n">
        <f aca="false">-SUM(CR92:CR94)*MAX((CR4='Executive Summary'!$I$13),(CR4=('Executive Summary'!$L$22*12+'Executive Summary'!$L$17)))</f>
        <v>-0</v>
      </c>
      <c r="CS95" s="522" t="n">
        <f aca="false">-SUM(CS92:CS94)*MAX((CS4='Executive Summary'!$I$13),(CS4=('Executive Summary'!$L$22*12+'Executive Summary'!$L$17)))</f>
        <v>-0</v>
      </c>
      <c r="CT95" s="522" t="n">
        <f aca="false">-SUM(CT92:CT94)*MAX((CT4='Executive Summary'!$I$13),(CT4=('Executive Summary'!$L$22*12+'Executive Summary'!$L$17)))</f>
        <v>-0</v>
      </c>
      <c r="CU95" s="522" t="n">
        <f aca="false">-SUM(CU92:CU94)*MAX((CU4='Executive Summary'!$I$13),(CU4=('Executive Summary'!$L$22*12+'Executive Summary'!$L$17)))</f>
        <v>-0</v>
      </c>
      <c r="CV95" s="522" t="n">
        <f aca="false">-SUM(CV92:CV94)*MAX((CV4='Executive Summary'!$I$13),(CV4=('Executive Summary'!$L$22*12+'Executive Summary'!$L$17)))</f>
        <v>-0</v>
      </c>
      <c r="CW95" s="522" t="n">
        <f aca="false">-SUM(CW92:CW94)*MAX((CW4='Executive Summary'!$I$13),(CW4=('Executive Summary'!$L$22*12+'Executive Summary'!$L$17)))</f>
        <v>-0</v>
      </c>
      <c r="CX95" s="522" t="n">
        <f aca="false">-SUM(CX92:CX94)*MAX((CX4='Executive Summary'!$I$13),(CX4=('Executive Summary'!$L$22*12+'Executive Summary'!$L$17)))</f>
        <v>-0</v>
      </c>
      <c r="CY95" s="522" t="n">
        <f aca="false">-SUM(CY92:CY94)*MAX((CY4='Executive Summary'!$I$13),(CY4=('Executive Summary'!$L$22*12+'Executive Summary'!$L$17)))</f>
        <v>-0</v>
      </c>
      <c r="CZ95" s="522" t="n">
        <f aca="false">-SUM(CZ92:CZ94)*MAX((CZ4='Executive Summary'!$I$13),(CZ4=('Executive Summary'!$L$22*12+'Executive Summary'!$L$17)))</f>
        <v>-0</v>
      </c>
      <c r="DA95" s="522" t="n">
        <f aca="false">-SUM(DA92:DA94)*MAX((DA4='Executive Summary'!$I$13),(DA4=('Executive Summary'!$L$22*12+'Executive Summary'!$L$17)))</f>
        <v>-0</v>
      </c>
      <c r="DB95" s="522" t="n">
        <f aca="false">-SUM(DB92:DB94)*MAX((DB4='Executive Summary'!$I$13),(DB4=('Executive Summary'!$L$22*12+'Executive Summary'!$L$17)))</f>
        <v>-0</v>
      </c>
      <c r="DC95" s="522" t="n">
        <f aca="false">-SUM(DC92:DC94)*MAX((DC4='Executive Summary'!$I$13),(DC4=('Executive Summary'!$L$22*12+'Executive Summary'!$L$17)))</f>
        <v>-0</v>
      </c>
      <c r="DD95" s="522" t="n">
        <f aca="false">-SUM(DD92:DD94)*MAX((DD4='Executive Summary'!$I$13),(DD4=('Executive Summary'!$L$22*12+'Executive Summary'!$L$17)))</f>
        <v>-0</v>
      </c>
      <c r="DE95" s="522" t="n">
        <f aca="false">-SUM(DE92:DE94)*MAX((DE4='Executive Summary'!$I$13),(DE4=('Executive Summary'!$L$22*12+'Executive Summary'!$L$17)))</f>
        <v>-0</v>
      </c>
      <c r="DF95" s="522" t="n">
        <f aca="false">-SUM(DF92:DF94)*MAX((DF4='Executive Summary'!$I$13),(DF4=('Executive Summary'!$L$22*12+'Executive Summary'!$L$17)))</f>
        <v>-0</v>
      </c>
      <c r="DG95" s="522" t="n">
        <f aca="false">-SUM(DG92:DG94)*MAX((DG4='Executive Summary'!$I$13),(DG4=('Executive Summary'!$L$22*12+'Executive Summary'!$L$17)))</f>
        <v>-0</v>
      </c>
      <c r="DH95" s="522" t="n">
        <f aca="false">-SUM(DH92:DH94)*MAX((DH4='Executive Summary'!$I$13),(DH4=('Executive Summary'!$L$22*12+'Executive Summary'!$L$17)))</f>
        <v>-0</v>
      </c>
      <c r="DI95" s="522" t="n">
        <f aca="false">-SUM(DI92:DI94)*MAX((DI4='Executive Summary'!$I$13),(DI4=('Executive Summary'!$L$22*12+'Executive Summary'!$L$17)))</f>
        <v>-0</v>
      </c>
      <c r="DJ95" s="522" t="n">
        <f aca="false">-SUM(DJ92:DJ94)*MAX((DJ4='Executive Summary'!$I$13),(DJ4=('Executive Summary'!$L$22*12+'Executive Summary'!$L$17)))</f>
        <v>-0</v>
      </c>
      <c r="DK95" s="522" t="n">
        <f aca="false">-SUM(DK92:DK94)*MAX((DK4='Executive Summary'!$I$13),(DK4=('Executive Summary'!$L$22*12+'Executive Summary'!$L$17)))</f>
        <v>-0</v>
      </c>
      <c r="DL95" s="522" t="n">
        <f aca="false">-SUM(DL92:DL94)*MAX((DL4='Executive Summary'!$I$13),(DL4=('Executive Summary'!$L$22*12+'Executive Summary'!$L$17)))</f>
        <v>-0</v>
      </c>
      <c r="DM95" s="522" t="n">
        <f aca="false">-SUM(DM92:DM94)*MAX((DM4='Executive Summary'!$I$13),(DM4=('Executive Summary'!$L$22*12+'Executive Summary'!$L$17)))</f>
        <v>-0</v>
      </c>
      <c r="DN95" s="522" t="n">
        <f aca="false">-SUM(DN92:DN94)*MAX((DN4='Executive Summary'!$I$13),(DN4=('Executive Summary'!$L$22*12+'Executive Summary'!$L$17)))</f>
        <v>-0</v>
      </c>
      <c r="DO95" s="522" t="n">
        <f aca="false">-SUM(DO92:DO94)*MAX((DO4='Executive Summary'!$I$13),(DO4=('Executive Summary'!$L$22*12+'Executive Summary'!$L$17)))</f>
        <v>-0</v>
      </c>
      <c r="DP95" s="522" t="n">
        <f aca="false">-SUM(DP92:DP94)*MAX((DP4='Executive Summary'!$I$13),(DP4=('Executive Summary'!$L$22*12+'Executive Summary'!$L$17)))</f>
        <v>-0</v>
      </c>
      <c r="DQ95" s="522" t="n">
        <f aca="false">-SUM(DQ92:DQ94)*MAX((DQ4='Executive Summary'!$I$13),(DQ4=('Executive Summary'!$L$22*12+'Executive Summary'!$L$17)))</f>
        <v>-0</v>
      </c>
      <c r="DR95" s="522" t="n">
        <f aca="false">-SUM(DR92:DR94)*MAX((DR4='Executive Summary'!$I$13),(DR4=('Executive Summary'!$L$22*12+'Executive Summary'!$L$17)))</f>
        <v>-0</v>
      </c>
      <c r="DS95" s="522" t="n">
        <f aca="false">-SUM(DS92:DS94)*MAX((DS4='Executive Summary'!$I$13),(DS4=('Executive Summary'!$L$22*12+'Executive Summary'!$L$17)))</f>
        <v>-0</v>
      </c>
      <c r="DT95" s="522" t="n">
        <f aca="false">-SUM(DT92:DT94)*MAX((DT4='Executive Summary'!$I$13),(DT4=('Executive Summary'!$L$22*12+'Executive Summary'!$L$17)))</f>
        <v>-0</v>
      </c>
      <c r="DU95" s="522" t="n">
        <f aca="false">-SUM(DU92:DU94)*MAX((DU4='Executive Summary'!$I$13),(DU4=('Executive Summary'!$L$22*12+'Executive Summary'!$L$17)))</f>
        <v>-0</v>
      </c>
      <c r="DV95" s="522" t="n">
        <f aca="false">-SUM(DV92:DV94)*MAX((DV4='Executive Summary'!$I$13),(DV4=('Executive Summary'!$L$22*12+'Executive Summary'!$L$17)))</f>
        <v>-0</v>
      </c>
      <c r="DW95" s="522" t="n">
        <f aca="false">-SUM(DW92:DW94)*MAX((DW4='Executive Summary'!$I$13),(DW4=('Executive Summary'!$L$22*12+'Executive Summary'!$L$17)))</f>
        <v>-0</v>
      </c>
      <c r="DX95" s="522" t="n">
        <f aca="false">-SUM(DX92:DX94)*MAX((DX4='Executive Summary'!$I$13),(DX4=('Executive Summary'!$L$22*12+'Executive Summary'!$L$17)))</f>
        <v>-0</v>
      </c>
      <c r="DY95" s="522" t="n">
        <f aca="false">-SUM(DY92:DY94)*MAX((DY4='Executive Summary'!$I$13),(DY4=('Executive Summary'!$L$22*12+'Executive Summary'!$L$17)))</f>
        <v>-0</v>
      </c>
      <c r="DZ95" s="522" t="n">
        <f aca="false">-SUM(DZ92:DZ94)*MAX((DZ4='Executive Summary'!$I$13),(DZ4=('Executive Summary'!$L$22*12+'Executive Summary'!$L$17)))</f>
        <v>-0</v>
      </c>
      <c r="EA95" s="522" t="n">
        <f aca="false">-SUM(EA92:EA94)*MAX((EA4='Executive Summary'!$I$13),(EA4=('Executive Summary'!$L$22*12+'Executive Summary'!$L$17)))</f>
        <v>-0</v>
      </c>
      <c r="EB95" s="522" t="n">
        <f aca="false">-SUM(EB92:EB94)*MAX((EB4='Executive Summary'!$I$13),(EB4=('Executive Summary'!$L$22*12+'Executive Summary'!$L$17)))</f>
        <v>-0</v>
      </c>
      <c r="EC95" s="522" t="n">
        <f aca="false">-SUM(EC92:EC94)*MAX((EC4='Executive Summary'!$I$13),(EC4=('Executive Summary'!$L$22*12+'Executive Summary'!$L$17)))</f>
        <v>-0</v>
      </c>
      <c r="ED95" s="522" t="n">
        <f aca="false">-SUM(ED92:ED94)*MAX((ED4='Executive Summary'!$I$13),(ED4=('Executive Summary'!$L$22*12+'Executive Summary'!$L$17)))</f>
        <v>-0</v>
      </c>
      <c r="EE95" s="522" t="n">
        <f aca="false">-SUM(EE92:EE94)*MAX((EE4='Executive Summary'!$I$13),(EE4=('Executive Summary'!$L$22*12+'Executive Summary'!$L$17)))</f>
        <v>-0</v>
      </c>
      <c r="EF95" s="522" t="n">
        <f aca="false">-SUM(EF92:EF94)*MAX((EF4='Executive Summary'!$I$13),(EF4=('Executive Summary'!$L$22*12+'Executive Summary'!$L$17)))</f>
        <v>-0</v>
      </c>
      <c r="EG95" s="522" t="n">
        <f aca="false">-SUM(EG92:EG94)*MAX((EG4='Executive Summary'!$I$13),(EG4=('Executive Summary'!$L$22*12+'Executive Summary'!$L$17)))</f>
        <v>-0</v>
      </c>
      <c r="EH95" s="522" t="n">
        <f aca="false">-SUM(EH92:EH94)*MAX((EH4='Executive Summary'!$I$13),(EH4=('Executive Summary'!$L$22*12+'Executive Summary'!$L$17)))</f>
        <v>-0</v>
      </c>
      <c r="EI95" s="558" t="n">
        <f aca="false">-SUM(EI92:EI94)*MAX((EI4='Executive Summary'!$I$13),(EI4=('Executive Summary'!$L$22*12+'Executive Summary'!$L$17)))</f>
        <v>-0</v>
      </c>
      <c r="EK95" s="559" t="n">
        <f aca="false">SUMIF($G$3:$EI$3,EK$24,$G95:$EI95)</f>
        <v>0</v>
      </c>
      <c r="EL95" s="522" t="n">
        <f aca="false">SUMIF($G$3:$EI$3,EL$24,$G95:$EI95)</f>
        <v>0</v>
      </c>
      <c r="EM95" s="522" t="n">
        <f aca="false">SUMIF($G$3:$EI$3,EM$24,$G95:$EI95)</f>
        <v>0</v>
      </c>
      <c r="EN95" s="522" t="n">
        <f aca="false">SUMIF($G$3:$EI$3,EN$24,$G95:$EI95)</f>
        <v>0</v>
      </c>
      <c r="EO95" s="522" t="n">
        <f aca="false">SUMIF($G$3:$EI$3,EO$24,$G95:$EI95)</f>
        <v>0</v>
      </c>
      <c r="EP95" s="522" t="n">
        <f aca="false">SUMIF($G$3:$EI$3,EP$24,$G95:$EI95)</f>
        <v>0</v>
      </c>
      <c r="EQ95" s="522" t="n">
        <f aca="false">SUMIF($G$3:$EI$3,EQ$24,$G95:$EI95)</f>
        <v>0</v>
      </c>
      <c r="ER95" s="522" t="n">
        <f aca="false">SUMIF($G$3:$EI$3,ER$24,$G95:$EI95)</f>
        <v>0</v>
      </c>
      <c r="ES95" s="522" t="n">
        <f aca="false">SUMIF($G$3:$EI$3,ES$24,$G95:$EI95)</f>
        <v>0</v>
      </c>
      <c r="ET95" s="558" t="n">
        <f aca="false">SUMIF($G$3:$EI$3,ET$24,$G95:$EI95)</f>
        <v>0</v>
      </c>
    </row>
    <row r="96" s="522" customFormat="true" ht="13.5" hidden="false" customHeight="true" outlineLevel="1" collapsed="false">
      <c r="B96" s="559" t="s">
        <v>594</v>
      </c>
      <c r="C96" s="557"/>
      <c r="G96" s="522" t="n">
        <f aca="false">SUM(G92:G95)</f>
        <v>0</v>
      </c>
      <c r="H96" s="522" t="n">
        <f aca="false">SUM(H92:H95)</f>
        <v>0</v>
      </c>
      <c r="I96" s="522" t="n">
        <f aca="false">SUM(I92:I95)</f>
        <v>0</v>
      </c>
      <c r="J96" s="522" t="n">
        <f aca="false">SUM(J92:J95)</f>
        <v>0</v>
      </c>
      <c r="K96" s="522" t="n">
        <f aca="false">SUM(K92:K95)</f>
        <v>0</v>
      </c>
      <c r="L96" s="522" t="n">
        <f aca="false">SUM(L92:L95)</f>
        <v>0</v>
      </c>
      <c r="M96" s="522" t="n">
        <f aca="false">SUM(M92:M95)</f>
        <v>0</v>
      </c>
      <c r="N96" s="522" t="n">
        <f aca="false">SUM(N92:N95)</f>
        <v>0</v>
      </c>
      <c r="O96" s="522" t="n">
        <f aca="false">SUM(O92:O95)</f>
        <v>0</v>
      </c>
      <c r="P96" s="522" t="n">
        <f aca="false">SUM(P92:P95)</f>
        <v>0</v>
      </c>
      <c r="Q96" s="522" t="n">
        <f aca="false">SUM(Q92:Q95)</f>
        <v>0</v>
      </c>
      <c r="R96" s="522" t="n">
        <f aca="false">SUM(R92:R95)</f>
        <v>0</v>
      </c>
      <c r="S96" s="522" t="n">
        <f aca="false">SUM(S92:S95)</f>
        <v>0</v>
      </c>
      <c r="T96" s="522" t="n">
        <f aca="false">SUM(T92:T95)</f>
        <v>0</v>
      </c>
      <c r="U96" s="522" t="n">
        <f aca="false">SUM(U92:U95)</f>
        <v>0</v>
      </c>
      <c r="V96" s="522" t="n">
        <f aca="false">SUM(V92:V95)</f>
        <v>0</v>
      </c>
      <c r="W96" s="522" t="n">
        <f aca="false">SUM(W92:W95)</f>
        <v>0</v>
      </c>
      <c r="X96" s="522" t="n">
        <f aca="false">SUM(X92:X95)</f>
        <v>0</v>
      </c>
      <c r="Y96" s="522" t="n">
        <f aca="false">SUM(Y92:Y95)</f>
        <v>0</v>
      </c>
      <c r="Z96" s="522" t="n">
        <f aca="false">SUM(Z92:Z95)</f>
        <v>0</v>
      </c>
      <c r="AA96" s="522" t="n">
        <f aca="false">SUM(AA92:AA95)</f>
        <v>0</v>
      </c>
      <c r="AB96" s="522" t="n">
        <f aca="false">SUM(AB92:AB95)</f>
        <v>0</v>
      </c>
      <c r="AC96" s="522" t="n">
        <f aca="false">SUM(AC92:AC95)</f>
        <v>0</v>
      </c>
      <c r="AD96" s="522" t="n">
        <f aca="false">SUM(AD92:AD95)</f>
        <v>0</v>
      </c>
      <c r="AE96" s="522" t="n">
        <f aca="false">SUM(AE92:AE95)</f>
        <v>0</v>
      </c>
      <c r="AF96" s="522" t="n">
        <f aca="false">SUM(AF92:AF95)</f>
        <v>0</v>
      </c>
      <c r="AG96" s="522" t="n">
        <f aca="false">SUM(AG92:AG95)</f>
        <v>0</v>
      </c>
      <c r="AH96" s="522" t="n">
        <f aca="false">SUM(AH92:AH95)</f>
        <v>0</v>
      </c>
      <c r="AI96" s="522" t="n">
        <f aca="false">SUM(AI92:AI95)</f>
        <v>0</v>
      </c>
      <c r="AJ96" s="522" t="n">
        <f aca="false">SUM(AJ92:AJ95)</f>
        <v>0</v>
      </c>
      <c r="AK96" s="522" t="n">
        <f aca="false">SUM(AK92:AK95)</f>
        <v>0</v>
      </c>
      <c r="AL96" s="522" t="n">
        <f aca="false">SUM(AL92:AL95)</f>
        <v>0</v>
      </c>
      <c r="AM96" s="522" t="n">
        <f aca="false">SUM(AM92:AM95)</f>
        <v>0</v>
      </c>
      <c r="AN96" s="522" t="n">
        <f aca="false">SUM(AN92:AN95)</f>
        <v>0</v>
      </c>
      <c r="AO96" s="522" t="n">
        <f aca="false">SUM(AO92:AO95)</f>
        <v>0</v>
      </c>
      <c r="AP96" s="522" t="n">
        <f aca="false">SUM(AP92:AP95)</f>
        <v>0</v>
      </c>
      <c r="AQ96" s="522" t="n">
        <f aca="false">SUM(AQ92:AQ95)</f>
        <v>0</v>
      </c>
      <c r="AR96" s="522" t="n">
        <f aca="false">SUM(AR92:AR95)</f>
        <v>0</v>
      </c>
      <c r="AS96" s="522" t="n">
        <f aca="false">SUM(AS92:AS95)</f>
        <v>0</v>
      </c>
      <c r="AT96" s="522" t="n">
        <f aca="false">SUM(AT92:AT95)</f>
        <v>0</v>
      </c>
      <c r="AU96" s="522" t="n">
        <f aca="false">SUM(AU92:AU95)</f>
        <v>0</v>
      </c>
      <c r="AV96" s="522" t="n">
        <f aca="false">SUM(AV92:AV95)</f>
        <v>0</v>
      </c>
      <c r="AW96" s="522" t="n">
        <f aca="false">SUM(AW92:AW95)</f>
        <v>0</v>
      </c>
      <c r="AX96" s="522" t="n">
        <f aca="false">SUM(AX92:AX95)</f>
        <v>0</v>
      </c>
      <c r="AY96" s="522" t="n">
        <f aca="false">SUM(AY92:AY95)</f>
        <v>0</v>
      </c>
      <c r="AZ96" s="522" t="n">
        <f aca="false">SUM(AZ92:AZ95)</f>
        <v>0</v>
      </c>
      <c r="BA96" s="522" t="n">
        <f aca="false">SUM(BA92:BA95)</f>
        <v>0</v>
      </c>
      <c r="BB96" s="522" t="n">
        <f aca="false">SUM(BB92:BB95)</f>
        <v>0</v>
      </c>
      <c r="BC96" s="522" t="n">
        <f aca="false">SUM(BC92:BC95)</f>
        <v>0</v>
      </c>
      <c r="BD96" s="522" t="n">
        <f aca="false">SUM(BD92:BD95)</f>
        <v>0</v>
      </c>
      <c r="BE96" s="522" t="n">
        <f aca="false">SUM(BE92:BE95)</f>
        <v>0</v>
      </c>
      <c r="BF96" s="522" t="n">
        <f aca="false">SUM(BF92:BF95)</f>
        <v>0</v>
      </c>
      <c r="BG96" s="522" t="n">
        <f aca="false">SUM(BG92:BG95)</f>
        <v>0</v>
      </c>
      <c r="BH96" s="522" t="n">
        <f aca="false">SUM(BH92:BH95)</f>
        <v>0</v>
      </c>
      <c r="BI96" s="522" t="n">
        <f aca="false">SUM(BI92:BI95)</f>
        <v>0</v>
      </c>
      <c r="BJ96" s="522" t="n">
        <f aca="false">SUM(BJ92:BJ95)</f>
        <v>0</v>
      </c>
      <c r="BK96" s="522" t="n">
        <f aca="false">SUM(BK92:BK95)</f>
        <v>0</v>
      </c>
      <c r="BL96" s="522" t="n">
        <f aca="false">SUM(BL92:BL95)</f>
        <v>0</v>
      </c>
      <c r="BM96" s="522" t="n">
        <f aca="false">SUM(BM92:BM95)</f>
        <v>0</v>
      </c>
      <c r="BN96" s="522" t="n">
        <f aca="false">SUM(BN92:BN95)</f>
        <v>0</v>
      </c>
      <c r="BO96" s="522" t="n">
        <f aca="false">SUM(BO92:BO95)</f>
        <v>0</v>
      </c>
      <c r="BP96" s="522" t="n">
        <f aca="false">SUM(BP92:BP95)</f>
        <v>0</v>
      </c>
      <c r="BQ96" s="522" t="n">
        <f aca="false">SUM(BQ92:BQ95)</f>
        <v>0</v>
      </c>
      <c r="BR96" s="522" t="n">
        <f aca="false">SUM(BR92:BR95)</f>
        <v>0</v>
      </c>
      <c r="BS96" s="522" t="n">
        <f aca="false">SUM(BS92:BS95)</f>
        <v>0</v>
      </c>
      <c r="BT96" s="522" t="n">
        <f aca="false">SUM(BT92:BT95)</f>
        <v>0</v>
      </c>
      <c r="BU96" s="522" t="n">
        <f aca="false">SUM(BU92:BU95)</f>
        <v>0</v>
      </c>
      <c r="BV96" s="522" t="n">
        <f aca="false">SUM(BV92:BV95)</f>
        <v>0</v>
      </c>
      <c r="BW96" s="522" t="n">
        <f aca="false">SUM(BW92:BW95)</f>
        <v>0</v>
      </c>
      <c r="BX96" s="522" t="n">
        <f aca="false">SUM(BX92:BX95)</f>
        <v>0</v>
      </c>
      <c r="BY96" s="522" t="n">
        <f aca="false">SUM(BY92:BY95)</f>
        <v>0</v>
      </c>
      <c r="BZ96" s="522" t="n">
        <f aca="false">SUM(BZ92:BZ95)</f>
        <v>0</v>
      </c>
      <c r="CA96" s="522" t="n">
        <f aca="false">SUM(CA92:CA95)</f>
        <v>0</v>
      </c>
      <c r="CB96" s="522" t="n">
        <f aca="false">SUM(CB92:CB95)</f>
        <v>0</v>
      </c>
      <c r="CC96" s="522" t="n">
        <f aca="false">SUM(CC92:CC95)</f>
        <v>0</v>
      </c>
      <c r="CD96" s="522" t="n">
        <f aca="false">SUM(CD92:CD95)</f>
        <v>0</v>
      </c>
      <c r="CE96" s="522" t="n">
        <f aca="false">SUM(CE92:CE95)</f>
        <v>0</v>
      </c>
      <c r="CF96" s="522" t="n">
        <f aca="false">SUM(CF92:CF95)</f>
        <v>0</v>
      </c>
      <c r="CG96" s="522" t="n">
        <f aca="false">SUM(CG92:CG95)</f>
        <v>0</v>
      </c>
      <c r="CH96" s="522" t="n">
        <f aca="false">SUM(CH92:CH95)</f>
        <v>0</v>
      </c>
      <c r="CI96" s="522" t="n">
        <f aca="false">SUM(CI92:CI95)</f>
        <v>0</v>
      </c>
      <c r="CJ96" s="522" t="n">
        <f aca="false">SUM(CJ92:CJ95)</f>
        <v>0</v>
      </c>
      <c r="CK96" s="522" t="n">
        <f aca="false">SUM(CK92:CK95)</f>
        <v>0</v>
      </c>
      <c r="CL96" s="522" t="n">
        <f aca="false">SUM(CL92:CL95)</f>
        <v>0</v>
      </c>
      <c r="CM96" s="522" t="n">
        <f aca="false">SUM(CM92:CM95)</f>
        <v>0</v>
      </c>
      <c r="CN96" s="522" t="n">
        <f aca="false">SUM(CN92:CN95)</f>
        <v>0</v>
      </c>
      <c r="CO96" s="522" t="n">
        <f aca="false">SUM(CO92:CO95)</f>
        <v>0</v>
      </c>
      <c r="CP96" s="522" t="n">
        <f aca="false">SUM(CP92:CP95)</f>
        <v>0</v>
      </c>
      <c r="CQ96" s="522" t="n">
        <f aca="false">SUM(CQ92:CQ95)</f>
        <v>0</v>
      </c>
      <c r="CR96" s="522" t="n">
        <f aca="false">SUM(CR92:CR95)</f>
        <v>0</v>
      </c>
      <c r="CS96" s="522" t="n">
        <f aca="false">SUM(CS92:CS95)</f>
        <v>0</v>
      </c>
      <c r="CT96" s="522" t="n">
        <f aca="false">SUM(CT92:CT95)</f>
        <v>0</v>
      </c>
      <c r="CU96" s="522" t="n">
        <f aca="false">SUM(CU92:CU95)</f>
        <v>0</v>
      </c>
      <c r="CV96" s="522" t="n">
        <f aca="false">SUM(CV92:CV95)</f>
        <v>0</v>
      </c>
      <c r="CW96" s="522" t="n">
        <f aca="false">SUM(CW92:CW95)</f>
        <v>0</v>
      </c>
      <c r="CX96" s="522" t="n">
        <f aca="false">SUM(CX92:CX95)</f>
        <v>0</v>
      </c>
      <c r="CY96" s="522" t="n">
        <f aca="false">SUM(CY92:CY95)</f>
        <v>0</v>
      </c>
      <c r="CZ96" s="522" t="n">
        <f aca="false">SUM(CZ92:CZ95)</f>
        <v>0</v>
      </c>
      <c r="DA96" s="522" t="n">
        <f aca="false">SUM(DA92:DA95)</f>
        <v>0</v>
      </c>
      <c r="DB96" s="522" t="n">
        <f aca="false">SUM(DB92:DB95)</f>
        <v>0</v>
      </c>
      <c r="DC96" s="522" t="n">
        <f aca="false">SUM(DC92:DC95)</f>
        <v>0</v>
      </c>
      <c r="DD96" s="522" t="n">
        <f aca="false">SUM(DD92:DD95)</f>
        <v>0</v>
      </c>
      <c r="DE96" s="522" t="n">
        <f aca="false">SUM(DE92:DE95)</f>
        <v>0</v>
      </c>
      <c r="DF96" s="522" t="n">
        <f aca="false">SUM(DF92:DF95)</f>
        <v>0</v>
      </c>
      <c r="DG96" s="522" t="n">
        <f aca="false">SUM(DG92:DG95)</f>
        <v>0</v>
      </c>
      <c r="DH96" s="522" t="n">
        <f aca="false">SUM(DH92:DH95)</f>
        <v>0</v>
      </c>
      <c r="DI96" s="522" t="n">
        <f aca="false">SUM(DI92:DI95)</f>
        <v>0</v>
      </c>
      <c r="DJ96" s="522" t="n">
        <f aca="false">SUM(DJ92:DJ95)</f>
        <v>0</v>
      </c>
      <c r="DK96" s="522" t="n">
        <f aca="false">SUM(DK92:DK95)</f>
        <v>0</v>
      </c>
      <c r="DL96" s="522" t="n">
        <f aca="false">SUM(DL92:DL95)</f>
        <v>0</v>
      </c>
      <c r="DM96" s="522" t="n">
        <f aca="false">SUM(DM92:DM95)</f>
        <v>0</v>
      </c>
      <c r="DN96" s="522" t="n">
        <f aca="false">SUM(DN92:DN95)</f>
        <v>0</v>
      </c>
      <c r="DO96" s="522" t="n">
        <f aca="false">SUM(DO92:DO95)</f>
        <v>0</v>
      </c>
      <c r="DP96" s="522" t="n">
        <f aca="false">SUM(DP92:DP95)</f>
        <v>0</v>
      </c>
      <c r="DQ96" s="522" t="n">
        <f aca="false">SUM(DQ92:DQ95)</f>
        <v>0</v>
      </c>
      <c r="DR96" s="522" t="n">
        <f aca="false">SUM(DR92:DR95)</f>
        <v>0</v>
      </c>
      <c r="DS96" s="522" t="n">
        <f aca="false">SUM(DS92:DS95)</f>
        <v>0</v>
      </c>
      <c r="DT96" s="522" t="n">
        <f aca="false">SUM(DT92:DT95)</f>
        <v>0</v>
      </c>
      <c r="DU96" s="522" t="n">
        <f aca="false">SUM(DU92:DU95)</f>
        <v>0</v>
      </c>
      <c r="DV96" s="522" t="n">
        <f aca="false">SUM(DV92:DV95)</f>
        <v>0</v>
      </c>
      <c r="DW96" s="522" t="n">
        <f aca="false">SUM(DW92:DW95)</f>
        <v>0</v>
      </c>
      <c r="DX96" s="522" t="n">
        <f aca="false">SUM(DX92:DX95)</f>
        <v>0</v>
      </c>
      <c r="DY96" s="522" t="n">
        <f aca="false">SUM(DY92:DY95)</f>
        <v>0</v>
      </c>
      <c r="DZ96" s="522" t="n">
        <f aca="false">SUM(DZ92:DZ95)</f>
        <v>0</v>
      </c>
      <c r="EA96" s="522" t="n">
        <f aca="false">SUM(EA92:EA95)</f>
        <v>0</v>
      </c>
      <c r="EB96" s="522" t="n">
        <f aca="false">SUM(EB92:EB95)</f>
        <v>0</v>
      </c>
      <c r="EC96" s="522" t="n">
        <f aca="false">SUM(EC92:EC95)</f>
        <v>0</v>
      </c>
      <c r="ED96" s="522" t="n">
        <f aca="false">SUM(ED92:ED95)</f>
        <v>0</v>
      </c>
      <c r="EE96" s="522" t="n">
        <f aca="false">SUM(EE92:EE95)</f>
        <v>0</v>
      </c>
      <c r="EF96" s="522" t="n">
        <f aca="false">SUM(EF92:EF95)</f>
        <v>0</v>
      </c>
      <c r="EG96" s="522" t="n">
        <f aca="false">SUM(EG92:EG95)</f>
        <v>0</v>
      </c>
      <c r="EH96" s="522" t="n">
        <f aca="false">SUM(EH92:EH95)</f>
        <v>0</v>
      </c>
      <c r="EI96" s="558" t="n">
        <f aca="false">SUM(EI92:EI95)</f>
        <v>0</v>
      </c>
      <c r="EK96" s="559" t="n">
        <f aca="false">SUMIF($G$3:$EI$3,EK$24,$G96:$EI96)</f>
        <v>0</v>
      </c>
      <c r="EL96" s="522" t="n">
        <f aca="false">SUMIF($G$3:$EI$3,EL$24,$G96:$EI96)</f>
        <v>0</v>
      </c>
      <c r="EM96" s="522" t="n">
        <f aca="false">SUMIF($G$3:$EI$3,EM$24,$G96:$EI96)</f>
        <v>0</v>
      </c>
      <c r="EN96" s="522" t="n">
        <f aca="false">SUMIF($G$3:$EI$3,EN$24,$G96:$EI96)</f>
        <v>0</v>
      </c>
      <c r="EO96" s="522" t="n">
        <f aca="false">SUMIF($G$3:$EI$3,EO$24,$G96:$EI96)</f>
        <v>0</v>
      </c>
      <c r="EP96" s="522" t="n">
        <f aca="false">SUMIF($G$3:$EI$3,EP$24,$G96:$EI96)</f>
        <v>0</v>
      </c>
      <c r="EQ96" s="522" t="n">
        <f aca="false">SUMIF($G$3:$EI$3,EQ$24,$G96:$EI96)</f>
        <v>0</v>
      </c>
      <c r="ER96" s="522" t="n">
        <f aca="false">SUMIF($G$3:$EI$3,ER$24,$G96:$EI96)</f>
        <v>0</v>
      </c>
      <c r="ES96" s="522" t="n">
        <f aca="false">SUMIF($G$3:$EI$3,ES$24,$G96:$EI96)</f>
        <v>0</v>
      </c>
      <c r="ET96" s="558" t="n">
        <f aca="false">SUMIF($G$3:$EI$3,ET$24,$G96:$EI96)</f>
        <v>0</v>
      </c>
    </row>
    <row r="97" s="522" customFormat="true" ht="13.5" hidden="false" customHeight="true" outlineLevel="1" collapsed="false">
      <c r="B97" s="559" t="s">
        <v>583</v>
      </c>
      <c r="C97" s="557"/>
      <c r="H97" s="522" t="n">
        <f aca="false">IF(H92,IF(H91&gt;0, IPMT('Executive Summary'!$L$21/12, H91, 'Executive Summary'!$L$24*12, $E$90), IPMT('Executive Summary'!$L$21/12, 1, 'Executive Summary'!$L$24*12, $E$90)),0)</f>
        <v>0</v>
      </c>
      <c r="I97" s="522" t="n">
        <f aca="false">IF(I92,IF(I91&gt;0, IPMT('Executive Summary'!$L$21/12, I91, 'Executive Summary'!$L$24*12, $E$90), IPMT('Executive Summary'!$L$21/12, 1, 'Executive Summary'!$L$24*12, $E$90)),0)</f>
        <v>0</v>
      </c>
      <c r="J97" s="522" t="n">
        <f aca="false">IF(J92,IF(J91&gt;0, IPMT('Executive Summary'!$L$21/12, J91, 'Executive Summary'!$L$24*12, $E$90), IPMT('Executive Summary'!$L$21/12, 1, 'Executive Summary'!$L$24*12, $E$90)),0)</f>
        <v>0</v>
      </c>
      <c r="K97" s="522" t="n">
        <f aca="false">IF(K92,IF(K91&gt;0, IPMT('Executive Summary'!$L$21/12, K91, 'Executive Summary'!$L$24*12, $E$90), IPMT('Executive Summary'!$L$21/12, 1, 'Executive Summary'!$L$24*12, $E$90)),0)</f>
        <v>0</v>
      </c>
      <c r="L97" s="522" t="n">
        <f aca="false">IF(L92,IF(L91&gt;0, IPMT('Executive Summary'!$L$21/12, L91, 'Executive Summary'!$L$24*12, $E$90), IPMT('Executive Summary'!$L$21/12, 1, 'Executive Summary'!$L$24*12, $E$90)),0)</f>
        <v>0</v>
      </c>
      <c r="M97" s="522" t="n">
        <f aca="false">IF(M92,IF(M91&gt;0, IPMT('Executive Summary'!$L$21/12, M91, 'Executive Summary'!$L$24*12, $E$90), IPMT('Executive Summary'!$L$21/12, 1, 'Executive Summary'!$L$24*12, $E$90)),0)</f>
        <v>0</v>
      </c>
      <c r="N97" s="522" t="n">
        <f aca="false">IF(N92,IF(N91&gt;0, IPMT('Executive Summary'!$L$21/12, N91, 'Executive Summary'!$L$24*12, $E$90), IPMT('Executive Summary'!$L$21/12, 1, 'Executive Summary'!$L$24*12, $E$90)),0)</f>
        <v>0</v>
      </c>
      <c r="O97" s="522" t="n">
        <f aca="false">IF(O92,IF(O91&gt;0, IPMT('Executive Summary'!$L$21/12, O91, 'Executive Summary'!$L$24*12, $E$90), IPMT('Executive Summary'!$L$21/12, 1, 'Executive Summary'!$L$24*12, $E$90)),0)</f>
        <v>0</v>
      </c>
      <c r="P97" s="522" t="n">
        <f aca="false">IF(P92,IF(P91&gt;0, IPMT('Executive Summary'!$L$21/12, P91, 'Executive Summary'!$L$24*12, $E$90), IPMT('Executive Summary'!$L$21/12, 1, 'Executive Summary'!$L$24*12, $E$90)),0)</f>
        <v>0</v>
      </c>
      <c r="Q97" s="522" t="n">
        <f aca="false">IF(Q92,IF(Q91&gt;0, IPMT('Executive Summary'!$L$21/12, Q91, 'Executive Summary'!$L$24*12, $E$90), IPMT('Executive Summary'!$L$21/12, 1, 'Executive Summary'!$L$24*12, $E$90)),0)</f>
        <v>0</v>
      </c>
      <c r="R97" s="522" t="n">
        <f aca="false">IF(R92,IF(R91&gt;0, IPMT('Executive Summary'!$L$21/12, R91, 'Executive Summary'!$L$24*12, $E$90), IPMT('Executive Summary'!$L$21/12, 1, 'Executive Summary'!$L$24*12, $E$90)),0)</f>
        <v>0</v>
      </c>
      <c r="S97" s="522" t="n">
        <f aca="false">IF(S92,IF(S91&gt;0, IPMT('Executive Summary'!$L$21/12, S91, 'Executive Summary'!$L$24*12, $E$90), IPMT('Executive Summary'!$L$21/12, 1, 'Executive Summary'!$L$24*12, $E$90)),0)</f>
        <v>0</v>
      </c>
      <c r="T97" s="522" t="n">
        <f aca="false">IF(T92,IF(T91&gt;0, IPMT('Executive Summary'!$L$21/12, T91, 'Executive Summary'!$L$24*12, $E$90), IPMT('Executive Summary'!$L$21/12, 1, 'Executive Summary'!$L$24*12, $E$90)),0)</f>
        <v>0</v>
      </c>
      <c r="U97" s="522" t="n">
        <f aca="false">IF(U92,IF(U91&gt;0, IPMT('Executive Summary'!$L$21/12, U91, 'Executive Summary'!$L$24*12, $E$90), IPMT('Executive Summary'!$L$21/12, 1, 'Executive Summary'!$L$24*12, $E$90)),0)</f>
        <v>0</v>
      </c>
      <c r="V97" s="522" t="n">
        <f aca="false">IF(V92,IF(V91&gt;0, IPMT('Executive Summary'!$L$21/12, V91, 'Executive Summary'!$L$24*12, $E$90), IPMT('Executive Summary'!$L$21/12, 1, 'Executive Summary'!$L$24*12, $E$90)),0)</f>
        <v>0</v>
      </c>
      <c r="W97" s="522" t="n">
        <f aca="false">IF(W92,IF(W91&gt;0, IPMT('Executive Summary'!$L$21/12, W91, 'Executive Summary'!$L$24*12, $E$90), IPMT('Executive Summary'!$L$21/12, 1, 'Executive Summary'!$L$24*12, $E$90)),0)</f>
        <v>0</v>
      </c>
      <c r="X97" s="522" t="n">
        <f aca="false">IF(X92,IF(X91&gt;0, IPMT('Executive Summary'!$L$21/12, X91, 'Executive Summary'!$L$24*12, $E$90), IPMT('Executive Summary'!$L$21/12, 1, 'Executive Summary'!$L$24*12, $E$90)),0)</f>
        <v>0</v>
      </c>
      <c r="Y97" s="522" t="n">
        <f aca="false">IF(Y92,IF(Y91&gt;0, IPMT('Executive Summary'!$L$21/12, Y91, 'Executive Summary'!$L$24*12, $E$90), IPMT('Executive Summary'!$L$21/12, 1, 'Executive Summary'!$L$24*12, $E$90)),0)</f>
        <v>0</v>
      </c>
      <c r="Z97" s="522" t="n">
        <f aca="false">IF(Z92,IF(Z91&gt;0, IPMT('Executive Summary'!$L$21/12, Z91, 'Executive Summary'!$L$24*12, $E$90), IPMT('Executive Summary'!$L$21/12, 1, 'Executive Summary'!$L$24*12, $E$90)),0)</f>
        <v>0</v>
      </c>
      <c r="AA97" s="522" t="n">
        <f aca="false">IF(AA92,IF(AA91&gt;0, IPMT('Executive Summary'!$L$21/12, AA91, 'Executive Summary'!$L$24*12, $E$90), IPMT('Executive Summary'!$L$21/12, 1, 'Executive Summary'!$L$24*12, $E$90)),0)</f>
        <v>0</v>
      </c>
      <c r="AB97" s="522" t="n">
        <f aca="false">IF(AB92,IF(AB91&gt;0, IPMT('Executive Summary'!$L$21/12, AB91, 'Executive Summary'!$L$24*12, $E$90), IPMT('Executive Summary'!$L$21/12, 1, 'Executive Summary'!$L$24*12, $E$90)),0)</f>
        <v>0</v>
      </c>
      <c r="AC97" s="522" t="n">
        <f aca="false">IF(AC92,IF(AC91&gt;0, IPMT('Executive Summary'!$L$21/12, AC91, 'Executive Summary'!$L$24*12, $E$90), IPMT('Executive Summary'!$L$21/12, 1, 'Executive Summary'!$L$24*12, $E$90)),0)</f>
        <v>0</v>
      </c>
      <c r="AD97" s="522" t="n">
        <f aca="false">IF(AD92,IF(AD91&gt;0, IPMT('Executive Summary'!$L$21/12, AD91, 'Executive Summary'!$L$24*12, $E$90), IPMT('Executive Summary'!$L$21/12, 1, 'Executive Summary'!$L$24*12, $E$90)),0)</f>
        <v>0</v>
      </c>
      <c r="AE97" s="522" t="n">
        <f aca="false">IF(AE92,IF(AE91&gt;0, IPMT('Executive Summary'!$L$21/12, AE91, 'Executive Summary'!$L$24*12, $E$90), IPMT('Executive Summary'!$L$21/12, 1, 'Executive Summary'!$L$24*12, $E$90)),0)</f>
        <v>0</v>
      </c>
      <c r="AF97" s="522" t="n">
        <f aca="false">IF(AF92,IF(AF91&gt;0, IPMT('Executive Summary'!$L$21/12, AF91, 'Executive Summary'!$L$24*12, $E$90), IPMT('Executive Summary'!$L$21/12, 1, 'Executive Summary'!$L$24*12, $E$90)),0)</f>
        <v>0</v>
      </c>
      <c r="AG97" s="522" t="n">
        <f aca="false">IF(AG92,IF(AG91&gt;0, IPMT('Executive Summary'!$L$21/12, AG91, 'Executive Summary'!$L$24*12, $E$90), IPMT('Executive Summary'!$L$21/12, 1, 'Executive Summary'!$L$24*12, $E$90)),0)</f>
        <v>0</v>
      </c>
      <c r="AH97" s="522" t="n">
        <f aca="false">IF(AH92,IF(AH91&gt;0, IPMT('Executive Summary'!$L$21/12, AH91, 'Executive Summary'!$L$24*12, $E$90), IPMT('Executive Summary'!$L$21/12, 1, 'Executive Summary'!$L$24*12, $E$90)),0)</f>
        <v>0</v>
      </c>
      <c r="AI97" s="522" t="n">
        <f aca="false">IF(AI92,IF(AI91&gt;0, IPMT('Executive Summary'!$L$21/12, AI91, 'Executive Summary'!$L$24*12, $E$90), IPMT('Executive Summary'!$L$21/12, 1, 'Executive Summary'!$L$24*12, $E$90)),0)</f>
        <v>0</v>
      </c>
      <c r="AJ97" s="522" t="n">
        <f aca="false">IF(AJ92,IF(AJ91&gt;0, IPMT('Executive Summary'!$L$21/12, AJ91, 'Executive Summary'!$L$24*12, $E$90), IPMT('Executive Summary'!$L$21/12, 1, 'Executive Summary'!$L$24*12, $E$90)),0)</f>
        <v>0</v>
      </c>
      <c r="AK97" s="522" t="n">
        <f aca="false">IF(AK92,IF(AK91&gt;0, IPMT('Executive Summary'!$L$21/12, AK91, 'Executive Summary'!$L$24*12, $E$90), IPMT('Executive Summary'!$L$21/12, 1, 'Executive Summary'!$L$24*12, $E$90)),0)</f>
        <v>0</v>
      </c>
      <c r="AL97" s="522" t="n">
        <f aca="false">IF(AL92,IF(AL91&gt;0, IPMT('Executive Summary'!$L$21/12, AL91, 'Executive Summary'!$L$24*12, $E$90), IPMT('Executive Summary'!$L$21/12, 1, 'Executive Summary'!$L$24*12, $E$90)),0)</f>
        <v>0</v>
      </c>
      <c r="AM97" s="522" t="n">
        <f aca="false">IF(AM92,IF(AM91&gt;0, IPMT('Executive Summary'!$L$21/12, AM91, 'Executive Summary'!$L$24*12, $E$90), IPMT('Executive Summary'!$L$21/12, 1, 'Executive Summary'!$L$24*12, $E$90)),0)</f>
        <v>0</v>
      </c>
      <c r="AN97" s="522" t="n">
        <f aca="false">IF(AN92,IF(AN91&gt;0, IPMT('Executive Summary'!$L$21/12, AN91, 'Executive Summary'!$L$24*12, $E$90), IPMT('Executive Summary'!$L$21/12, 1, 'Executive Summary'!$L$24*12, $E$90)),0)</f>
        <v>0</v>
      </c>
      <c r="AO97" s="522" t="n">
        <f aca="false">IF(AO92,IF(AO91&gt;0, IPMT('Executive Summary'!$L$21/12, AO91, 'Executive Summary'!$L$24*12, $E$90), IPMT('Executive Summary'!$L$21/12, 1, 'Executive Summary'!$L$24*12, $E$90)),0)</f>
        <v>0</v>
      </c>
      <c r="AP97" s="522" t="n">
        <f aca="false">IF(AP92,IF(AP91&gt;0, IPMT('Executive Summary'!$L$21/12, AP91, 'Executive Summary'!$L$24*12, $E$90), IPMT('Executive Summary'!$L$21/12, 1, 'Executive Summary'!$L$24*12, $E$90)),0)</f>
        <v>0</v>
      </c>
      <c r="AQ97" s="522" t="n">
        <f aca="false">IF(AQ92,IF(AQ91&gt;0, IPMT('Executive Summary'!$L$21/12, AQ91, 'Executive Summary'!$L$24*12, $E$90), IPMT('Executive Summary'!$L$21/12, 1, 'Executive Summary'!$L$24*12, $E$90)),0)</f>
        <v>0</v>
      </c>
      <c r="AR97" s="522" t="n">
        <f aca="false">IF(AR92,IF(AR91&gt;0, IPMT('Executive Summary'!$L$21/12, AR91, 'Executive Summary'!$L$24*12, $E$90), IPMT('Executive Summary'!$L$21/12, 1, 'Executive Summary'!$L$24*12, $E$90)),0)</f>
        <v>0</v>
      </c>
      <c r="AS97" s="522" t="n">
        <f aca="false">IF(AS92,IF(AS91&gt;0, IPMT('Executive Summary'!$L$21/12, AS91, 'Executive Summary'!$L$24*12, $E$90), IPMT('Executive Summary'!$L$21/12, 1, 'Executive Summary'!$L$24*12, $E$90)),0)</f>
        <v>0</v>
      </c>
      <c r="AT97" s="522" t="n">
        <f aca="false">IF(AT92,IF(AT91&gt;0, IPMT('Executive Summary'!$L$21/12, AT91, 'Executive Summary'!$L$24*12, $E$90), IPMT('Executive Summary'!$L$21/12, 1, 'Executive Summary'!$L$24*12, $E$90)),0)</f>
        <v>0</v>
      </c>
      <c r="AU97" s="522" t="n">
        <f aca="false">IF(AU92,IF(AU91&gt;0, IPMT('Executive Summary'!$L$21/12, AU91, 'Executive Summary'!$L$24*12, $E$90), IPMT('Executive Summary'!$L$21/12, 1, 'Executive Summary'!$L$24*12, $E$90)),0)</f>
        <v>0</v>
      </c>
      <c r="AV97" s="522" t="n">
        <f aca="false">IF(AV92,IF(AV91&gt;0, IPMT('Executive Summary'!$L$21/12, AV91, 'Executive Summary'!$L$24*12, $E$90), IPMT('Executive Summary'!$L$21/12, 1, 'Executive Summary'!$L$24*12, $E$90)),0)</f>
        <v>0</v>
      </c>
      <c r="AW97" s="522" t="n">
        <f aca="false">IF(AW92,IF(AW91&gt;0, IPMT('Executive Summary'!$L$21/12, AW91, 'Executive Summary'!$L$24*12, $E$90), IPMT('Executive Summary'!$L$21/12, 1, 'Executive Summary'!$L$24*12, $E$90)),0)</f>
        <v>0</v>
      </c>
      <c r="AX97" s="522" t="n">
        <f aca="false">IF(AX92,IF(AX91&gt;0, IPMT('Executive Summary'!$L$21/12, AX91, 'Executive Summary'!$L$24*12, $E$90), IPMT('Executive Summary'!$L$21/12, 1, 'Executive Summary'!$L$24*12, $E$90)),0)</f>
        <v>0</v>
      </c>
      <c r="AY97" s="522" t="n">
        <f aca="false">IF(AY92,IF(AY91&gt;0, IPMT('Executive Summary'!$L$21/12, AY91, 'Executive Summary'!$L$24*12, $E$90), IPMT('Executive Summary'!$L$21/12, 1, 'Executive Summary'!$L$24*12, $E$90)),0)</f>
        <v>0</v>
      </c>
      <c r="AZ97" s="522" t="n">
        <f aca="false">IF(AZ92,IF(AZ91&gt;0, IPMT('Executive Summary'!$L$21/12, AZ91, 'Executive Summary'!$L$24*12, $E$90), IPMT('Executive Summary'!$L$21/12, 1, 'Executive Summary'!$L$24*12, $E$90)),0)</f>
        <v>0</v>
      </c>
      <c r="BA97" s="522" t="n">
        <f aca="false">IF(BA92,IF(BA91&gt;0, IPMT('Executive Summary'!$L$21/12, BA91, 'Executive Summary'!$L$24*12, $E$90), IPMT('Executive Summary'!$L$21/12, 1, 'Executive Summary'!$L$24*12, $E$90)),0)</f>
        <v>0</v>
      </c>
      <c r="BB97" s="522" t="n">
        <f aca="false">IF(BB92,IF(BB91&gt;0, IPMT('Executive Summary'!$L$21/12, BB91, 'Executive Summary'!$L$24*12, $E$90), IPMT('Executive Summary'!$L$21/12, 1, 'Executive Summary'!$L$24*12, $E$90)),0)</f>
        <v>0</v>
      </c>
      <c r="BC97" s="522" t="n">
        <f aca="false">IF(BC92,IF(BC91&gt;0, IPMT('Executive Summary'!$L$21/12, BC91, 'Executive Summary'!$L$24*12, $E$90), IPMT('Executive Summary'!$L$21/12, 1, 'Executive Summary'!$L$24*12, $E$90)),0)</f>
        <v>0</v>
      </c>
      <c r="BD97" s="522" t="n">
        <f aca="false">IF(BD92,IF(BD91&gt;0, IPMT('Executive Summary'!$L$21/12, BD91, 'Executive Summary'!$L$24*12, $E$90), IPMT('Executive Summary'!$L$21/12, 1, 'Executive Summary'!$L$24*12, $E$90)),0)</f>
        <v>0</v>
      </c>
      <c r="BE97" s="522" t="n">
        <f aca="false">IF(BE92,IF(BE91&gt;0, IPMT('Executive Summary'!$L$21/12, BE91, 'Executive Summary'!$L$24*12, $E$90), IPMT('Executive Summary'!$L$21/12, 1, 'Executive Summary'!$L$24*12, $E$90)),0)</f>
        <v>0</v>
      </c>
      <c r="BF97" s="522" t="n">
        <f aca="false">IF(BF92,IF(BF91&gt;0, IPMT('Executive Summary'!$L$21/12, BF91, 'Executive Summary'!$L$24*12, $E$90), IPMT('Executive Summary'!$L$21/12, 1, 'Executive Summary'!$L$24*12, $E$90)),0)</f>
        <v>0</v>
      </c>
      <c r="BG97" s="522" t="n">
        <f aca="false">IF(BG92,IF(BG91&gt;0, IPMT('Executive Summary'!$L$21/12, BG91, 'Executive Summary'!$L$24*12, $E$90), IPMT('Executive Summary'!$L$21/12, 1, 'Executive Summary'!$L$24*12, $E$90)),0)</f>
        <v>0</v>
      </c>
      <c r="BH97" s="522" t="n">
        <f aca="false">IF(BH92,IF(BH91&gt;0, IPMT('Executive Summary'!$L$21/12, BH91, 'Executive Summary'!$L$24*12, $E$90), IPMT('Executive Summary'!$L$21/12, 1, 'Executive Summary'!$L$24*12, $E$90)),0)</f>
        <v>0</v>
      </c>
      <c r="BI97" s="522" t="n">
        <f aca="false">IF(BI92,IF(BI91&gt;0, IPMT('Executive Summary'!$L$21/12, BI91, 'Executive Summary'!$L$24*12, $E$90), IPMT('Executive Summary'!$L$21/12, 1, 'Executive Summary'!$L$24*12, $E$90)),0)</f>
        <v>0</v>
      </c>
      <c r="BJ97" s="522" t="n">
        <f aca="false">IF(BJ92,IF(BJ91&gt;0, IPMT('Executive Summary'!$L$21/12, BJ91, 'Executive Summary'!$L$24*12, $E$90), IPMT('Executive Summary'!$L$21/12, 1, 'Executive Summary'!$L$24*12, $E$90)),0)</f>
        <v>0</v>
      </c>
      <c r="BK97" s="522" t="n">
        <f aca="false">IF(BK92,IF(BK91&gt;0, IPMT('Executive Summary'!$L$21/12, BK91, 'Executive Summary'!$L$24*12, $E$90), IPMT('Executive Summary'!$L$21/12, 1, 'Executive Summary'!$L$24*12, $E$90)),0)</f>
        <v>0</v>
      </c>
      <c r="BL97" s="522" t="n">
        <f aca="false">IF(BL92,IF(BL91&gt;0, IPMT('Executive Summary'!$L$21/12, BL91, 'Executive Summary'!$L$24*12, $E$90), IPMT('Executive Summary'!$L$21/12, 1, 'Executive Summary'!$L$24*12, $E$90)),0)</f>
        <v>0</v>
      </c>
      <c r="BM97" s="522" t="n">
        <f aca="false">IF(BM92,IF(BM91&gt;0, IPMT('Executive Summary'!$L$21/12, BM91, 'Executive Summary'!$L$24*12, $E$90), IPMT('Executive Summary'!$L$21/12, 1, 'Executive Summary'!$L$24*12, $E$90)),0)</f>
        <v>0</v>
      </c>
      <c r="BN97" s="522" t="n">
        <f aca="false">IF(BN92,IF(BN91&gt;0, IPMT('Executive Summary'!$L$21/12, BN91, 'Executive Summary'!$L$24*12, $E$90), IPMT('Executive Summary'!$L$21/12, 1, 'Executive Summary'!$L$24*12, $E$90)),0)</f>
        <v>0</v>
      </c>
      <c r="BO97" s="522" t="n">
        <f aca="false">IF(BO92,IF(BO91&gt;0, IPMT('Executive Summary'!$L$21/12, BO91, 'Executive Summary'!$L$24*12, $E$90), IPMT('Executive Summary'!$L$21/12, 1, 'Executive Summary'!$L$24*12, $E$90)),0)</f>
        <v>0</v>
      </c>
      <c r="BP97" s="522" t="n">
        <f aca="false">IF(BP92,IF(BP91&gt;0, IPMT('Executive Summary'!$L$21/12, BP91, 'Executive Summary'!$L$24*12, $E$90), IPMT('Executive Summary'!$L$21/12, 1, 'Executive Summary'!$L$24*12, $E$90)),0)</f>
        <v>0</v>
      </c>
      <c r="BQ97" s="522" t="n">
        <f aca="false">IF(BQ92,IF(BQ91&gt;0, IPMT('Executive Summary'!$L$21/12, BQ91, 'Executive Summary'!$L$24*12, $E$90), IPMT('Executive Summary'!$L$21/12, 1, 'Executive Summary'!$L$24*12, $E$90)),0)</f>
        <v>0</v>
      </c>
      <c r="BR97" s="522" t="n">
        <f aca="false">IF(BR92,IF(BR91&gt;0, IPMT('Executive Summary'!$L$21/12, BR91, 'Executive Summary'!$L$24*12, $E$90), IPMT('Executive Summary'!$L$21/12, 1, 'Executive Summary'!$L$24*12, $E$90)),0)</f>
        <v>0</v>
      </c>
      <c r="BS97" s="522" t="n">
        <f aca="false">IF(BS92,IF(BS91&gt;0, IPMT('Executive Summary'!$L$21/12, BS91, 'Executive Summary'!$L$24*12, $E$90), IPMT('Executive Summary'!$L$21/12, 1, 'Executive Summary'!$L$24*12, $E$90)),0)</f>
        <v>0</v>
      </c>
      <c r="BT97" s="522" t="n">
        <f aca="false">IF(BT92,IF(BT91&gt;0, IPMT('Executive Summary'!$L$21/12, BT91, 'Executive Summary'!$L$24*12, $E$90), IPMT('Executive Summary'!$L$21/12, 1, 'Executive Summary'!$L$24*12, $E$90)),0)</f>
        <v>0</v>
      </c>
      <c r="BU97" s="522" t="n">
        <f aca="false">IF(BU92,IF(BU91&gt;0, IPMT('Executive Summary'!$L$21/12, BU91, 'Executive Summary'!$L$24*12, $E$90), IPMT('Executive Summary'!$L$21/12, 1, 'Executive Summary'!$L$24*12, $E$90)),0)</f>
        <v>0</v>
      </c>
      <c r="BV97" s="522" t="n">
        <f aca="false">IF(BV92,IF(BV91&gt;0, IPMT('Executive Summary'!$L$21/12, BV91, 'Executive Summary'!$L$24*12, $E$90), IPMT('Executive Summary'!$L$21/12, 1, 'Executive Summary'!$L$24*12, $E$90)),0)</f>
        <v>0</v>
      </c>
      <c r="BW97" s="522" t="n">
        <f aca="false">IF(BW92,IF(BW91&gt;0, IPMT('Executive Summary'!$L$21/12, BW91, 'Executive Summary'!$L$24*12, $E$90), IPMT('Executive Summary'!$L$21/12, 1, 'Executive Summary'!$L$24*12, $E$90)),0)</f>
        <v>0</v>
      </c>
      <c r="BX97" s="522" t="n">
        <f aca="false">IF(BX92,IF(BX91&gt;0, IPMT('Executive Summary'!$L$21/12, BX91, 'Executive Summary'!$L$24*12, $E$90), IPMT('Executive Summary'!$L$21/12, 1, 'Executive Summary'!$L$24*12, $E$90)),0)</f>
        <v>0</v>
      </c>
      <c r="BY97" s="522" t="n">
        <f aca="false">IF(BY92,IF(BY91&gt;0, IPMT('Executive Summary'!$L$21/12, BY91, 'Executive Summary'!$L$24*12, $E$90), IPMT('Executive Summary'!$L$21/12, 1, 'Executive Summary'!$L$24*12, $E$90)),0)</f>
        <v>0</v>
      </c>
      <c r="BZ97" s="522" t="n">
        <f aca="false">IF(BZ92,IF(BZ91&gt;0, IPMT('Executive Summary'!$L$21/12, BZ91, 'Executive Summary'!$L$24*12, $E$90), IPMT('Executive Summary'!$L$21/12, 1, 'Executive Summary'!$L$24*12, $E$90)),0)</f>
        <v>0</v>
      </c>
      <c r="CA97" s="522" t="n">
        <f aca="false">IF(CA92,IF(CA91&gt;0, IPMT('Executive Summary'!$L$21/12, CA91, 'Executive Summary'!$L$24*12, $E$90), IPMT('Executive Summary'!$L$21/12, 1, 'Executive Summary'!$L$24*12, $E$90)),0)</f>
        <v>0</v>
      </c>
      <c r="CB97" s="522" t="n">
        <f aca="false">IF(CB92,IF(CB91&gt;0, IPMT('Executive Summary'!$L$21/12, CB91, 'Executive Summary'!$L$24*12, $E$90), IPMT('Executive Summary'!$L$21/12, 1, 'Executive Summary'!$L$24*12, $E$90)),0)</f>
        <v>0</v>
      </c>
      <c r="CC97" s="522" t="n">
        <f aca="false">IF(CC92,IF(CC91&gt;0, IPMT('Executive Summary'!$L$21/12, CC91, 'Executive Summary'!$L$24*12, $E$90), IPMT('Executive Summary'!$L$21/12, 1, 'Executive Summary'!$L$24*12, $E$90)),0)</f>
        <v>0</v>
      </c>
      <c r="CD97" s="522" t="n">
        <f aca="false">IF(CD92,IF(CD91&gt;0, IPMT('Executive Summary'!$L$21/12, CD91, 'Executive Summary'!$L$24*12, $E$90), IPMT('Executive Summary'!$L$21/12, 1, 'Executive Summary'!$L$24*12, $E$90)),0)</f>
        <v>0</v>
      </c>
      <c r="CE97" s="522" t="n">
        <f aca="false">IF(CE92,IF(CE91&gt;0, IPMT('Executive Summary'!$L$21/12, CE91, 'Executive Summary'!$L$24*12, $E$90), IPMT('Executive Summary'!$L$21/12, 1, 'Executive Summary'!$L$24*12, $E$90)),0)</f>
        <v>0</v>
      </c>
      <c r="CF97" s="522" t="n">
        <f aca="false">IF(CF92,IF(CF91&gt;0, IPMT('Executive Summary'!$L$21/12, CF91, 'Executive Summary'!$L$24*12, $E$90), IPMT('Executive Summary'!$L$21/12, 1, 'Executive Summary'!$L$24*12, $E$90)),0)</f>
        <v>0</v>
      </c>
      <c r="CG97" s="522" t="n">
        <f aca="false">IF(CG92,IF(CG91&gt;0, IPMT('Executive Summary'!$L$21/12, CG91, 'Executive Summary'!$L$24*12, $E$90), IPMT('Executive Summary'!$L$21/12, 1, 'Executive Summary'!$L$24*12, $E$90)),0)</f>
        <v>0</v>
      </c>
      <c r="CH97" s="522" t="n">
        <f aca="false">IF(CH92,IF(CH91&gt;0, IPMT('Executive Summary'!$L$21/12, CH91, 'Executive Summary'!$L$24*12, $E$90), IPMT('Executive Summary'!$L$21/12, 1, 'Executive Summary'!$L$24*12, $E$90)),0)</f>
        <v>0</v>
      </c>
      <c r="CI97" s="522" t="n">
        <f aca="false">IF(CI92,IF(CI91&gt;0, IPMT('Executive Summary'!$L$21/12, CI91, 'Executive Summary'!$L$24*12, $E$90), IPMT('Executive Summary'!$L$21/12, 1, 'Executive Summary'!$L$24*12, $E$90)),0)</f>
        <v>0</v>
      </c>
      <c r="CJ97" s="522" t="n">
        <f aca="false">IF(CJ92,IF(CJ91&gt;0, IPMT('Executive Summary'!$L$21/12, CJ91, 'Executive Summary'!$L$24*12, $E$90), IPMT('Executive Summary'!$L$21/12, 1, 'Executive Summary'!$L$24*12, $E$90)),0)</f>
        <v>0</v>
      </c>
      <c r="CK97" s="522" t="n">
        <f aca="false">IF(CK92,IF(CK91&gt;0, IPMT('Executive Summary'!$L$21/12, CK91, 'Executive Summary'!$L$24*12, $E$90), IPMT('Executive Summary'!$L$21/12, 1, 'Executive Summary'!$L$24*12, $E$90)),0)</f>
        <v>0</v>
      </c>
      <c r="CL97" s="522" t="n">
        <f aca="false">IF(CL92,IF(CL91&gt;0, IPMT('Executive Summary'!$L$21/12, CL91, 'Executive Summary'!$L$24*12, $E$90), IPMT('Executive Summary'!$L$21/12, 1, 'Executive Summary'!$L$24*12, $E$90)),0)</f>
        <v>0</v>
      </c>
      <c r="CM97" s="522" t="n">
        <f aca="false">IF(CM92,IF(CM91&gt;0, IPMT('Executive Summary'!$L$21/12, CM91, 'Executive Summary'!$L$24*12, $E$90), IPMT('Executive Summary'!$L$21/12, 1, 'Executive Summary'!$L$24*12, $E$90)),0)</f>
        <v>0</v>
      </c>
      <c r="CN97" s="522" t="n">
        <f aca="false">IF(CN92,IF(CN91&gt;0, IPMT('Executive Summary'!$L$21/12, CN91, 'Executive Summary'!$L$24*12, $E$90), IPMT('Executive Summary'!$L$21/12, 1, 'Executive Summary'!$L$24*12, $E$90)),0)</f>
        <v>0</v>
      </c>
      <c r="CO97" s="522" t="n">
        <f aca="false">IF(CO92,IF(CO91&gt;0, IPMT('Executive Summary'!$L$21/12, CO91, 'Executive Summary'!$L$24*12, $E$90), IPMT('Executive Summary'!$L$21/12, 1, 'Executive Summary'!$L$24*12, $E$90)),0)</f>
        <v>0</v>
      </c>
      <c r="CP97" s="522" t="n">
        <f aca="false">IF(CP92,IF(CP91&gt;0, IPMT('Executive Summary'!$L$21/12, CP91, 'Executive Summary'!$L$24*12, $E$90), IPMT('Executive Summary'!$L$21/12, 1, 'Executive Summary'!$L$24*12, $E$90)),0)</f>
        <v>0</v>
      </c>
      <c r="CQ97" s="522" t="n">
        <f aca="false">IF(CQ92,IF(CQ91&gt;0, IPMT('Executive Summary'!$L$21/12, CQ91, 'Executive Summary'!$L$24*12, $E$90), IPMT('Executive Summary'!$L$21/12, 1, 'Executive Summary'!$L$24*12, $E$90)),0)</f>
        <v>0</v>
      </c>
      <c r="CR97" s="522" t="n">
        <f aca="false">IF(CR92,IF(CR91&gt;0, IPMT('Executive Summary'!$L$21/12, CR91, 'Executive Summary'!$L$24*12, $E$90), IPMT('Executive Summary'!$L$21/12, 1, 'Executive Summary'!$L$24*12, $E$90)),0)</f>
        <v>0</v>
      </c>
      <c r="CS97" s="522" t="n">
        <f aca="false">IF(CS92,IF(CS91&gt;0, IPMT('Executive Summary'!$L$21/12, CS91, 'Executive Summary'!$L$24*12, $E$90), IPMT('Executive Summary'!$L$21/12, 1, 'Executive Summary'!$L$24*12, $E$90)),0)</f>
        <v>0</v>
      </c>
      <c r="CT97" s="522" t="n">
        <f aca="false">IF(CT92,IF(CT91&gt;0, IPMT('Executive Summary'!$L$21/12, CT91, 'Executive Summary'!$L$24*12, $E$90), IPMT('Executive Summary'!$L$21/12, 1, 'Executive Summary'!$L$24*12, $E$90)),0)</f>
        <v>0</v>
      </c>
      <c r="CU97" s="522" t="n">
        <f aca="false">IF(CU92,IF(CU91&gt;0, IPMT('Executive Summary'!$L$21/12, CU91, 'Executive Summary'!$L$24*12, $E$90), IPMT('Executive Summary'!$L$21/12, 1, 'Executive Summary'!$L$24*12, $E$90)),0)</f>
        <v>0</v>
      </c>
      <c r="CV97" s="522" t="n">
        <f aca="false">IF(CV92,IF(CV91&gt;0, IPMT('Executive Summary'!$L$21/12, CV91, 'Executive Summary'!$L$24*12, $E$90), IPMT('Executive Summary'!$L$21/12, 1, 'Executive Summary'!$L$24*12, $E$90)),0)</f>
        <v>0</v>
      </c>
      <c r="CW97" s="522" t="n">
        <f aca="false">IF(CW92,IF(CW91&gt;0, IPMT('Executive Summary'!$L$21/12, CW91, 'Executive Summary'!$L$24*12, $E$90), IPMT('Executive Summary'!$L$21/12, 1, 'Executive Summary'!$L$24*12, $E$90)),0)</f>
        <v>0</v>
      </c>
      <c r="CX97" s="522" t="n">
        <f aca="false">IF(CX92,IF(CX91&gt;0, IPMT('Executive Summary'!$L$21/12, CX91, 'Executive Summary'!$L$24*12, $E$90), IPMT('Executive Summary'!$L$21/12, 1, 'Executive Summary'!$L$24*12, $E$90)),0)</f>
        <v>0</v>
      </c>
      <c r="CY97" s="522" t="n">
        <f aca="false">IF(CY92,IF(CY91&gt;0, IPMT('Executive Summary'!$L$21/12, CY91, 'Executive Summary'!$L$24*12, $E$90), IPMT('Executive Summary'!$L$21/12, 1, 'Executive Summary'!$L$24*12, $E$90)),0)</f>
        <v>0</v>
      </c>
      <c r="CZ97" s="522" t="n">
        <f aca="false">IF(CZ92,IF(CZ91&gt;0, IPMT('Executive Summary'!$L$21/12, CZ91, 'Executive Summary'!$L$24*12, $E$90), IPMT('Executive Summary'!$L$21/12, 1, 'Executive Summary'!$L$24*12, $E$90)),0)</f>
        <v>0</v>
      </c>
      <c r="DA97" s="522" t="n">
        <f aca="false">IF(DA92,IF(DA91&gt;0, IPMT('Executive Summary'!$L$21/12, DA91, 'Executive Summary'!$L$24*12, $E$90), IPMT('Executive Summary'!$L$21/12, 1, 'Executive Summary'!$L$24*12, $E$90)),0)</f>
        <v>0</v>
      </c>
      <c r="DB97" s="522" t="n">
        <f aca="false">IF(DB92,IF(DB91&gt;0, IPMT('Executive Summary'!$L$21/12, DB91, 'Executive Summary'!$L$24*12, $E$90), IPMT('Executive Summary'!$L$21/12, 1, 'Executive Summary'!$L$24*12, $E$90)),0)</f>
        <v>0</v>
      </c>
      <c r="DC97" s="522" t="n">
        <f aca="false">IF(DC92,IF(DC91&gt;0, IPMT('Executive Summary'!$L$21/12, DC91, 'Executive Summary'!$L$24*12, $E$90), IPMT('Executive Summary'!$L$21/12, 1, 'Executive Summary'!$L$24*12, $E$90)),0)</f>
        <v>0</v>
      </c>
      <c r="DD97" s="522" t="n">
        <f aca="false">IF(DD92,IF(DD91&gt;0, IPMT('Executive Summary'!$L$21/12, DD91, 'Executive Summary'!$L$24*12, $E$90), IPMT('Executive Summary'!$L$21/12, 1, 'Executive Summary'!$L$24*12, $E$90)),0)</f>
        <v>0</v>
      </c>
      <c r="DE97" s="522" t="n">
        <f aca="false">IF(DE92,IF(DE91&gt;0, IPMT('Executive Summary'!$L$21/12, DE91, 'Executive Summary'!$L$24*12, $E$90), IPMT('Executive Summary'!$L$21/12, 1, 'Executive Summary'!$L$24*12, $E$90)),0)</f>
        <v>0</v>
      </c>
      <c r="DF97" s="522" t="n">
        <f aca="false">IF(DF92,IF(DF91&gt;0, IPMT('Executive Summary'!$L$21/12, DF91, 'Executive Summary'!$L$24*12, $E$90), IPMT('Executive Summary'!$L$21/12, 1, 'Executive Summary'!$L$24*12, $E$90)),0)</f>
        <v>0</v>
      </c>
      <c r="DG97" s="522" t="n">
        <f aca="false">IF(DG92,IF(DG91&gt;0, IPMT('Executive Summary'!$L$21/12, DG91, 'Executive Summary'!$L$24*12, $E$90), IPMT('Executive Summary'!$L$21/12, 1, 'Executive Summary'!$L$24*12, $E$90)),0)</f>
        <v>0</v>
      </c>
      <c r="DH97" s="522" t="n">
        <f aca="false">IF(DH92,IF(DH91&gt;0, IPMT('Executive Summary'!$L$21/12, DH91, 'Executive Summary'!$L$24*12, $E$90), IPMT('Executive Summary'!$L$21/12, 1, 'Executive Summary'!$L$24*12, $E$90)),0)</f>
        <v>0</v>
      </c>
      <c r="DI97" s="522" t="n">
        <f aca="false">IF(DI92,IF(DI91&gt;0, IPMT('Executive Summary'!$L$21/12, DI91, 'Executive Summary'!$L$24*12, $E$90), IPMT('Executive Summary'!$L$21/12, 1, 'Executive Summary'!$L$24*12, $E$90)),0)</f>
        <v>0</v>
      </c>
      <c r="DJ97" s="522" t="n">
        <f aca="false">IF(DJ92,IF(DJ91&gt;0, IPMT('Executive Summary'!$L$21/12, DJ91, 'Executive Summary'!$L$24*12, $E$90), IPMT('Executive Summary'!$L$21/12, 1, 'Executive Summary'!$L$24*12, $E$90)),0)</f>
        <v>0</v>
      </c>
      <c r="DK97" s="522" t="n">
        <f aca="false">IF(DK92,IF(DK91&gt;0, IPMT('Executive Summary'!$L$21/12, DK91, 'Executive Summary'!$L$24*12, $E$90), IPMT('Executive Summary'!$L$21/12, 1, 'Executive Summary'!$L$24*12, $E$90)),0)</f>
        <v>0</v>
      </c>
      <c r="DL97" s="522" t="n">
        <f aca="false">IF(DL92,IF(DL91&gt;0, IPMT('Executive Summary'!$L$21/12, DL91, 'Executive Summary'!$L$24*12, $E$90), IPMT('Executive Summary'!$L$21/12, 1, 'Executive Summary'!$L$24*12, $E$90)),0)</f>
        <v>0</v>
      </c>
      <c r="DM97" s="522" t="n">
        <f aca="false">IF(DM92,IF(DM91&gt;0, IPMT('Executive Summary'!$L$21/12, DM91, 'Executive Summary'!$L$24*12, $E$90), IPMT('Executive Summary'!$L$21/12, 1, 'Executive Summary'!$L$24*12, $E$90)),0)</f>
        <v>0</v>
      </c>
      <c r="DN97" s="522" t="n">
        <f aca="false">IF(DN92,IF(DN91&gt;0, IPMT('Executive Summary'!$L$21/12, DN91, 'Executive Summary'!$L$24*12, $E$90), IPMT('Executive Summary'!$L$21/12, 1, 'Executive Summary'!$L$24*12, $E$90)),0)</f>
        <v>0</v>
      </c>
      <c r="DO97" s="522" t="n">
        <f aca="false">IF(DO92,IF(DO91&gt;0, IPMT('Executive Summary'!$L$21/12, DO91, 'Executive Summary'!$L$24*12, $E$90), IPMT('Executive Summary'!$L$21/12, 1, 'Executive Summary'!$L$24*12, $E$90)),0)</f>
        <v>0</v>
      </c>
      <c r="DP97" s="522" t="n">
        <f aca="false">IF(DP92,IF(DP91&gt;0, IPMT('Executive Summary'!$L$21/12, DP91, 'Executive Summary'!$L$24*12, $E$90), IPMT('Executive Summary'!$L$21/12, 1, 'Executive Summary'!$L$24*12, $E$90)),0)</f>
        <v>0</v>
      </c>
      <c r="DQ97" s="522" t="n">
        <f aca="false">IF(DQ92,IF(DQ91&gt;0, IPMT('Executive Summary'!$L$21/12, DQ91, 'Executive Summary'!$L$24*12, $E$90), IPMT('Executive Summary'!$L$21/12, 1, 'Executive Summary'!$L$24*12, $E$90)),0)</f>
        <v>0</v>
      </c>
      <c r="DR97" s="522" t="n">
        <f aca="false">IF(DR92,IF(DR91&gt;0, IPMT('Executive Summary'!$L$21/12, DR91, 'Executive Summary'!$L$24*12, $E$90), IPMT('Executive Summary'!$L$21/12, 1, 'Executive Summary'!$L$24*12, $E$90)),0)</f>
        <v>0</v>
      </c>
      <c r="DS97" s="522" t="n">
        <f aca="false">IF(DS92,IF(DS91&gt;0, IPMT('Executive Summary'!$L$21/12, DS91, 'Executive Summary'!$L$24*12, $E$90), IPMT('Executive Summary'!$L$21/12, 1, 'Executive Summary'!$L$24*12, $E$90)),0)</f>
        <v>0</v>
      </c>
      <c r="DT97" s="522" t="n">
        <f aca="false">IF(DT92,IF(DT91&gt;0, IPMT('Executive Summary'!$L$21/12, DT91, 'Executive Summary'!$L$24*12, $E$90), IPMT('Executive Summary'!$L$21/12, 1, 'Executive Summary'!$L$24*12, $E$90)),0)</f>
        <v>0</v>
      </c>
      <c r="DU97" s="522" t="n">
        <f aca="false">IF(DU92,IF(DU91&gt;0, IPMT('Executive Summary'!$L$21/12, DU91, 'Executive Summary'!$L$24*12, $E$90), IPMT('Executive Summary'!$L$21/12, 1, 'Executive Summary'!$L$24*12, $E$90)),0)</f>
        <v>0</v>
      </c>
      <c r="DV97" s="522" t="n">
        <f aca="false">IF(DV92,IF(DV91&gt;0, IPMT('Executive Summary'!$L$21/12, DV91, 'Executive Summary'!$L$24*12, $E$90), IPMT('Executive Summary'!$L$21/12, 1, 'Executive Summary'!$L$24*12, $E$90)),0)</f>
        <v>0</v>
      </c>
      <c r="DW97" s="522" t="n">
        <f aca="false">IF(DW92,IF(DW91&gt;0, IPMT('Executive Summary'!$L$21/12, DW91, 'Executive Summary'!$L$24*12, $E$90), IPMT('Executive Summary'!$L$21/12, 1, 'Executive Summary'!$L$24*12, $E$90)),0)</f>
        <v>0</v>
      </c>
      <c r="DX97" s="522" t="n">
        <f aca="false">IF(DX92,IF(DX91&gt;0, IPMT('Executive Summary'!$L$21/12, DX91, 'Executive Summary'!$L$24*12, $E$90), IPMT('Executive Summary'!$L$21/12, 1, 'Executive Summary'!$L$24*12, $E$90)),0)</f>
        <v>0</v>
      </c>
      <c r="DY97" s="522" t="n">
        <f aca="false">IF(DY92,IF(DY91&gt;0, IPMT('Executive Summary'!$L$21/12, DY91, 'Executive Summary'!$L$24*12, $E$90), IPMT('Executive Summary'!$L$21/12, 1, 'Executive Summary'!$L$24*12, $E$90)),0)</f>
        <v>0</v>
      </c>
      <c r="DZ97" s="522" t="n">
        <f aca="false">IF(DZ92,IF(DZ91&gt;0, IPMT('Executive Summary'!$L$21/12, DZ91, 'Executive Summary'!$L$24*12, $E$90), IPMT('Executive Summary'!$L$21/12, 1, 'Executive Summary'!$L$24*12, $E$90)),0)</f>
        <v>0</v>
      </c>
      <c r="EA97" s="522" t="n">
        <f aca="false">IF(EA92,IF(EA91&gt;0, IPMT('Executive Summary'!$L$21/12, EA91, 'Executive Summary'!$L$24*12, $E$90), IPMT('Executive Summary'!$L$21/12, 1, 'Executive Summary'!$L$24*12, $E$90)),0)</f>
        <v>0</v>
      </c>
      <c r="EB97" s="522" t="n">
        <f aca="false">IF(EB92,IF(EB91&gt;0, IPMT('Executive Summary'!$L$21/12, EB91, 'Executive Summary'!$L$24*12, $E$90), IPMT('Executive Summary'!$L$21/12, 1, 'Executive Summary'!$L$24*12, $E$90)),0)</f>
        <v>0</v>
      </c>
      <c r="EC97" s="522" t="n">
        <f aca="false">IF(EC92,IF(EC91&gt;0, IPMT('Executive Summary'!$L$21/12, EC91, 'Executive Summary'!$L$24*12, $E$90), IPMT('Executive Summary'!$L$21/12, 1, 'Executive Summary'!$L$24*12, $E$90)),0)</f>
        <v>0</v>
      </c>
      <c r="ED97" s="522" t="n">
        <f aca="false">IF(ED92,IF(ED91&gt;0, IPMT('Executive Summary'!$L$21/12, ED91, 'Executive Summary'!$L$24*12, $E$90), IPMT('Executive Summary'!$L$21/12, 1, 'Executive Summary'!$L$24*12, $E$90)),0)</f>
        <v>0</v>
      </c>
      <c r="EE97" s="522" t="n">
        <f aca="false">IF(EE92,IF(EE91&gt;0, IPMT('Executive Summary'!$L$21/12, EE91, 'Executive Summary'!$L$24*12, $E$90), IPMT('Executive Summary'!$L$21/12, 1, 'Executive Summary'!$L$24*12, $E$90)),0)</f>
        <v>0</v>
      </c>
      <c r="EF97" s="522" t="n">
        <f aca="false">IF(EF92,IF(EF91&gt;0, IPMT('Executive Summary'!$L$21/12, EF91, 'Executive Summary'!$L$24*12, $E$90), IPMT('Executive Summary'!$L$21/12, 1, 'Executive Summary'!$L$24*12, $E$90)),0)</f>
        <v>0</v>
      </c>
      <c r="EG97" s="522" t="n">
        <f aca="false">IF(EG92,IF(EG91&gt;0, IPMT('Executive Summary'!$L$21/12, EG91, 'Executive Summary'!$L$24*12, $E$90), IPMT('Executive Summary'!$L$21/12, 1, 'Executive Summary'!$L$24*12, $E$90)),0)</f>
        <v>0</v>
      </c>
      <c r="EH97" s="522" t="n">
        <f aca="false">IF(EH92,IF(EH91&gt;0, IPMT('Executive Summary'!$L$21/12, EH91, 'Executive Summary'!$L$24*12, $E$90), IPMT('Executive Summary'!$L$21/12, 1, 'Executive Summary'!$L$24*12, $E$90)),0)</f>
        <v>0</v>
      </c>
      <c r="EI97" s="558" t="n">
        <f aca="false">IF(EI92,IF(EI91&gt;0, IPMT('Executive Summary'!$L$21/12, EI91, 'Executive Summary'!$L$24*12, $E$90), IPMT('Executive Summary'!$L$21/12, 1, 'Executive Summary'!$L$24*12, $E$90)),0)</f>
        <v>0</v>
      </c>
      <c r="EK97" s="559" t="n">
        <f aca="false">SUMIF($G$3:$EI$3,EK$24,$G97:$EI97)</f>
        <v>0</v>
      </c>
      <c r="EL97" s="522" t="n">
        <f aca="false">SUMIF($G$3:$EI$3,EL$24,$G97:$EI97)</f>
        <v>0</v>
      </c>
      <c r="EM97" s="522" t="n">
        <f aca="false">SUMIF($G$3:$EI$3,EM$24,$G97:$EI97)</f>
        <v>0</v>
      </c>
      <c r="EN97" s="522" t="n">
        <f aca="false">SUMIF($G$3:$EI$3,EN$24,$G97:$EI97)</f>
        <v>0</v>
      </c>
      <c r="EO97" s="522" t="n">
        <f aca="false">SUMIF($G$3:$EI$3,EO$24,$G97:$EI97)</f>
        <v>0</v>
      </c>
      <c r="EP97" s="522" t="n">
        <f aca="false">SUMIF($G$3:$EI$3,EP$24,$G97:$EI97)</f>
        <v>0</v>
      </c>
      <c r="EQ97" s="522" t="n">
        <f aca="false">SUMIF($G$3:$EI$3,EQ$24,$G97:$EI97)</f>
        <v>0</v>
      </c>
      <c r="ER97" s="522" t="n">
        <f aca="false">SUMIF($G$3:$EI$3,ER$24,$G97:$EI97)</f>
        <v>0</v>
      </c>
      <c r="ES97" s="522" t="n">
        <f aca="false">SUMIF($G$3:$EI$3,ES$24,$G97:$EI97)</f>
        <v>0</v>
      </c>
      <c r="ET97" s="558" t="n">
        <f aca="false">SUMIF($G$3:$EI$3,ET$24,$G97:$EI97)</f>
        <v>0</v>
      </c>
    </row>
    <row r="98" s="522" customFormat="true" ht="13.5" hidden="false" customHeight="true" outlineLevel="1" collapsed="false">
      <c r="B98" s="559" t="s">
        <v>596</v>
      </c>
      <c r="C98" s="557"/>
      <c r="E98" s="522" t="n">
        <f aca="false">SUM(G98:EI98)</f>
        <v>0</v>
      </c>
      <c r="G98" s="522" t="n">
        <f aca="false">IF(G93&gt;1,G86,0)</f>
        <v>0</v>
      </c>
      <c r="H98" s="522" t="n">
        <f aca="false">IF(H93&gt;1,H86,0)</f>
        <v>0</v>
      </c>
      <c r="I98" s="522" t="n">
        <f aca="false">IF(I93&gt;1,I86,0)</f>
        <v>0</v>
      </c>
      <c r="J98" s="522" t="n">
        <f aca="false">IF(J93&gt;1,J86,0)</f>
        <v>0</v>
      </c>
      <c r="K98" s="522" t="n">
        <f aca="false">IF(K93&gt;1,K86,0)</f>
        <v>0</v>
      </c>
      <c r="L98" s="522" t="n">
        <f aca="false">IF(L93&gt;1,L86,0)</f>
        <v>0</v>
      </c>
      <c r="M98" s="522" t="n">
        <f aca="false">IF(M93&gt;1,M86,0)</f>
        <v>0</v>
      </c>
      <c r="N98" s="522" t="n">
        <f aca="false">IF(N93&gt;1,N86,0)</f>
        <v>0</v>
      </c>
      <c r="O98" s="522" t="n">
        <f aca="false">IF(O93&gt;1,O86,0)</f>
        <v>0</v>
      </c>
      <c r="P98" s="522" t="n">
        <f aca="false">IF(P93&gt;1,P86,0)</f>
        <v>0</v>
      </c>
      <c r="Q98" s="522" t="n">
        <f aca="false">IF(Q93&gt;1,Q86,0)</f>
        <v>0</v>
      </c>
      <c r="R98" s="522" t="n">
        <f aca="false">IF(R93&gt;1,R86,0)</f>
        <v>0</v>
      </c>
      <c r="S98" s="522" t="n">
        <f aca="false">IF(S93&gt;1,S86,0)</f>
        <v>0</v>
      </c>
      <c r="T98" s="522" t="n">
        <f aca="false">IF(T93&gt;1,T86,0)</f>
        <v>0</v>
      </c>
      <c r="U98" s="522" t="n">
        <f aca="false">IF(U93&gt;1,U86,0)</f>
        <v>0</v>
      </c>
      <c r="V98" s="522" t="n">
        <f aca="false">IF(V93&gt;1,V86,0)</f>
        <v>0</v>
      </c>
      <c r="W98" s="522" t="n">
        <f aca="false">IF(W93&gt;1,W86,0)</f>
        <v>0</v>
      </c>
      <c r="X98" s="522" t="n">
        <f aca="false">IF(X93&gt;1,X86,0)</f>
        <v>0</v>
      </c>
      <c r="Y98" s="522" t="n">
        <f aca="false">IF(Y93&gt;1,Y86,0)</f>
        <v>0</v>
      </c>
      <c r="Z98" s="522" t="n">
        <f aca="false">IF(Z93&gt;1,Z86,0)</f>
        <v>0</v>
      </c>
      <c r="AA98" s="522" t="n">
        <f aca="false">IF(AA93&gt;1,AA86,0)</f>
        <v>0</v>
      </c>
      <c r="AB98" s="522" t="n">
        <f aca="false">IF(AB93&gt;1,AB86,0)</f>
        <v>0</v>
      </c>
      <c r="AC98" s="522" t="n">
        <f aca="false">IF(AC93&gt;1,AC86,0)</f>
        <v>0</v>
      </c>
      <c r="AD98" s="522" t="n">
        <f aca="false">IF(AD93&gt;1,AD86,0)</f>
        <v>0</v>
      </c>
      <c r="AE98" s="522" t="n">
        <f aca="false">IF(AE93&gt;1,AE86,0)</f>
        <v>0</v>
      </c>
      <c r="AF98" s="522" t="n">
        <f aca="false">IF(AF93&gt;1,AF86,0)</f>
        <v>0</v>
      </c>
      <c r="AG98" s="522" t="n">
        <f aca="false">IF(AG93&gt;1,AG86,0)</f>
        <v>0</v>
      </c>
      <c r="AH98" s="522" t="n">
        <f aca="false">IF(AH93&gt;1,AH86,0)</f>
        <v>0</v>
      </c>
      <c r="AI98" s="522" t="n">
        <f aca="false">IF(AI93&gt;1,AI86,0)</f>
        <v>0</v>
      </c>
      <c r="AJ98" s="522" t="n">
        <f aca="false">IF(AJ93&gt;1,AJ86,0)</f>
        <v>0</v>
      </c>
      <c r="AK98" s="522" t="n">
        <f aca="false">IF(AK93&gt;1,AK86,0)</f>
        <v>0</v>
      </c>
      <c r="AL98" s="522" t="n">
        <f aca="false">IF(AL93&gt;1,AL86,0)</f>
        <v>0</v>
      </c>
      <c r="AM98" s="522" t="n">
        <f aca="false">IF(AM93&gt;1,AM86,0)</f>
        <v>0</v>
      </c>
      <c r="AN98" s="522" t="n">
        <f aca="false">IF(AN93&gt;1,AN86,0)</f>
        <v>0</v>
      </c>
      <c r="AO98" s="522" t="n">
        <f aca="false">IF(AO93&gt;1,AO86,0)</f>
        <v>0</v>
      </c>
      <c r="AP98" s="522" t="n">
        <f aca="false">IF(AP93&gt;1,AP86,0)</f>
        <v>0</v>
      </c>
      <c r="AQ98" s="522" t="n">
        <f aca="false">IF(AQ93&gt;1,AQ86,0)</f>
        <v>0</v>
      </c>
      <c r="AR98" s="522" t="n">
        <f aca="false">IF(AR93&gt;1,AR86,0)</f>
        <v>0</v>
      </c>
      <c r="AS98" s="522" t="n">
        <f aca="false">IF(AS93&gt;1,AS86,0)</f>
        <v>0</v>
      </c>
      <c r="AT98" s="522" t="n">
        <f aca="false">IF(AT93&gt;1,AT86,0)</f>
        <v>0</v>
      </c>
      <c r="AU98" s="522" t="n">
        <f aca="false">IF(AU93&gt;1,AU86,0)</f>
        <v>0</v>
      </c>
      <c r="AV98" s="522" t="n">
        <f aca="false">IF(AV93&gt;1,AV86,0)</f>
        <v>0</v>
      </c>
      <c r="AW98" s="522" t="n">
        <f aca="false">IF(AW93&gt;1,AW86,0)</f>
        <v>0</v>
      </c>
      <c r="AX98" s="522" t="n">
        <f aca="false">IF(AX93&gt;1,AX86,0)</f>
        <v>0</v>
      </c>
      <c r="AY98" s="522" t="n">
        <f aca="false">IF(AY93&gt;1,AY86,0)</f>
        <v>0</v>
      </c>
      <c r="AZ98" s="522" t="n">
        <f aca="false">IF(AZ93&gt;1,AZ86,0)</f>
        <v>0</v>
      </c>
      <c r="BA98" s="522" t="n">
        <f aca="false">IF(BA93&gt;1,BA86,0)</f>
        <v>0</v>
      </c>
      <c r="BB98" s="522" t="n">
        <f aca="false">IF(BB93&gt;1,BB86,0)</f>
        <v>0</v>
      </c>
      <c r="BC98" s="522" t="n">
        <f aca="false">IF(BC93&gt;1,BC86,0)</f>
        <v>0</v>
      </c>
      <c r="BD98" s="522" t="n">
        <f aca="false">IF(BD93&gt;1,BD86,0)</f>
        <v>0</v>
      </c>
      <c r="BE98" s="522" t="n">
        <f aca="false">IF(BE93&gt;1,BE86,0)</f>
        <v>0</v>
      </c>
      <c r="BF98" s="522" t="n">
        <f aca="false">IF(BF93&gt;1,BF86,0)</f>
        <v>0</v>
      </c>
      <c r="BG98" s="522" t="n">
        <f aca="false">IF(BG93&gt;1,BG86,0)</f>
        <v>0</v>
      </c>
      <c r="BH98" s="522" t="n">
        <f aca="false">IF(BH93&gt;1,BH86,0)</f>
        <v>0</v>
      </c>
      <c r="BI98" s="522" t="n">
        <f aca="false">IF(BI93&gt;1,BI86,0)</f>
        <v>0</v>
      </c>
      <c r="BJ98" s="522" t="n">
        <f aca="false">IF(BJ93&gt;1,BJ86,0)</f>
        <v>0</v>
      </c>
      <c r="BK98" s="522" t="n">
        <f aca="false">IF(BK93&gt;1,BK86,0)</f>
        <v>0</v>
      </c>
      <c r="BL98" s="522" t="n">
        <f aca="false">IF(BL93&gt;1,BL86,0)</f>
        <v>0</v>
      </c>
      <c r="BM98" s="522" t="n">
        <f aca="false">IF(BM93&gt;1,BM86,0)</f>
        <v>0</v>
      </c>
      <c r="BN98" s="522" t="n">
        <f aca="false">IF(BN93&gt;1,BN86,0)</f>
        <v>0</v>
      </c>
      <c r="BO98" s="522" t="n">
        <f aca="false">IF(BO93&gt;1,BO86,0)</f>
        <v>0</v>
      </c>
      <c r="BP98" s="522" t="n">
        <f aca="false">IF(BP93&gt;1,BP86,0)</f>
        <v>0</v>
      </c>
      <c r="BQ98" s="522" t="n">
        <f aca="false">IF(BQ93&gt;1,BQ86,0)</f>
        <v>0</v>
      </c>
      <c r="BR98" s="522" t="n">
        <f aca="false">IF(BR93&gt;1,BR86,0)</f>
        <v>0</v>
      </c>
      <c r="BS98" s="522" t="n">
        <f aca="false">IF(BS93&gt;1,BS86,0)</f>
        <v>0</v>
      </c>
      <c r="BT98" s="522" t="n">
        <f aca="false">IF(BT93&gt;1,BT86,0)</f>
        <v>0</v>
      </c>
      <c r="BU98" s="522" t="n">
        <f aca="false">IF(BU93&gt;1,BU86,0)</f>
        <v>0</v>
      </c>
      <c r="BV98" s="522" t="n">
        <f aca="false">IF(BV93&gt;1,BV86,0)</f>
        <v>0</v>
      </c>
      <c r="BW98" s="522" t="n">
        <f aca="false">IF(BW93&gt;1,BW86,0)</f>
        <v>0</v>
      </c>
      <c r="BX98" s="522" t="n">
        <f aca="false">IF(BX93&gt;1,BX86,0)</f>
        <v>0</v>
      </c>
      <c r="BY98" s="522" t="n">
        <f aca="false">IF(BY93&gt;1,BY86,0)</f>
        <v>0</v>
      </c>
      <c r="BZ98" s="522" t="n">
        <f aca="false">IF(BZ93&gt;1,BZ86,0)</f>
        <v>0</v>
      </c>
      <c r="CA98" s="522" t="n">
        <f aca="false">IF(CA93&gt;1,CA86,0)</f>
        <v>0</v>
      </c>
      <c r="CB98" s="522" t="n">
        <f aca="false">IF(CB93&gt;1,CB86,0)</f>
        <v>0</v>
      </c>
      <c r="CC98" s="522" t="n">
        <f aca="false">IF(CC93&gt;1,CC86,0)</f>
        <v>0</v>
      </c>
      <c r="CD98" s="522" t="n">
        <f aca="false">IF(CD93&gt;1,CD86,0)</f>
        <v>0</v>
      </c>
      <c r="CE98" s="522" t="n">
        <f aca="false">IF(CE93&gt;1,CE86,0)</f>
        <v>0</v>
      </c>
      <c r="CF98" s="522" t="n">
        <f aca="false">IF(CF93&gt;1,CF86,0)</f>
        <v>0</v>
      </c>
      <c r="CG98" s="522" t="n">
        <f aca="false">IF(CG93&gt;1,CG86,0)</f>
        <v>0</v>
      </c>
      <c r="CH98" s="522" t="n">
        <f aca="false">IF(CH93&gt;1,CH86,0)</f>
        <v>0</v>
      </c>
      <c r="CI98" s="522" t="n">
        <f aca="false">IF(CI93&gt;1,CI86,0)</f>
        <v>0</v>
      </c>
      <c r="CJ98" s="522" t="n">
        <f aca="false">IF(CJ93&gt;1,CJ86,0)</f>
        <v>0</v>
      </c>
      <c r="CK98" s="522" t="n">
        <f aca="false">IF(CK93&gt;1,CK86,0)</f>
        <v>0</v>
      </c>
      <c r="CL98" s="522" t="n">
        <f aca="false">IF(CL93&gt;1,CL86,0)</f>
        <v>0</v>
      </c>
      <c r="CM98" s="522" t="n">
        <f aca="false">IF(CM93&gt;1,CM86,0)</f>
        <v>0</v>
      </c>
      <c r="CN98" s="522" t="n">
        <f aca="false">IF(CN93&gt;1,CN86,0)</f>
        <v>0</v>
      </c>
      <c r="CO98" s="522" t="n">
        <f aca="false">IF(CO93&gt;1,CO86,0)</f>
        <v>0</v>
      </c>
      <c r="CP98" s="522" t="n">
        <f aca="false">IF(CP93&gt;1,CP86,0)</f>
        <v>0</v>
      </c>
      <c r="CQ98" s="522" t="n">
        <f aca="false">IF(CQ93&gt;1,CQ86,0)</f>
        <v>0</v>
      </c>
      <c r="CR98" s="522" t="n">
        <f aca="false">IF(CR93&gt;1,CR86,0)</f>
        <v>0</v>
      </c>
      <c r="CS98" s="522" t="n">
        <f aca="false">IF(CS93&gt;1,CS86,0)</f>
        <v>0</v>
      </c>
      <c r="CT98" s="522" t="n">
        <f aca="false">IF(CT93&gt;1,CT86,0)</f>
        <v>0</v>
      </c>
      <c r="CU98" s="522" t="n">
        <f aca="false">IF(CU93&gt;1,CU86,0)</f>
        <v>0</v>
      </c>
      <c r="CV98" s="522" t="n">
        <f aca="false">IF(CV93&gt;1,CV86,0)</f>
        <v>0</v>
      </c>
      <c r="CW98" s="522" t="n">
        <f aca="false">IF(CW93&gt;1,CW86,0)</f>
        <v>0</v>
      </c>
      <c r="CX98" s="522" t="n">
        <f aca="false">IF(CX93&gt;1,CX86,0)</f>
        <v>0</v>
      </c>
      <c r="CY98" s="522" t="n">
        <f aca="false">IF(CY93&gt;1,CY86,0)</f>
        <v>0</v>
      </c>
      <c r="CZ98" s="522" t="n">
        <f aca="false">IF(CZ93&gt;1,CZ86,0)</f>
        <v>0</v>
      </c>
      <c r="DA98" s="522" t="n">
        <f aca="false">IF(DA93&gt;1,DA86,0)</f>
        <v>0</v>
      </c>
      <c r="DB98" s="522" t="n">
        <f aca="false">IF(DB93&gt;1,DB86,0)</f>
        <v>0</v>
      </c>
      <c r="DC98" s="522" t="n">
        <f aca="false">IF(DC93&gt;1,DC86,0)</f>
        <v>0</v>
      </c>
      <c r="DD98" s="522" t="n">
        <f aca="false">IF(DD93&gt;1,DD86,0)</f>
        <v>0</v>
      </c>
      <c r="DE98" s="522" t="n">
        <f aca="false">IF(DE93&gt;1,DE86,0)</f>
        <v>0</v>
      </c>
      <c r="DF98" s="522" t="n">
        <f aca="false">IF(DF93&gt;1,DF86,0)</f>
        <v>0</v>
      </c>
      <c r="DG98" s="522" t="n">
        <f aca="false">IF(DG93&gt;1,DG86,0)</f>
        <v>0</v>
      </c>
      <c r="DH98" s="522" t="n">
        <f aca="false">IF(DH93&gt;1,DH86,0)</f>
        <v>0</v>
      </c>
      <c r="DI98" s="522" t="n">
        <f aca="false">IF(DI93&gt;1,DI86,0)</f>
        <v>0</v>
      </c>
      <c r="DJ98" s="522" t="n">
        <f aca="false">IF(DJ93&gt;1,DJ86,0)</f>
        <v>0</v>
      </c>
      <c r="DK98" s="522" t="n">
        <f aca="false">IF(DK93&gt;1,DK86,0)</f>
        <v>0</v>
      </c>
      <c r="DL98" s="522" t="n">
        <f aca="false">IF(DL93&gt;1,DL86,0)</f>
        <v>0</v>
      </c>
      <c r="DM98" s="522" t="n">
        <f aca="false">IF(DM93&gt;1,DM86,0)</f>
        <v>0</v>
      </c>
      <c r="DN98" s="522" t="n">
        <f aca="false">IF(DN93&gt;1,DN86,0)</f>
        <v>0</v>
      </c>
      <c r="DO98" s="522" t="n">
        <f aca="false">IF(DO93&gt;1,DO86,0)</f>
        <v>0</v>
      </c>
      <c r="DP98" s="522" t="n">
        <f aca="false">IF(DP93&gt;1,DP86,0)</f>
        <v>0</v>
      </c>
      <c r="DQ98" s="522" t="n">
        <f aca="false">IF(DQ93&gt;1,DQ86,0)</f>
        <v>0</v>
      </c>
      <c r="DR98" s="522" t="n">
        <f aca="false">IF(DR93&gt;1,DR86,0)</f>
        <v>0</v>
      </c>
      <c r="DS98" s="522" t="n">
        <f aca="false">IF(DS93&gt;1,DS86,0)</f>
        <v>0</v>
      </c>
      <c r="DT98" s="522" t="n">
        <f aca="false">IF(DT93&gt;1,DT86,0)</f>
        <v>0</v>
      </c>
      <c r="DU98" s="522" t="n">
        <f aca="false">IF(DU93&gt;1,DU86,0)</f>
        <v>0</v>
      </c>
      <c r="DV98" s="522" t="n">
        <f aca="false">IF(DV93&gt;1,DV86,0)</f>
        <v>0</v>
      </c>
      <c r="DW98" s="522" t="n">
        <f aca="false">IF(DW93&gt;1,DW86,0)</f>
        <v>0</v>
      </c>
      <c r="DX98" s="522" t="n">
        <f aca="false">IF(DX93&gt;1,DX86,0)</f>
        <v>0</v>
      </c>
      <c r="DY98" s="522" t="n">
        <f aca="false">IF(DY93&gt;1,DY86,0)</f>
        <v>0</v>
      </c>
      <c r="DZ98" s="522" t="n">
        <f aca="false">IF(DZ93&gt;1,DZ86,0)</f>
        <v>0</v>
      </c>
      <c r="EA98" s="522" t="n">
        <f aca="false">IF(EA93&gt;1,EA86,0)</f>
        <v>0</v>
      </c>
      <c r="EB98" s="522" t="n">
        <f aca="false">IF(EB93&gt;1,EB86,0)</f>
        <v>0</v>
      </c>
      <c r="EC98" s="522" t="n">
        <f aca="false">IF(EC93&gt;1,EC86,0)</f>
        <v>0</v>
      </c>
      <c r="ED98" s="522" t="n">
        <f aca="false">IF(ED93&gt;1,ED86,0)</f>
        <v>0</v>
      </c>
      <c r="EE98" s="522" t="n">
        <f aca="false">IF(EE93&gt;1,EE86,0)</f>
        <v>0</v>
      </c>
      <c r="EF98" s="522" t="n">
        <f aca="false">IF(EF93&gt;1,EF86,0)</f>
        <v>0</v>
      </c>
      <c r="EG98" s="522" t="n">
        <f aca="false">IF(EG93&gt;1,EG86,0)</f>
        <v>0</v>
      </c>
      <c r="EH98" s="522" t="n">
        <f aca="false">IF(EH93&gt;1,EH86,0)</f>
        <v>0</v>
      </c>
      <c r="EI98" s="558" t="n">
        <f aca="false">IF(EI93&gt;1,EI86,0)</f>
        <v>0</v>
      </c>
      <c r="EK98" s="559" t="n">
        <f aca="false">SUMIF($G$3:$EI$3,EK$24,$G98:$EI98)</f>
        <v>0</v>
      </c>
      <c r="EL98" s="522" t="n">
        <f aca="false">SUMIF($G$3:$EI$3,EL$24,$G98:$EI98)</f>
        <v>0</v>
      </c>
      <c r="EM98" s="522" t="n">
        <f aca="false">SUMIF($G$3:$EI$3,EM$24,$G98:$EI98)</f>
        <v>0</v>
      </c>
      <c r="EN98" s="522" t="n">
        <f aca="false">SUMIF($G$3:$EI$3,EN$24,$G98:$EI98)</f>
        <v>0</v>
      </c>
      <c r="EO98" s="522" t="n">
        <f aca="false">SUMIF($G$3:$EI$3,EO$24,$G98:$EI98)</f>
        <v>0</v>
      </c>
      <c r="EP98" s="522" t="n">
        <f aca="false">SUMIF($G$3:$EI$3,EP$24,$G98:$EI98)</f>
        <v>0</v>
      </c>
      <c r="EQ98" s="522" t="n">
        <f aca="false">SUMIF($G$3:$EI$3,EQ$24,$G98:$EI98)</f>
        <v>0</v>
      </c>
      <c r="ER98" s="522" t="n">
        <f aca="false">SUMIF($G$3:$EI$3,ER$24,$G98:$EI98)</f>
        <v>0</v>
      </c>
      <c r="ES98" s="522" t="n">
        <f aca="false">SUMIF($G$3:$EI$3,ES$24,$G98:$EI98)</f>
        <v>0</v>
      </c>
      <c r="ET98" s="558" t="n">
        <f aca="false">SUMIF($G$3:$EI$3,ET$24,$G98:$EI98)</f>
        <v>0</v>
      </c>
    </row>
    <row r="99" customFormat="false" ht="13.5" hidden="false" customHeight="true" outlineLevel="1" collapsed="false">
      <c r="B99" s="589" t="s">
        <v>597</v>
      </c>
      <c r="C99" s="498"/>
      <c r="EI99" s="588"/>
      <c r="EK99" s="559" t="n">
        <f aca="false">SUMIF($G$3:$EI$3,EK$24,$G99:$EI99)</f>
        <v>0</v>
      </c>
      <c r="EL99" s="522" t="n">
        <f aca="false">SUMIF($G$3:$EI$3,EL$24,$G99:$EI99)</f>
        <v>0</v>
      </c>
      <c r="EM99" s="522" t="n">
        <f aca="false">SUMIF($G$3:$EI$3,EM$24,$G99:$EI99)</f>
        <v>0</v>
      </c>
      <c r="EN99" s="522" t="n">
        <f aca="false">SUMIF($G$3:$EI$3,EN$24,$G99:$EI99)</f>
        <v>0</v>
      </c>
      <c r="EO99" s="522" t="n">
        <f aca="false">SUMIF($G$3:$EI$3,EO$24,$G99:$EI99)</f>
        <v>0</v>
      </c>
      <c r="EP99" s="522" t="n">
        <f aca="false">SUMIF($G$3:$EI$3,EP$24,$G99:$EI99)</f>
        <v>0</v>
      </c>
      <c r="EQ99" s="522" t="n">
        <f aca="false">SUMIF($G$3:$EI$3,EQ$24,$G99:$EI99)</f>
        <v>0</v>
      </c>
      <c r="ER99" s="522" t="n">
        <f aca="false">SUMIF($G$3:$EI$3,ER$24,$G99:$EI99)</f>
        <v>0</v>
      </c>
      <c r="ES99" s="522" t="n">
        <f aca="false">SUMIF($G$3:$EI$3,ES$24,$G99:$EI99)</f>
        <v>0</v>
      </c>
      <c r="ET99" s="558" t="n">
        <f aca="false">SUMIF($G$3:$EI$3,ET$24,$G99:$EI99)</f>
        <v>0</v>
      </c>
    </row>
    <row r="100" s="522" customFormat="true" ht="13.5" hidden="false" customHeight="true" outlineLevel="1" collapsed="false">
      <c r="B100" s="559" t="s">
        <v>598</v>
      </c>
      <c r="C100" s="557"/>
      <c r="G100" s="522" t="n">
        <f aca="false">SUM(G83,G93)</f>
        <v>5200000</v>
      </c>
      <c r="H100" s="522" t="n">
        <f aca="false">SUM(H83,H93)</f>
        <v>0</v>
      </c>
      <c r="I100" s="522" t="n">
        <f aca="false">SUM(I83,I93)</f>
        <v>0</v>
      </c>
      <c r="J100" s="522" t="n">
        <f aca="false">SUM(J83,J93)</f>
        <v>0</v>
      </c>
      <c r="K100" s="522" t="n">
        <f aca="false">SUM(K83,K93)</f>
        <v>0</v>
      </c>
      <c r="L100" s="522" t="n">
        <f aca="false">SUM(L83,L93)</f>
        <v>0</v>
      </c>
      <c r="M100" s="522" t="n">
        <f aca="false">SUM(M83,M93)</f>
        <v>0</v>
      </c>
      <c r="N100" s="522" t="n">
        <f aca="false">SUM(N83,N93)</f>
        <v>0</v>
      </c>
      <c r="O100" s="522" t="n">
        <f aca="false">SUM(O83,O93)</f>
        <v>0</v>
      </c>
      <c r="P100" s="522" t="n">
        <f aca="false">SUM(P83,P93)</f>
        <v>0</v>
      </c>
      <c r="Q100" s="522" t="n">
        <f aca="false">SUM(Q83,Q93)</f>
        <v>0</v>
      </c>
      <c r="R100" s="522" t="n">
        <f aca="false">SUM(R83,R93)</f>
        <v>0</v>
      </c>
      <c r="S100" s="522" t="n">
        <f aca="false">SUM(S83,S93)</f>
        <v>0</v>
      </c>
      <c r="T100" s="522" t="n">
        <f aca="false">SUM(T83,T93)</f>
        <v>0</v>
      </c>
      <c r="U100" s="522" t="n">
        <f aca="false">SUM(U83,U93)</f>
        <v>0</v>
      </c>
      <c r="V100" s="522" t="n">
        <f aca="false">SUM(V83,V93)</f>
        <v>0</v>
      </c>
      <c r="W100" s="522" t="n">
        <f aca="false">SUM(W83,W93)</f>
        <v>0</v>
      </c>
      <c r="X100" s="522" t="n">
        <f aca="false">SUM(X83,X93)</f>
        <v>0</v>
      </c>
      <c r="Y100" s="522" t="n">
        <f aca="false">SUM(Y83,Y93)</f>
        <v>0</v>
      </c>
      <c r="Z100" s="522" t="n">
        <f aca="false">SUM(Z83,Z93)</f>
        <v>0</v>
      </c>
      <c r="AA100" s="522" t="n">
        <f aca="false">SUM(AA83,AA93)</f>
        <v>0</v>
      </c>
      <c r="AB100" s="522" t="n">
        <f aca="false">SUM(AB83,AB93)</f>
        <v>0</v>
      </c>
      <c r="AC100" s="522" t="n">
        <f aca="false">SUM(AC83,AC93)</f>
        <v>0</v>
      </c>
      <c r="AD100" s="522" t="n">
        <f aca="false">SUM(AD83,AD93)</f>
        <v>0</v>
      </c>
      <c r="AE100" s="522" t="n">
        <f aca="false">SUM(AE83,AE93)</f>
        <v>0</v>
      </c>
      <c r="AF100" s="522" t="n">
        <f aca="false">SUM(AF83,AF93)</f>
        <v>0</v>
      </c>
      <c r="AG100" s="522" t="n">
        <f aca="false">SUM(AG83,AG93)</f>
        <v>0</v>
      </c>
      <c r="AH100" s="522" t="n">
        <f aca="false">SUM(AH83,AH93)</f>
        <v>0</v>
      </c>
      <c r="AI100" s="522" t="n">
        <f aca="false">SUM(AI83,AI93)</f>
        <v>0</v>
      </c>
      <c r="AJ100" s="522" t="n">
        <f aca="false">SUM(AJ83,AJ93)</f>
        <v>0</v>
      </c>
      <c r="AK100" s="522" t="n">
        <f aca="false">SUM(AK83,AK93)</f>
        <v>0</v>
      </c>
      <c r="AL100" s="522" t="n">
        <f aca="false">SUM(AL83,AL93)</f>
        <v>0</v>
      </c>
      <c r="AM100" s="522" t="n">
        <f aca="false">SUM(AM83,AM93)</f>
        <v>0</v>
      </c>
      <c r="AN100" s="522" t="n">
        <f aca="false">SUM(AN83,AN93)</f>
        <v>0</v>
      </c>
      <c r="AO100" s="522" t="n">
        <f aca="false">SUM(AO83,AO93)</f>
        <v>0</v>
      </c>
      <c r="AP100" s="522" t="n">
        <f aca="false">SUM(AP83,AP93)</f>
        <v>0</v>
      </c>
      <c r="AQ100" s="522" t="n">
        <f aca="false">SUM(AQ83,AQ93)</f>
        <v>0</v>
      </c>
      <c r="AR100" s="522" t="n">
        <f aca="false">SUM(AR83,AR93)</f>
        <v>0</v>
      </c>
      <c r="AS100" s="522" t="n">
        <f aca="false">SUM(AS83,AS93)</f>
        <v>0</v>
      </c>
      <c r="AT100" s="522" t="n">
        <f aca="false">SUM(AT83,AT93)</f>
        <v>0</v>
      </c>
      <c r="AU100" s="522" t="n">
        <f aca="false">SUM(AU83,AU93)</f>
        <v>0</v>
      </c>
      <c r="AV100" s="522" t="n">
        <f aca="false">SUM(AV83,AV93)</f>
        <v>0</v>
      </c>
      <c r="AW100" s="522" t="n">
        <f aca="false">SUM(AW83,AW93)</f>
        <v>0</v>
      </c>
      <c r="AX100" s="522" t="n">
        <f aca="false">SUM(AX83,AX93)</f>
        <v>0</v>
      </c>
      <c r="AY100" s="522" t="n">
        <f aca="false">SUM(AY83,AY93)</f>
        <v>0</v>
      </c>
      <c r="AZ100" s="522" t="n">
        <f aca="false">SUM(AZ83,AZ93)</f>
        <v>0</v>
      </c>
      <c r="BA100" s="522" t="n">
        <f aca="false">SUM(BA83,BA93)</f>
        <v>0</v>
      </c>
      <c r="BB100" s="522" t="n">
        <f aca="false">SUM(BB83,BB93)</f>
        <v>0</v>
      </c>
      <c r="BC100" s="522" t="n">
        <f aca="false">SUM(BC83,BC93)</f>
        <v>0</v>
      </c>
      <c r="BD100" s="522" t="n">
        <f aca="false">SUM(BD83,BD93)</f>
        <v>0</v>
      </c>
      <c r="BE100" s="522" t="n">
        <f aca="false">SUM(BE83,BE93)</f>
        <v>0</v>
      </c>
      <c r="BF100" s="522" t="n">
        <f aca="false">SUM(BF83,BF93)</f>
        <v>0</v>
      </c>
      <c r="BG100" s="522" t="n">
        <f aca="false">SUM(BG83,BG93)</f>
        <v>0</v>
      </c>
      <c r="BH100" s="522" t="n">
        <f aca="false">SUM(BH83,BH93)</f>
        <v>0</v>
      </c>
      <c r="BI100" s="522" t="n">
        <f aca="false">SUM(BI83,BI93)</f>
        <v>0</v>
      </c>
      <c r="BJ100" s="522" t="n">
        <f aca="false">SUM(BJ83,BJ93)</f>
        <v>0</v>
      </c>
      <c r="BK100" s="522" t="n">
        <f aca="false">SUM(BK83,BK93)</f>
        <v>0</v>
      </c>
      <c r="BL100" s="522" t="n">
        <f aca="false">SUM(BL83,BL93)</f>
        <v>0</v>
      </c>
      <c r="BM100" s="522" t="n">
        <f aca="false">SUM(BM83,BM93)</f>
        <v>0</v>
      </c>
      <c r="BN100" s="522" t="n">
        <f aca="false">SUM(BN83,BN93)</f>
        <v>0</v>
      </c>
      <c r="BO100" s="522" t="n">
        <f aca="false">SUM(BO83,BO93)</f>
        <v>0</v>
      </c>
      <c r="BP100" s="522" t="n">
        <f aca="false">SUM(BP83,BP93)</f>
        <v>0</v>
      </c>
      <c r="BQ100" s="522" t="n">
        <f aca="false">SUM(BQ83,BQ93)</f>
        <v>0</v>
      </c>
      <c r="BR100" s="522" t="n">
        <f aca="false">SUM(BR83,BR93)</f>
        <v>0</v>
      </c>
      <c r="BS100" s="522" t="n">
        <f aca="false">SUM(BS83,BS93)</f>
        <v>0</v>
      </c>
      <c r="BT100" s="522" t="n">
        <f aca="false">SUM(BT83,BT93)</f>
        <v>0</v>
      </c>
      <c r="BU100" s="522" t="n">
        <f aca="false">SUM(BU83,BU93)</f>
        <v>0</v>
      </c>
      <c r="BV100" s="522" t="n">
        <f aca="false">SUM(BV83,BV93)</f>
        <v>0</v>
      </c>
      <c r="BW100" s="522" t="n">
        <f aca="false">SUM(BW83,BW93)</f>
        <v>0</v>
      </c>
      <c r="BX100" s="522" t="n">
        <f aca="false">SUM(BX83,BX93)</f>
        <v>0</v>
      </c>
      <c r="BY100" s="522" t="n">
        <f aca="false">SUM(BY83,BY93)</f>
        <v>0</v>
      </c>
      <c r="BZ100" s="522" t="n">
        <f aca="false">SUM(BZ83,BZ93)</f>
        <v>0</v>
      </c>
      <c r="CA100" s="522" t="n">
        <f aca="false">SUM(CA83,CA93)</f>
        <v>0</v>
      </c>
      <c r="CB100" s="522" t="n">
        <f aca="false">SUM(CB83,CB93)</f>
        <v>0</v>
      </c>
      <c r="CC100" s="522" t="n">
        <f aca="false">SUM(CC83,CC93)</f>
        <v>0</v>
      </c>
      <c r="CD100" s="522" t="n">
        <f aca="false">SUM(CD83,CD93)</f>
        <v>0</v>
      </c>
      <c r="CE100" s="522" t="n">
        <f aca="false">SUM(CE83,CE93)</f>
        <v>0</v>
      </c>
      <c r="CF100" s="522" t="n">
        <f aca="false">SUM(CF83,CF93)</f>
        <v>0</v>
      </c>
      <c r="CG100" s="522" t="n">
        <f aca="false">SUM(CG83,CG93)</f>
        <v>0</v>
      </c>
      <c r="CH100" s="522" t="n">
        <f aca="false">SUM(CH83,CH93)</f>
        <v>0</v>
      </c>
      <c r="CI100" s="522" t="n">
        <f aca="false">SUM(CI83,CI93)</f>
        <v>0</v>
      </c>
      <c r="CJ100" s="522" t="n">
        <f aca="false">SUM(CJ83,CJ93)</f>
        <v>0</v>
      </c>
      <c r="CK100" s="522" t="n">
        <f aca="false">SUM(CK83,CK93)</f>
        <v>0</v>
      </c>
      <c r="CL100" s="522" t="n">
        <f aca="false">SUM(CL83,CL93)</f>
        <v>0</v>
      </c>
      <c r="CM100" s="522" t="n">
        <f aca="false">SUM(CM83,CM93)</f>
        <v>0</v>
      </c>
      <c r="CN100" s="522" t="n">
        <f aca="false">SUM(CN83,CN93)</f>
        <v>0</v>
      </c>
      <c r="CO100" s="522" t="n">
        <f aca="false">SUM(CO83,CO93)</f>
        <v>0</v>
      </c>
      <c r="CP100" s="522" t="n">
        <f aca="false">SUM(CP83,CP93)</f>
        <v>0</v>
      </c>
      <c r="CQ100" s="522" t="n">
        <f aca="false">SUM(CQ83,CQ93)</f>
        <v>0</v>
      </c>
      <c r="CR100" s="522" t="n">
        <f aca="false">SUM(CR83,CR93)</f>
        <v>0</v>
      </c>
      <c r="CS100" s="522" t="n">
        <f aca="false">SUM(CS83,CS93)</f>
        <v>0</v>
      </c>
      <c r="CT100" s="522" t="n">
        <f aca="false">SUM(CT83,CT93)</f>
        <v>0</v>
      </c>
      <c r="CU100" s="522" t="n">
        <f aca="false">SUM(CU83,CU93)</f>
        <v>0</v>
      </c>
      <c r="CV100" s="522" t="n">
        <f aca="false">SUM(CV83,CV93)</f>
        <v>0</v>
      </c>
      <c r="CW100" s="522" t="n">
        <f aca="false">SUM(CW83,CW93)</f>
        <v>0</v>
      </c>
      <c r="CX100" s="522" t="n">
        <f aca="false">SUM(CX83,CX93)</f>
        <v>0</v>
      </c>
      <c r="CY100" s="522" t="n">
        <f aca="false">SUM(CY83,CY93)</f>
        <v>0</v>
      </c>
      <c r="CZ100" s="522" t="n">
        <f aca="false">SUM(CZ83,CZ93)</f>
        <v>0</v>
      </c>
      <c r="DA100" s="522" t="n">
        <f aca="false">SUM(DA83,DA93)</f>
        <v>0</v>
      </c>
      <c r="DB100" s="522" t="n">
        <f aca="false">SUM(DB83,DB93)</f>
        <v>0</v>
      </c>
      <c r="DC100" s="522" t="n">
        <f aca="false">SUM(DC83,DC93)</f>
        <v>0</v>
      </c>
      <c r="DD100" s="522" t="n">
        <f aca="false">SUM(DD83,DD93)</f>
        <v>0</v>
      </c>
      <c r="DE100" s="522" t="n">
        <f aca="false">SUM(DE83,DE93)</f>
        <v>0</v>
      </c>
      <c r="DF100" s="522" t="n">
        <f aca="false">SUM(DF83,DF93)</f>
        <v>0</v>
      </c>
      <c r="DG100" s="522" t="n">
        <f aca="false">SUM(DG83,DG93)</f>
        <v>0</v>
      </c>
      <c r="DH100" s="522" t="n">
        <f aca="false">SUM(DH83,DH93)</f>
        <v>0</v>
      </c>
      <c r="DI100" s="522" t="n">
        <f aca="false">SUM(DI83,DI93)</f>
        <v>0</v>
      </c>
      <c r="DJ100" s="522" t="n">
        <f aca="false">SUM(DJ83,DJ93)</f>
        <v>0</v>
      </c>
      <c r="DK100" s="522" t="n">
        <f aca="false">SUM(DK83,DK93)</f>
        <v>0</v>
      </c>
      <c r="DL100" s="522" t="n">
        <f aca="false">SUM(DL83,DL93)</f>
        <v>0</v>
      </c>
      <c r="DM100" s="522" t="n">
        <f aca="false">SUM(DM83,DM93)</f>
        <v>0</v>
      </c>
      <c r="DN100" s="522" t="n">
        <f aca="false">SUM(DN83,DN93)</f>
        <v>0</v>
      </c>
      <c r="DO100" s="522" t="n">
        <f aca="false">SUM(DO83,DO93)</f>
        <v>0</v>
      </c>
      <c r="DP100" s="522" t="n">
        <f aca="false">SUM(DP83,DP93)</f>
        <v>0</v>
      </c>
      <c r="DQ100" s="522" t="n">
        <f aca="false">SUM(DQ83,DQ93)</f>
        <v>0</v>
      </c>
      <c r="DR100" s="522" t="n">
        <f aca="false">SUM(DR83,DR93)</f>
        <v>0</v>
      </c>
      <c r="DS100" s="522" t="n">
        <f aca="false">SUM(DS83,DS93)</f>
        <v>0</v>
      </c>
      <c r="DT100" s="522" t="n">
        <f aca="false">SUM(DT83,DT93)</f>
        <v>0</v>
      </c>
      <c r="DU100" s="522" t="n">
        <f aca="false">SUM(DU83,DU93)</f>
        <v>0</v>
      </c>
      <c r="DV100" s="522" t="n">
        <f aca="false">SUM(DV83,DV93)</f>
        <v>0</v>
      </c>
      <c r="DW100" s="522" t="n">
        <f aca="false">SUM(DW83,DW93)</f>
        <v>0</v>
      </c>
      <c r="DX100" s="522" t="n">
        <f aca="false">SUM(DX83,DX93)</f>
        <v>0</v>
      </c>
      <c r="DY100" s="522" t="n">
        <f aca="false">SUM(DY83,DY93)</f>
        <v>0</v>
      </c>
      <c r="DZ100" s="522" t="n">
        <f aca="false">SUM(DZ83,DZ93)</f>
        <v>0</v>
      </c>
      <c r="EA100" s="522" t="n">
        <f aca="false">SUM(EA83,EA93)</f>
        <v>0</v>
      </c>
      <c r="EB100" s="522" t="n">
        <f aca="false">SUM(EB83,EB93)</f>
        <v>0</v>
      </c>
      <c r="EC100" s="522" t="n">
        <f aca="false">SUM(EC83,EC93)</f>
        <v>0</v>
      </c>
      <c r="ED100" s="522" t="n">
        <f aca="false">SUM(ED83,ED93)</f>
        <v>0</v>
      </c>
      <c r="EE100" s="522" t="n">
        <f aca="false">SUM(EE83,EE93)</f>
        <v>0</v>
      </c>
      <c r="EF100" s="522" t="n">
        <f aca="false">SUM(EF83,EF93)</f>
        <v>0</v>
      </c>
      <c r="EG100" s="522" t="n">
        <f aca="false">SUM(EG83,EG93)</f>
        <v>0</v>
      </c>
      <c r="EH100" s="522" t="n">
        <f aca="false">SUM(EH83,EH93)</f>
        <v>0</v>
      </c>
      <c r="EI100" s="558" t="n">
        <f aca="false">SUM(EI83,EI93)</f>
        <v>0</v>
      </c>
      <c r="EK100" s="559" t="n">
        <f aca="false">SUMIF($G$3:$EI$3,EK$24,$G100:$EI100)</f>
        <v>0</v>
      </c>
      <c r="EL100" s="522" t="n">
        <f aca="false">SUMIF($G$3:$EI$3,EL$24,$G100:$EI100)</f>
        <v>0</v>
      </c>
      <c r="EM100" s="522" t="n">
        <f aca="false">SUMIF($G$3:$EI$3,EM$24,$G100:$EI100)</f>
        <v>0</v>
      </c>
      <c r="EN100" s="522" t="n">
        <f aca="false">SUMIF($G$3:$EI$3,EN$24,$G100:$EI100)</f>
        <v>0</v>
      </c>
      <c r="EO100" s="522" t="n">
        <f aca="false">SUMIF($G$3:$EI$3,EO$24,$G100:$EI100)</f>
        <v>0</v>
      </c>
      <c r="EP100" s="522" t="n">
        <f aca="false">SUMIF($G$3:$EI$3,EP$24,$G100:$EI100)</f>
        <v>0</v>
      </c>
      <c r="EQ100" s="522" t="n">
        <f aca="false">SUMIF($G$3:$EI$3,EQ$24,$G100:$EI100)</f>
        <v>0</v>
      </c>
      <c r="ER100" s="522" t="n">
        <f aca="false">SUMIF($G$3:$EI$3,ER$24,$G100:$EI100)</f>
        <v>0</v>
      </c>
      <c r="ES100" s="522" t="n">
        <f aca="false">SUMIF($G$3:$EI$3,ES$24,$G100:$EI100)</f>
        <v>0</v>
      </c>
      <c r="ET100" s="558" t="n">
        <f aca="false">SUMIF($G$3:$EI$3,ET$24,$G100:$EI100)</f>
        <v>0</v>
      </c>
    </row>
    <row r="101" s="522" customFormat="true" ht="13.5" hidden="false" customHeight="true" outlineLevel="1" collapsed="false">
      <c r="B101" s="559" t="s">
        <v>599</v>
      </c>
      <c r="C101" s="557"/>
      <c r="G101" s="522" t="n">
        <f aca="false">SUM(G84,G85,G94,G95)</f>
        <v>0</v>
      </c>
      <c r="H101" s="522" t="n">
        <f aca="false">SUM(H84,H85,H94,H95)</f>
        <v>0</v>
      </c>
      <c r="I101" s="522" t="n">
        <f aca="false">SUM(I84,I85,I94,I95)</f>
        <v>0</v>
      </c>
      <c r="J101" s="522" t="n">
        <f aca="false">SUM(J84,J85,J94,J95)</f>
        <v>0</v>
      </c>
      <c r="K101" s="522" t="n">
        <f aca="false">SUM(K84,K85,K94,K95)</f>
        <v>0</v>
      </c>
      <c r="L101" s="522" t="n">
        <f aca="false">SUM(L84,L85,L94,L95)</f>
        <v>0</v>
      </c>
      <c r="M101" s="522" t="n">
        <f aca="false">SUM(M84,M85,M94,M95)</f>
        <v>0</v>
      </c>
      <c r="N101" s="522" t="n">
        <f aca="false">SUM(N84,N85,N94,N95)</f>
        <v>0</v>
      </c>
      <c r="O101" s="522" t="n">
        <f aca="false">SUM(O84,O85,O94,O95)</f>
        <v>0</v>
      </c>
      <c r="P101" s="522" t="n">
        <f aca="false">SUM(P84,P85,P94,P95)</f>
        <v>0</v>
      </c>
      <c r="Q101" s="522" t="n">
        <f aca="false">SUM(Q84,Q85,Q94,Q95)</f>
        <v>0</v>
      </c>
      <c r="R101" s="522" t="n">
        <f aca="false">SUM(R84,R85,R94,R95)</f>
        <v>0</v>
      </c>
      <c r="S101" s="522" t="n">
        <f aca="false">SUM(S84,S85,S94,S95)</f>
        <v>0</v>
      </c>
      <c r="T101" s="522" t="n">
        <f aca="false">SUM(T84,T85,T94,T95)</f>
        <v>0</v>
      </c>
      <c r="U101" s="522" t="n">
        <f aca="false">SUM(U84,U85,U94,U95)</f>
        <v>0</v>
      </c>
      <c r="V101" s="522" t="n">
        <f aca="false">SUM(V84,V85,V94,V95)</f>
        <v>0</v>
      </c>
      <c r="W101" s="522" t="n">
        <f aca="false">SUM(W84,W85,W94,W95)</f>
        <v>0</v>
      </c>
      <c r="X101" s="522" t="n">
        <f aca="false">SUM(X84,X85,X94,X95)</f>
        <v>0</v>
      </c>
      <c r="Y101" s="522" t="n">
        <f aca="false">SUM(Y84,Y85,Y94,Y95)</f>
        <v>0</v>
      </c>
      <c r="Z101" s="522" t="n">
        <f aca="false">SUM(Z84,Z85,Z94,Z95)</f>
        <v>0</v>
      </c>
      <c r="AA101" s="522" t="n">
        <f aca="false">SUM(AA84,AA85,AA94,AA95)</f>
        <v>0</v>
      </c>
      <c r="AB101" s="522" t="n">
        <f aca="false">SUM(AB84,AB85,AB94,AB95)</f>
        <v>0</v>
      </c>
      <c r="AC101" s="522" t="n">
        <f aca="false">SUM(AC84,AC85,AC94,AC95)</f>
        <v>0</v>
      </c>
      <c r="AD101" s="522" t="n">
        <f aca="false">SUM(AD84,AD85,AD94,AD95)</f>
        <v>0</v>
      </c>
      <c r="AE101" s="522" t="n">
        <f aca="false">SUM(AE84,AE85,AE94,AE95)</f>
        <v>0</v>
      </c>
      <c r="AF101" s="522" t="n">
        <f aca="false">SUM(AF84,AF85,AF94,AF95)</f>
        <v>0</v>
      </c>
      <c r="AG101" s="522" t="n">
        <f aca="false">SUM(AG84,AG85,AG94,AG95)</f>
        <v>0</v>
      </c>
      <c r="AH101" s="522" t="n">
        <f aca="false">SUM(AH84,AH85,AH94,AH95)</f>
        <v>0</v>
      </c>
      <c r="AI101" s="522" t="n">
        <f aca="false">SUM(AI84,AI85,AI94,AI95)</f>
        <v>0</v>
      </c>
      <c r="AJ101" s="522" t="n">
        <f aca="false">SUM(AJ84,AJ85,AJ94,AJ95)</f>
        <v>0</v>
      </c>
      <c r="AK101" s="522" t="n">
        <f aca="false">SUM(AK84,AK85,AK94,AK95)</f>
        <v>0</v>
      </c>
      <c r="AL101" s="522" t="n">
        <f aca="false">SUM(AL84,AL85,AL94,AL95)</f>
        <v>0</v>
      </c>
      <c r="AM101" s="522" t="n">
        <f aca="false">SUM(AM84,AM85,AM94,AM95)</f>
        <v>0</v>
      </c>
      <c r="AN101" s="522" t="n">
        <f aca="false">SUM(AN84,AN85,AN94,AN95)</f>
        <v>0</v>
      </c>
      <c r="AO101" s="522" t="n">
        <f aca="false">SUM(AO84,AO85,AO94,AO95)</f>
        <v>0</v>
      </c>
      <c r="AP101" s="522" t="n">
        <f aca="false">SUM(AP84,AP85,AP94,AP95)</f>
        <v>0</v>
      </c>
      <c r="AQ101" s="522" t="n">
        <f aca="false">SUM(AQ84,AQ85,AQ94,AQ95)</f>
        <v>0</v>
      </c>
      <c r="AR101" s="522" t="n">
        <f aca="false">SUM(AR84,AR85,AR94,AR95)</f>
        <v>-7303.08065034358</v>
      </c>
      <c r="AS101" s="522" t="n">
        <f aca="false">SUM(AS84,AS85,AS94,AS95)</f>
        <v>-7332.59726797205</v>
      </c>
      <c r="AT101" s="522" t="n">
        <f aca="false">SUM(AT84,AT85,AT94,AT95)</f>
        <v>-7362.23318193011</v>
      </c>
      <c r="AU101" s="522" t="n">
        <f aca="false">SUM(AU84,AU85,AU94,AU95)</f>
        <v>-7391.98887437374</v>
      </c>
      <c r="AV101" s="522" t="n">
        <f aca="false">SUM(AV84,AV85,AV94,AV95)</f>
        <v>-7421.86482940767</v>
      </c>
      <c r="AW101" s="522" t="n">
        <f aca="false">SUM(AW84,AW85,AW94,AW95)</f>
        <v>-7451.86153309319</v>
      </c>
      <c r="AX101" s="522" t="n">
        <f aca="false">SUM(AX84,AX85,AX94,AX95)</f>
        <v>-7481.97947345611</v>
      </c>
      <c r="AY101" s="522" t="n">
        <f aca="false">SUM(AY84,AY85,AY94,AY95)</f>
        <v>-7512.21914049466</v>
      </c>
      <c r="AZ101" s="522" t="n">
        <f aca="false">SUM(AZ84,AZ85,AZ94,AZ95)</f>
        <v>-7542.5810261875</v>
      </c>
      <c r="BA101" s="522" t="n">
        <f aca="false">SUM(BA84,BA85,BA94,BA95)</f>
        <v>-7573.06562450167</v>
      </c>
      <c r="BB101" s="522" t="n">
        <f aca="false">SUM(BB84,BB85,BB94,BB95)</f>
        <v>-7603.6734314007</v>
      </c>
      <c r="BC101" s="522" t="n">
        <f aca="false">SUM(BC84,BC85,BC94,BC95)</f>
        <v>-7634.40494485261</v>
      </c>
      <c r="BD101" s="522" t="n">
        <f aca="false">SUM(BD84,BD85,BD94,BD95)</f>
        <v>-7665.26066483805</v>
      </c>
      <c r="BE101" s="522" t="n">
        <f aca="false">SUM(BE84,BE85,BE94,BE95)</f>
        <v>-7696.24109335845</v>
      </c>
      <c r="BF101" s="522" t="n">
        <f aca="false">SUM(BF84,BF85,BF94,BF95)</f>
        <v>-7727.3467344441</v>
      </c>
      <c r="BG101" s="522" t="n">
        <f aca="false">SUM(BG84,BG85,BG94,BG95)</f>
        <v>-7758.57809416248</v>
      </c>
      <c r="BH101" s="522" t="n">
        <f aca="false">SUM(BH84,BH85,BH94,BH95)</f>
        <v>-7789.93568062639</v>
      </c>
      <c r="BI101" s="522" t="n">
        <f aca="false">SUM(BI84,BI85,BI94,BI95)</f>
        <v>-7821.42000400225</v>
      </c>
      <c r="BJ101" s="522" t="n">
        <f aca="false">SUM(BJ84,BJ85,BJ94,BJ95)</f>
        <v>-7853.03157651843</v>
      </c>
      <c r="BK101" s="522" t="n">
        <f aca="false">SUM(BK84,BK85,BK94,BK95)</f>
        <v>-7884.77091247352</v>
      </c>
      <c r="BL101" s="522" t="n">
        <f aca="false">SUM(BL84,BL85,BL94,BL95)</f>
        <v>-7916.63852824477</v>
      </c>
      <c r="BM101" s="522" t="n">
        <f aca="false">SUM(BM84,BM85,BM94,BM95)</f>
        <v>-7948.63494229643</v>
      </c>
      <c r="BN101" s="522" t="n">
        <f aca="false">SUM(BN84,BN85,BN94,BN95)</f>
        <v>-7980.76067518821</v>
      </c>
      <c r="BO101" s="522" t="n">
        <f aca="false">SUM(BO84,BO85,BO94,BO95)</f>
        <v>-5024345.83111584</v>
      </c>
      <c r="BP101" s="522" t="n">
        <f aca="false">SUM(BP84,BP85,BP94,BP95)</f>
        <v>0</v>
      </c>
      <c r="BQ101" s="522" t="n">
        <f aca="false">SUM(BQ84,BQ85,BQ94,BQ95)</f>
        <v>0</v>
      </c>
      <c r="BR101" s="522" t="n">
        <f aca="false">SUM(BR84,BR85,BR94,BR95)</f>
        <v>0</v>
      </c>
      <c r="BS101" s="522" t="n">
        <f aca="false">SUM(BS84,BS85,BS94,BS95)</f>
        <v>0</v>
      </c>
      <c r="BT101" s="522" t="n">
        <f aca="false">SUM(BT84,BT85,BT94,BT95)</f>
        <v>0</v>
      </c>
      <c r="BU101" s="522" t="n">
        <f aca="false">SUM(BU84,BU85,BU94,BU95)</f>
        <v>0</v>
      </c>
      <c r="BV101" s="522" t="n">
        <f aca="false">SUM(BV84,BV85,BV94,BV95)</f>
        <v>0</v>
      </c>
      <c r="BW101" s="522" t="n">
        <f aca="false">SUM(BW84,BW85,BW94,BW95)</f>
        <v>0</v>
      </c>
      <c r="BX101" s="522" t="n">
        <f aca="false">SUM(BX84,BX85,BX94,BX95)</f>
        <v>0</v>
      </c>
      <c r="BY101" s="522" t="n">
        <f aca="false">SUM(BY84,BY85,BY94,BY95)</f>
        <v>0</v>
      </c>
      <c r="BZ101" s="522" t="n">
        <f aca="false">SUM(BZ84,BZ85,BZ94,BZ95)</f>
        <v>0</v>
      </c>
      <c r="CA101" s="522" t="n">
        <f aca="false">SUM(CA84,CA85,CA94,CA95)</f>
        <v>0</v>
      </c>
      <c r="CB101" s="522" t="n">
        <f aca="false">SUM(CB84,CB85,CB94,CB95)</f>
        <v>0</v>
      </c>
      <c r="CC101" s="522" t="n">
        <f aca="false">SUM(CC84,CC85,CC94,CC95)</f>
        <v>0</v>
      </c>
      <c r="CD101" s="522" t="n">
        <f aca="false">SUM(CD84,CD85,CD94,CD95)</f>
        <v>0</v>
      </c>
      <c r="CE101" s="522" t="n">
        <f aca="false">SUM(CE84,CE85,CE94,CE95)</f>
        <v>0</v>
      </c>
      <c r="CF101" s="522" t="n">
        <f aca="false">SUM(CF84,CF85,CF94,CF95)</f>
        <v>0</v>
      </c>
      <c r="CG101" s="522" t="n">
        <f aca="false">SUM(CG84,CG85,CG94,CG95)</f>
        <v>0</v>
      </c>
      <c r="CH101" s="522" t="n">
        <f aca="false">SUM(CH84,CH85,CH94,CH95)</f>
        <v>0</v>
      </c>
      <c r="CI101" s="522" t="n">
        <f aca="false">SUM(CI84,CI85,CI94,CI95)</f>
        <v>0</v>
      </c>
      <c r="CJ101" s="522" t="n">
        <f aca="false">SUM(CJ84,CJ85,CJ94,CJ95)</f>
        <v>0</v>
      </c>
      <c r="CK101" s="522" t="n">
        <f aca="false">SUM(CK84,CK85,CK94,CK95)</f>
        <v>0</v>
      </c>
      <c r="CL101" s="522" t="n">
        <f aca="false">SUM(CL84,CL85,CL94,CL95)</f>
        <v>0</v>
      </c>
      <c r="CM101" s="522" t="n">
        <f aca="false">SUM(CM84,CM85,CM94,CM95)</f>
        <v>0</v>
      </c>
      <c r="CN101" s="522" t="n">
        <f aca="false">SUM(CN84,CN85,CN94,CN95)</f>
        <v>0</v>
      </c>
      <c r="CO101" s="522" t="n">
        <f aca="false">SUM(CO84,CO85,CO94,CO95)</f>
        <v>0</v>
      </c>
      <c r="CP101" s="522" t="n">
        <f aca="false">SUM(CP84,CP85,CP94,CP95)</f>
        <v>0</v>
      </c>
      <c r="CQ101" s="522" t="n">
        <f aca="false">SUM(CQ84,CQ85,CQ94,CQ95)</f>
        <v>0</v>
      </c>
      <c r="CR101" s="522" t="n">
        <f aca="false">SUM(CR84,CR85,CR94,CR95)</f>
        <v>0</v>
      </c>
      <c r="CS101" s="522" t="n">
        <f aca="false">SUM(CS84,CS85,CS94,CS95)</f>
        <v>0</v>
      </c>
      <c r="CT101" s="522" t="n">
        <f aca="false">SUM(CT84,CT85,CT94,CT95)</f>
        <v>0</v>
      </c>
      <c r="CU101" s="522" t="n">
        <f aca="false">SUM(CU84,CU85,CU94,CU95)</f>
        <v>0</v>
      </c>
      <c r="CV101" s="522" t="n">
        <f aca="false">SUM(CV84,CV85,CV94,CV95)</f>
        <v>0</v>
      </c>
      <c r="CW101" s="522" t="n">
        <f aca="false">SUM(CW84,CW85,CW94,CW95)</f>
        <v>0</v>
      </c>
      <c r="CX101" s="522" t="n">
        <f aca="false">SUM(CX84,CX85,CX94,CX95)</f>
        <v>0</v>
      </c>
      <c r="CY101" s="522" t="n">
        <f aca="false">SUM(CY84,CY85,CY94,CY95)</f>
        <v>0</v>
      </c>
      <c r="CZ101" s="522" t="n">
        <f aca="false">SUM(CZ84,CZ85,CZ94,CZ95)</f>
        <v>0</v>
      </c>
      <c r="DA101" s="522" t="n">
        <f aca="false">SUM(DA84,DA85,DA94,DA95)</f>
        <v>0</v>
      </c>
      <c r="DB101" s="522" t="n">
        <f aca="false">SUM(DB84,DB85,DB94,DB95)</f>
        <v>0</v>
      </c>
      <c r="DC101" s="522" t="n">
        <f aca="false">SUM(DC84,DC85,DC94,DC95)</f>
        <v>0</v>
      </c>
      <c r="DD101" s="522" t="n">
        <f aca="false">SUM(DD84,DD85,DD94,DD95)</f>
        <v>0</v>
      </c>
      <c r="DE101" s="522" t="n">
        <f aca="false">SUM(DE84,DE85,DE94,DE95)</f>
        <v>0</v>
      </c>
      <c r="DF101" s="522" t="n">
        <f aca="false">SUM(DF84,DF85,DF94,DF95)</f>
        <v>0</v>
      </c>
      <c r="DG101" s="522" t="n">
        <f aca="false">SUM(DG84,DG85,DG94,DG95)</f>
        <v>0</v>
      </c>
      <c r="DH101" s="522" t="n">
        <f aca="false">SUM(DH84,DH85,DH94,DH95)</f>
        <v>0</v>
      </c>
      <c r="DI101" s="522" t="n">
        <f aca="false">SUM(DI84,DI85,DI94,DI95)</f>
        <v>0</v>
      </c>
      <c r="DJ101" s="522" t="n">
        <f aca="false">SUM(DJ84,DJ85,DJ94,DJ95)</f>
        <v>0</v>
      </c>
      <c r="DK101" s="522" t="n">
        <f aca="false">SUM(DK84,DK85,DK94,DK95)</f>
        <v>0</v>
      </c>
      <c r="DL101" s="522" t="n">
        <f aca="false">SUM(DL84,DL85,DL94,DL95)</f>
        <v>0</v>
      </c>
      <c r="DM101" s="522" t="n">
        <f aca="false">SUM(DM84,DM85,DM94,DM95)</f>
        <v>0</v>
      </c>
      <c r="DN101" s="522" t="n">
        <f aca="false">SUM(DN84,DN85,DN94,DN95)</f>
        <v>0</v>
      </c>
      <c r="DO101" s="522" t="n">
        <f aca="false">SUM(DO84,DO85,DO94,DO95)</f>
        <v>0</v>
      </c>
      <c r="DP101" s="522" t="n">
        <f aca="false">SUM(DP84,DP85,DP94,DP95)</f>
        <v>0</v>
      </c>
      <c r="DQ101" s="522" t="n">
        <f aca="false">SUM(DQ84,DQ85,DQ94,DQ95)</f>
        <v>0</v>
      </c>
      <c r="DR101" s="522" t="n">
        <f aca="false">SUM(DR84,DR85,DR94,DR95)</f>
        <v>0</v>
      </c>
      <c r="DS101" s="522" t="n">
        <f aca="false">SUM(DS84,DS85,DS94,DS95)</f>
        <v>0</v>
      </c>
      <c r="DT101" s="522" t="n">
        <f aca="false">SUM(DT84,DT85,DT94,DT95)</f>
        <v>0</v>
      </c>
      <c r="DU101" s="522" t="n">
        <f aca="false">SUM(DU84,DU85,DU94,DU95)</f>
        <v>0</v>
      </c>
      <c r="DV101" s="522" t="n">
        <f aca="false">SUM(DV84,DV85,DV94,DV95)</f>
        <v>0</v>
      </c>
      <c r="DW101" s="522" t="n">
        <f aca="false">SUM(DW84,DW85,DW94,DW95)</f>
        <v>0</v>
      </c>
      <c r="DX101" s="522" t="n">
        <f aca="false">SUM(DX84,DX85,DX94,DX95)</f>
        <v>0</v>
      </c>
      <c r="DY101" s="522" t="n">
        <f aca="false">SUM(DY84,DY85,DY94,DY95)</f>
        <v>0</v>
      </c>
      <c r="DZ101" s="522" t="n">
        <f aca="false">SUM(DZ84,DZ85,DZ94,DZ95)</f>
        <v>0</v>
      </c>
      <c r="EA101" s="522" t="n">
        <f aca="false">SUM(EA84,EA85,EA94,EA95)</f>
        <v>0</v>
      </c>
      <c r="EB101" s="522" t="n">
        <f aca="false">SUM(EB84,EB85,EB94,EB95)</f>
        <v>0</v>
      </c>
      <c r="EC101" s="522" t="n">
        <f aca="false">SUM(EC84,EC85,EC94,EC95)</f>
        <v>0</v>
      </c>
      <c r="ED101" s="522" t="n">
        <f aca="false">SUM(ED84,ED85,ED94,ED95)</f>
        <v>0</v>
      </c>
      <c r="EE101" s="522" t="n">
        <f aca="false">SUM(EE84,EE85,EE94,EE95)</f>
        <v>0</v>
      </c>
      <c r="EF101" s="522" t="n">
        <f aca="false">SUM(EF84,EF85,EF94,EF95)</f>
        <v>0</v>
      </c>
      <c r="EG101" s="522" t="n">
        <f aca="false">SUM(EG84,EG85,EG94,EG95)</f>
        <v>0</v>
      </c>
      <c r="EH101" s="522" t="n">
        <f aca="false">SUM(EH84,EH85,EH94,EH95)</f>
        <v>0</v>
      </c>
      <c r="EI101" s="558" t="n">
        <f aca="false">SUM(EI84,EI85,EI94,EI95)</f>
        <v>0</v>
      </c>
      <c r="EK101" s="559" t="n">
        <f aca="false">SUMIF($G$3:$EI$3,EK$24,$G101:$EI101)</f>
        <v>0</v>
      </c>
      <c r="EL101" s="522" t="n">
        <f aca="false">SUMIF($G$3:$EI$3,EL$24,$G101:$EI101)</f>
        <v>0</v>
      </c>
      <c r="EM101" s="522" t="n">
        <f aca="false">SUMIF($G$3:$EI$3,EM$24,$G101:$EI101)</f>
        <v>0</v>
      </c>
      <c r="EN101" s="522" t="n">
        <f aca="false">SUMIF($G$3:$EI$3,EN$24,$G101:$EI101)</f>
        <v>-89611.5499780136</v>
      </c>
      <c r="EO101" s="522" t="n">
        <f aca="false">SUMIF($G$3:$EI$3,EO$24,$G101:$EI101)</f>
        <v>-5110388.45002199</v>
      </c>
      <c r="EP101" s="522" t="n">
        <f aca="false">SUMIF($G$3:$EI$3,EP$24,$G101:$EI101)</f>
        <v>0</v>
      </c>
      <c r="EQ101" s="522" t="n">
        <f aca="false">SUMIF($G$3:$EI$3,EQ$24,$G101:$EI101)</f>
        <v>0</v>
      </c>
      <c r="ER101" s="522" t="n">
        <f aca="false">SUMIF($G$3:$EI$3,ER$24,$G101:$EI101)</f>
        <v>0</v>
      </c>
      <c r="ES101" s="522" t="n">
        <f aca="false">SUMIF($G$3:$EI$3,ES$24,$G101:$EI101)</f>
        <v>0</v>
      </c>
      <c r="ET101" s="558" t="n">
        <f aca="false">SUMIF($G$3:$EI$3,ET$24,$G101:$EI101)</f>
        <v>0</v>
      </c>
    </row>
    <row r="102" s="522" customFormat="true" ht="13.5" hidden="false" customHeight="true" outlineLevel="1" collapsed="false">
      <c r="B102" s="559" t="s">
        <v>600</v>
      </c>
      <c r="C102" s="557"/>
      <c r="G102" s="522" t="n">
        <f aca="false">SUM(G87,G97)</f>
        <v>0</v>
      </c>
      <c r="H102" s="522" t="n">
        <f aca="false">SUM(H87,H97)</f>
        <v>-21016.6666666667</v>
      </c>
      <c r="I102" s="522" t="n">
        <f aca="false">SUM(I87,I97)</f>
        <v>-21016.6666666667</v>
      </c>
      <c r="J102" s="522" t="n">
        <f aca="false">SUM(J87,J97)</f>
        <v>-21016.6666666667</v>
      </c>
      <c r="K102" s="522" t="n">
        <f aca="false">SUM(K87,K97)</f>
        <v>-21016.6666666667</v>
      </c>
      <c r="L102" s="522" t="n">
        <f aca="false">SUM(L87,L97)</f>
        <v>-21016.6666666667</v>
      </c>
      <c r="M102" s="522" t="n">
        <f aca="false">SUM(M87,M97)</f>
        <v>-21016.6666666667</v>
      </c>
      <c r="N102" s="522" t="n">
        <f aca="false">SUM(N87,N97)</f>
        <v>-21016.6666666667</v>
      </c>
      <c r="O102" s="522" t="n">
        <f aca="false">SUM(O87,O97)</f>
        <v>-21016.6666666667</v>
      </c>
      <c r="P102" s="522" t="n">
        <f aca="false">SUM(P87,P97)</f>
        <v>-21016.6666666667</v>
      </c>
      <c r="Q102" s="522" t="n">
        <f aca="false">SUM(Q87,Q97)</f>
        <v>-21016.6666666667</v>
      </c>
      <c r="R102" s="522" t="n">
        <f aca="false">SUM(R87,R97)</f>
        <v>-21016.6666666667</v>
      </c>
      <c r="S102" s="522" t="n">
        <f aca="false">SUM(S87,S97)</f>
        <v>-21016.6666666667</v>
      </c>
      <c r="T102" s="522" t="n">
        <f aca="false">SUM(T87,T97)</f>
        <v>-21016.6666666667</v>
      </c>
      <c r="U102" s="522" t="n">
        <f aca="false">SUM(U87,U97)</f>
        <v>-21016.6666666667</v>
      </c>
      <c r="V102" s="522" t="n">
        <f aca="false">SUM(V87,V97)</f>
        <v>-21016.6666666667</v>
      </c>
      <c r="W102" s="522" t="n">
        <f aca="false">SUM(W87,W97)</f>
        <v>-21016.6666666667</v>
      </c>
      <c r="X102" s="522" t="n">
        <f aca="false">SUM(X87,X97)</f>
        <v>-21016.6666666667</v>
      </c>
      <c r="Y102" s="522" t="n">
        <f aca="false">SUM(Y87,Y97)</f>
        <v>-21016.6666666667</v>
      </c>
      <c r="Z102" s="522" t="n">
        <f aca="false">SUM(Z87,Z97)</f>
        <v>-21016.6666666667</v>
      </c>
      <c r="AA102" s="522" t="n">
        <f aca="false">SUM(AA87,AA97)</f>
        <v>-21016.6666666667</v>
      </c>
      <c r="AB102" s="522" t="n">
        <f aca="false">SUM(AB87,AB97)</f>
        <v>-21016.6666666667</v>
      </c>
      <c r="AC102" s="522" t="n">
        <f aca="false">SUM(AC87,AC97)</f>
        <v>-21016.6666666667</v>
      </c>
      <c r="AD102" s="522" t="n">
        <f aca="false">SUM(AD87,AD97)</f>
        <v>-21016.6666666667</v>
      </c>
      <c r="AE102" s="522" t="n">
        <f aca="false">SUM(AE87,AE97)</f>
        <v>-21016.6666666667</v>
      </c>
      <c r="AF102" s="522" t="n">
        <f aca="false">SUM(AF87,AF97)</f>
        <v>-21016.6666666667</v>
      </c>
      <c r="AG102" s="522" t="n">
        <f aca="false">SUM(AG87,AG97)</f>
        <v>-21016.6666666667</v>
      </c>
      <c r="AH102" s="522" t="n">
        <f aca="false">SUM(AH87,AH97)</f>
        <v>-21016.6666666667</v>
      </c>
      <c r="AI102" s="522" t="n">
        <f aca="false">SUM(AI87,AI97)</f>
        <v>-21016.6666666667</v>
      </c>
      <c r="AJ102" s="522" t="n">
        <f aca="false">SUM(AJ87,AJ97)</f>
        <v>-21016.6666666667</v>
      </c>
      <c r="AK102" s="522" t="n">
        <f aca="false">SUM(AK87,AK97)</f>
        <v>-21016.6666666667</v>
      </c>
      <c r="AL102" s="522" t="n">
        <f aca="false">SUM(AL87,AL97)</f>
        <v>-21016.6666666667</v>
      </c>
      <c r="AM102" s="522" t="n">
        <f aca="false">SUM(AM87,AM97)</f>
        <v>-21016.6666666667</v>
      </c>
      <c r="AN102" s="522" t="n">
        <f aca="false">SUM(AN87,AN97)</f>
        <v>-21016.6666666667</v>
      </c>
      <c r="AO102" s="522" t="n">
        <f aca="false">SUM(AO87,AO97)</f>
        <v>-21016.6666666667</v>
      </c>
      <c r="AP102" s="522" t="n">
        <f aca="false">SUM(AP87,AP97)</f>
        <v>-21016.6666666667</v>
      </c>
      <c r="AQ102" s="522" t="n">
        <f aca="false">SUM(AQ87,AQ97)</f>
        <v>-21016.6666666667</v>
      </c>
      <c r="AR102" s="522" t="n">
        <f aca="false">SUM(AR87,AR97)</f>
        <v>-21016.6666666667</v>
      </c>
      <c r="AS102" s="522" t="n">
        <f aca="false">SUM(AS87,AS97)</f>
        <v>-20987.1500490382</v>
      </c>
      <c r="AT102" s="522" t="n">
        <f aca="false">SUM(AT87,AT97)</f>
        <v>-20957.5141350801</v>
      </c>
      <c r="AU102" s="522" t="n">
        <f aca="false">SUM(AU87,AU97)</f>
        <v>-20927.7584426365</v>
      </c>
      <c r="AV102" s="522" t="n">
        <f aca="false">SUM(AV87,AV97)</f>
        <v>-20897.8824876026</v>
      </c>
      <c r="AW102" s="522" t="n">
        <f aca="false">SUM(AW87,AW97)</f>
        <v>-20867.8857839171</v>
      </c>
      <c r="AX102" s="522" t="n">
        <f aca="false">SUM(AX87,AX97)</f>
        <v>-20837.7678435541</v>
      </c>
      <c r="AY102" s="522" t="n">
        <f aca="false">SUM(AY87,AY97)</f>
        <v>-20807.5281765156</v>
      </c>
      <c r="AZ102" s="522" t="n">
        <f aca="false">SUM(AZ87,AZ97)</f>
        <v>-20777.1662908227</v>
      </c>
      <c r="BA102" s="522" t="n">
        <f aca="false">SUM(BA87,BA97)</f>
        <v>-20746.6816925086</v>
      </c>
      <c r="BB102" s="522" t="n">
        <f aca="false">SUM(BB87,BB97)</f>
        <v>-20716.0738856096</v>
      </c>
      <c r="BC102" s="522" t="n">
        <f aca="false">SUM(BC87,BC97)</f>
        <v>-20685.3423721576</v>
      </c>
      <c r="BD102" s="522" t="n">
        <f aca="false">SUM(BD87,BD97)</f>
        <v>-20654.4866521722</v>
      </c>
      <c r="BE102" s="522" t="n">
        <f aca="false">SUM(BE87,BE97)</f>
        <v>-20623.5062236518</v>
      </c>
      <c r="BF102" s="522" t="n">
        <f aca="false">SUM(BF87,BF97)</f>
        <v>-20592.4005825661</v>
      </c>
      <c r="BG102" s="522" t="n">
        <f aca="false">SUM(BG87,BG97)</f>
        <v>-20561.1692228478</v>
      </c>
      <c r="BH102" s="522" t="n">
        <f aca="false">SUM(BH87,BH97)</f>
        <v>-20529.8116363839</v>
      </c>
      <c r="BI102" s="522" t="n">
        <f aca="false">SUM(BI87,BI97)</f>
        <v>-20498.327313008</v>
      </c>
      <c r="BJ102" s="522" t="n">
        <f aca="false">SUM(BJ87,BJ97)</f>
        <v>-20466.7157404918</v>
      </c>
      <c r="BK102" s="522" t="n">
        <f aca="false">SUM(BK87,BK97)</f>
        <v>-20434.9764045367</v>
      </c>
      <c r="BL102" s="522" t="n">
        <f aca="false">SUM(BL87,BL97)</f>
        <v>-20403.1087887655</v>
      </c>
      <c r="BM102" s="522" t="n">
        <f aca="false">SUM(BM87,BM97)</f>
        <v>-20371.1123747138</v>
      </c>
      <c r="BN102" s="522" t="n">
        <f aca="false">SUM(BN87,BN97)</f>
        <v>-20338.986641822</v>
      </c>
      <c r="BO102" s="522" t="n">
        <f aca="false">SUM(BO87,BO97)</f>
        <v>-20306.7310674265</v>
      </c>
      <c r="BP102" s="522" t="n">
        <f aca="false">SUM(BP87,BP97)</f>
        <v>0</v>
      </c>
      <c r="BQ102" s="522" t="n">
        <f aca="false">SUM(BQ87,BQ97)</f>
        <v>0</v>
      </c>
      <c r="BR102" s="522" t="n">
        <f aca="false">SUM(BR87,BR97)</f>
        <v>0</v>
      </c>
      <c r="BS102" s="522" t="n">
        <f aca="false">SUM(BS87,BS97)</f>
        <v>0</v>
      </c>
      <c r="BT102" s="522" t="n">
        <f aca="false">SUM(BT87,BT97)</f>
        <v>0</v>
      </c>
      <c r="BU102" s="522" t="n">
        <f aca="false">SUM(BU87,BU97)</f>
        <v>0</v>
      </c>
      <c r="BV102" s="522" t="n">
        <f aca="false">SUM(BV87,BV97)</f>
        <v>0</v>
      </c>
      <c r="BW102" s="522" t="n">
        <f aca="false">SUM(BW87,BW97)</f>
        <v>0</v>
      </c>
      <c r="BX102" s="522" t="n">
        <f aca="false">SUM(BX87,BX97)</f>
        <v>0</v>
      </c>
      <c r="BY102" s="522" t="n">
        <f aca="false">SUM(BY87,BY97)</f>
        <v>0</v>
      </c>
      <c r="BZ102" s="522" t="n">
        <f aca="false">SUM(BZ87,BZ97)</f>
        <v>0</v>
      </c>
      <c r="CA102" s="522" t="n">
        <f aca="false">SUM(CA87,CA97)</f>
        <v>0</v>
      </c>
      <c r="CB102" s="522" t="n">
        <f aca="false">SUM(CB87,CB97)</f>
        <v>0</v>
      </c>
      <c r="CC102" s="522" t="n">
        <f aca="false">SUM(CC87,CC97)</f>
        <v>0</v>
      </c>
      <c r="CD102" s="522" t="n">
        <f aca="false">SUM(CD87,CD97)</f>
        <v>0</v>
      </c>
      <c r="CE102" s="522" t="n">
        <f aca="false">SUM(CE87,CE97)</f>
        <v>0</v>
      </c>
      <c r="CF102" s="522" t="n">
        <f aca="false">SUM(CF87,CF97)</f>
        <v>0</v>
      </c>
      <c r="CG102" s="522" t="n">
        <f aca="false">SUM(CG87,CG97)</f>
        <v>0</v>
      </c>
      <c r="CH102" s="522" t="n">
        <f aca="false">SUM(CH87,CH97)</f>
        <v>0</v>
      </c>
      <c r="CI102" s="522" t="n">
        <f aca="false">SUM(CI87,CI97)</f>
        <v>0</v>
      </c>
      <c r="CJ102" s="522" t="n">
        <f aca="false">SUM(CJ87,CJ97)</f>
        <v>0</v>
      </c>
      <c r="CK102" s="522" t="n">
        <f aca="false">SUM(CK87,CK97)</f>
        <v>0</v>
      </c>
      <c r="CL102" s="522" t="n">
        <f aca="false">SUM(CL87,CL97)</f>
        <v>0</v>
      </c>
      <c r="CM102" s="522" t="n">
        <f aca="false">SUM(CM87,CM97)</f>
        <v>0</v>
      </c>
      <c r="CN102" s="522" t="n">
        <f aca="false">SUM(CN87,CN97)</f>
        <v>0</v>
      </c>
      <c r="CO102" s="522" t="n">
        <f aca="false">SUM(CO87,CO97)</f>
        <v>0</v>
      </c>
      <c r="CP102" s="522" t="n">
        <f aca="false">SUM(CP87,CP97)</f>
        <v>0</v>
      </c>
      <c r="CQ102" s="522" t="n">
        <f aca="false">SUM(CQ87,CQ97)</f>
        <v>0</v>
      </c>
      <c r="CR102" s="522" t="n">
        <f aca="false">SUM(CR87,CR97)</f>
        <v>0</v>
      </c>
      <c r="CS102" s="522" t="n">
        <f aca="false">SUM(CS87,CS97)</f>
        <v>0</v>
      </c>
      <c r="CT102" s="522" t="n">
        <f aca="false">SUM(CT87,CT97)</f>
        <v>0</v>
      </c>
      <c r="CU102" s="522" t="n">
        <f aca="false">SUM(CU87,CU97)</f>
        <v>0</v>
      </c>
      <c r="CV102" s="522" t="n">
        <f aca="false">SUM(CV87,CV97)</f>
        <v>0</v>
      </c>
      <c r="CW102" s="522" t="n">
        <f aca="false">SUM(CW87,CW97)</f>
        <v>0</v>
      </c>
      <c r="CX102" s="522" t="n">
        <f aca="false">SUM(CX87,CX97)</f>
        <v>0</v>
      </c>
      <c r="CY102" s="522" t="n">
        <f aca="false">SUM(CY87,CY97)</f>
        <v>0</v>
      </c>
      <c r="CZ102" s="522" t="n">
        <f aca="false">SUM(CZ87,CZ97)</f>
        <v>0</v>
      </c>
      <c r="DA102" s="522" t="n">
        <f aca="false">SUM(DA87,DA97)</f>
        <v>0</v>
      </c>
      <c r="DB102" s="522" t="n">
        <f aca="false">SUM(DB87,DB97)</f>
        <v>0</v>
      </c>
      <c r="DC102" s="522" t="n">
        <f aca="false">SUM(DC87,DC97)</f>
        <v>0</v>
      </c>
      <c r="DD102" s="522" t="n">
        <f aca="false">SUM(DD87,DD97)</f>
        <v>0</v>
      </c>
      <c r="DE102" s="522" t="n">
        <f aca="false">SUM(DE87,DE97)</f>
        <v>0</v>
      </c>
      <c r="DF102" s="522" t="n">
        <f aca="false">SUM(DF87,DF97)</f>
        <v>0</v>
      </c>
      <c r="DG102" s="522" t="n">
        <f aca="false">SUM(DG87,DG97)</f>
        <v>0</v>
      </c>
      <c r="DH102" s="522" t="n">
        <f aca="false">SUM(DH87,DH97)</f>
        <v>0</v>
      </c>
      <c r="DI102" s="522" t="n">
        <f aca="false">SUM(DI87,DI97)</f>
        <v>0</v>
      </c>
      <c r="DJ102" s="522" t="n">
        <f aca="false">SUM(DJ87,DJ97)</f>
        <v>0</v>
      </c>
      <c r="DK102" s="522" t="n">
        <f aca="false">SUM(DK87,DK97)</f>
        <v>0</v>
      </c>
      <c r="DL102" s="522" t="n">
        <f aca="false">SUM(DL87,DL97)</f>
        <v>0</v>
      </c>
      <c r="DM102" s="522" t="n">
        <f aca="false">SUM(DM87,DM97)</f>
        <v>0</v>
      </c>
      <c r="DN102" s="522" t="n">
        <f aca="false">SUM(DN87,DN97)</f>
        <v>0</v>
      </c>
      <c r="DO102" s="522" t="n">
        <f aca="false">SUM(DO87,DO97)</f>
        <v>0</v>
      </c>
      <c r="DP102" s="522" t="n">
        <f aca="false">SUM(DP87,DP97)</f>
        <v>0</v>
      </c>
      <c r="DQ102" s="522" t="n">
        <f aca="false">SUM(DQ87,DQ97)</f>
        <v>0</v>
      </c>
      <c r="DR102" s="522" t="n">
        <f aca="false">SUM(DR87,DR97)</f>
        <v>0</v>
      </c>
      <c r="DS102" s="522" t="n">
        <f aca="false">SUM(DS87,DS97)</f>
        <v>0</v>
      </c>
      <c r="DT102" s="522" t="n">
        <f aca="false">SUM(DT87,DT97)</f>
        <v>0</v>
      </c>
      <c r="DU102" s="522" t="n">
        <f aca="false">SUM(DU87,DU97)</f>
        <v>0</v>
      </c>
      <c r="DV102" s="522" t="n">
        <f aca="false">SUM(DV87,DV97)</f>
        <v>0</v>
      </c>
      <c r="DW102" s="522" t="n">
        <f aca="false">SUM(DW87,DW97)</f>
        <v>0</v>
      </c>
      <c r="DX102" s="522" t="n">
        <f aca="false">SUM(DX87,DX97)</f>
        <v>0</v>
      </c>
      <c r="DY102" s="522" t="n">
        <f aca="false">SUM(DY87,DY97)</f>
        <v>0</v>
      </c>
      <c r="DZ102" s="522" t="n">
        <f aca="false">SUM(DZ87,DZ97)</f>
        <v>0</v>
      </c>
      <c r="EA102" s="522" t="n">
        <f aca="false">SUM(EA87,EA97)</f>
        <v>0</v>
      </c>
      <c r="EB102" s="522" t="n">
        <f aca="false">SUM(EB87,EB97)</f>
        <v>0</v>
      </c>
      <c r="EC102" s="522" t="n">
        <f aca="false">SUM(EC87,EC97)</f>
        <v>0</v>
      </c>
      <c r="ED102" s="522" t="n">
        <f aca="false">SUM(ED87,ED97)</f>
        <v>0</v>
      </c>
      <c r="EE102" s="522" t="n">
        <f aca="false">SUM(EE87,EE97)</f>
        <v>0</v>
      </c>
      <c r="EF102" s="522" t="n">
        <f aca="false">SUM(EF87,EF97)</f>
        <v>0</v>
      </c>
      <c r="EG102" s="522" t="n">
        <f aca="false">SUM(EG87,EG97)</f>
        <v>0</v>
      </c>
      <c r="EH102" s="522" t="n">
        <f aca="false">SUM(EH87,EH97)</f>
        <v>0</v>
      </c>
      <c r="EI102" s="558" t="n">
        <f aca="false">SUM(EI87,EI97)</f>
        <v>0</v>
      </c>
      <c r="EK102" s="559" t="n">
        <f aca="false">SUMIF($G$3:$EI$3,EK$24,$G102:$EI102)</f>
        <v>-252200</v>
      </c>
      <c r="EL102" s="522" t="n">
        <f aca="false">SUMIF($G$3:$EI$3,EL$24,$G102:$EI102)</f>
        <v>-252200</v>
      </c>
      <c r="EM102" s="522" t="n">
        <f aca="false">SUMIF($G$3:$EI$3,EM$24,$G102:$EI102)</f>
        <v>-252200</v>
      </c>
      <c r="EN102" s="522" t="n">
        <f aca="false">SUMIF($G$3:$EI$3,EN$24,$G102:$EI102)</f>
        <v>-250225.417826109</v>
      </c>
      <c r="EO102" s="522" t="n">
        <f aca="false">SUMIF($G$3:$EI$3,EO$24,$G102:$EI102)</f>
        <v>-245781.332648386</v>
      </c>
      <c r="EP102" s="522" t="n">
        <f aca="false">SUMIF($G$3:$EI$3,EP$24,$G102:$EI102)</f>
        <v>0</v>
      </c>
      <c r="EQ102" s="522" t="n">
        <f aca="false">SUMIF($G$3:$EI$3,EQ$24,$G102:$EI102)</f>
        <v>0</v>
      </c>
      <c r="ER102" s="522" t="n">
        <f aca="false">SUMIF($G$3:$EI$3,ER$24,$G102:$EI102)</f>
        <v>0</v>
      </c>
      <c r="ES102" s="522" t="n">
        <f aca="false">SUMIF($G$3:$EI$3,ES$24,$G102:$EI102)</f>
        <v>0</v>
      </c>
      <c r="ET102" s="558" t="n">
        <f aca="false">SUMIF($G$3:$EI$3,ET$24,$G102:$EI102)</f>
        <v>0</v>
      </c>
    </row>
    <row r="103" s="590" customFormat="true" ht="13.5" hidden="false" customHeight="true" outlineLevel="1" collapsed="false">
      <c r="B103" s="591" t="s">
        <v>601</v>
      </c>
      <c r="C103" s="592"/>
      <c r="H103" s="590" t="n">
        <f aca="false">IFERROR((H55-(('Executive Summary'!$C$54/12)*'Executive Summary'!$C$12))/-SUM(IF(H82&lt;&gt;0,PMT('Executive Summary'!$L$8/12,'Executive Summary'!$L$11*12,$E$80),0)+IF(H92&lt;&gt;0,PMT('Executive Summary'!$L$21/12,'Executive Summary'!$L$24*12,$E$90),0)),0)</f>
        <v>1.18539177242644</v>
      </c>
      <c r="I103" s="590" t="n">
        <f aca="false">IFERROR((I55-(('Executive Summary'!$C$54/12)*'Executive Summary'!$C$12))/-SUM(IF(I82&lt;&gt;0,PMT('Executive Summary'!$L$8/12,'Executive Summary'!$L$11*12,$E$80),0)+IF(I92&lt;&gt;0,PMT('Executive Summary'!$L$21/12,'Executive Summary'!$L$24*12,$E$90),0)),0)</f>
        <v>1.19659942227379</v>
      </c>
      <c r="J103" s="590" t="n">
        <f aca="false">IFERROR((J55-(('Executive Summary'!$C$54/12)*'Executive Summary'!$C$12))/-SUM(IF(J82&lt;&gt;0,PMT('Executive Summary'!$L$8/12,'Executive Summary'!$L$11*12,$E$80),0)+IF(J92&lt;&gt;0,PMT('Executive Summary'!$L$21/12,'Executive Summary'!$L$24*12,$E$90),0)),0)</f>
        <v>1.21126496048376</v>
      </c>
      <c r="K103" s="590" t="n">
        <f aca="false">IFERROR((K55-(('Executive Summary'!$C$54/12)*'Executive Summary'!$C$12))/-SUM(IF(K82&lt;&gt;0,PMT('Executive Summary'!$L$8/12,'Executive Summary'!$L$11*12,$E$80),0)+IF(K92&lt;&gt;0,PMT('Executive Summary'!$L$21/12,'Executive Summary'!$L$24*12,$E$90),0)),0)</f>
        <v>1.22263352088728</v>
      </c>
      <c r="L103" s="590" t="n">
        <f aca="false">IFERROR((L55-(('Executive Summary'!$C$54/12)*'Executive Summary'!$C$12))/-SUM(IF(L82&lt;&gt;0,PMT('Executive Summary'!$L$8/12,'Executive Summary'!$L$11*12,$E$80),0)+IF(L92&lt;&gt;0,PMT('Executive Summary'!$L$21/12,'Executive Summary'!$L$24*12,$E$90),0)),0)</f>
        <v>1.23749173610104</v>
      </c>
      <c r="M103" s="590" t="n">
        <f aca="false">IFERROR((M55-(('Executive Summary'!$C$54/12)*'Executive Summary'!$C$12))/-SUM(IF(M82&lt;&gt;0,PMT('Executive Summary'!$L$8/12,'Executive Summary'!$L$11*12,$E$80),0)+IF(M92&lt;&gt;0,PMT('Executive Summary'!$L$21/12,'Executive Summary'!$L$24*12,$E$90),0)),0)</f>
        <v>1.24904935278114</v>
      </c>
      <c r="N103" s="590" t="n">
        <f aca="false">IFERROR((N55-(('Executive Summary'!$C$54/12)*'Executive Summary'!$C$12))/-SUM(IF(N82&lt;&gt;0,PMT('Executive Summary'!$L$8/12,'Executive Summary'!$L$11*12,$E$80),0)+IF(N92&lt;&gt;0,PMT('Executive Summary'!$L$21/12,'Executive Summary'!$L$24*12,$E$90),0)),0)</f>
        <v>1.26410044838641</v>
      </c>
      <c r="O103" s="590" t="n">
        <f aca="false">IFERROR((O55-(('Executive Summary'!$C$54/12)*'Executive Summary'!$C$12))/-SUM(IF(O82&lt;&gt;0,PMT('Executive Summary'!$L$8/12,'Executive Summary'!$L$11*12,$E$80),0)+IF(O92&lt;&gt;0,PMT('Executive Summary'!$L$21/12,'Executive Summary'!$L$24*12,$E$90),0)),0)</f>
        <v>1.27584732074576</v>
      </c>
      <c r="P103" s="590" t="n">
        <f aca="false">IFERROR((P55-(('Executive Summary'!$C$54/12)*'Executive Summary'!$C$12))/-SUM(IF(P82&lt;&gt;0,PMT('Executive Summary'!$L$8/12,'Executive Summary'!$L$11*12,$E$80),0)+IF(P92&lt;&gt;0,PMT('Executive Summary'!$L$21/12,'Executive Summary'!$L$24*12,$E$90),0)),0)</f>
        <v>1.29109150032704</v>
      </c>
      <c r="Q103" s="590" t="n">
        <f aca="false">IFERROR((Q55-(('Executive Summary'!$C$54/12)*'Executive Summary'!$C$12))/-SUM(IF(Q82&lt;&gt;0,PMT('Executive Summary'!$L$8/12,'Executive Summary'!$L$11*12,$E$80),0)+IF(Q92&lt;&gt;0,PMT('Executive Summary'!$L$21/12,'Executive Summary'!$L$24*12,$E$90),0)),0)</f>
        <v>1.30302782796064</v>
      </c>
      <c r="R103" s="590" t="n">
        <f aca="false">IFERROR((R55-(('Executive Summary'!$C$54/12)*'Executive Summary'!$C$12))/-SUM(IF(R82&lt;&gt;0,PMT('Executive Summary'!$L$8/12,'Executive Summary'!$L$11*12,$E$80),0)+IF(R92&lt;&gt;0,PMT('Executive Summary'!$L$21/12,'Executive Summary'!$L$24*12,$E$90),0)),0)</f>
        <v>1.31846529529928</v>
      </c>
      <c r="S103" s="590" t="n">
        <f aca="false">IFERROR((S55-(('Executive Summary'!$C$54/12)*'Executive Summary'!$C$12))/-SUM(IF(S82&lt;&gt;0,PMT('Executive Summary'!$L$8/12,'Executive Summary'!$L$11*12,$E$80),0)+IF(S92&lt;&gt;0,PMT('Executive Summary'!$L$21/12,'Executive Summary'!$L$24*12,$E$90),0)),0)</f>
        <v>1.33059127799459</v>
      </c>
      <c r="T103" s="590" t="n">
        <f aca="false">IFERROR((T55-(('Executive Summary'!$C$54/12)*'Executive Summary'!$C$12))/-SUM(IF(T82&lt;&gt;0,PMT('Executive Summary'!$L$8/12,'Executive Summary'!$L$11*12,$E$80),0)+IF(T92&lt;&gt;0,PMT('Executive Summary'!$L$21/12,'Executive Summary'!$L$24*12,$E$90),0)),0)</f>
        <v>1.3220383563683</v>
      </c>
      <c r="U103" s="590" t="n">
        <f aca="false">IFERROR((U55-(('Executive Summary'!$C$54/12)*'Executive Summary'!$C$12))/-SUM(IF(U82&lt;&gt;0,PMT('Executive Summary'!$L$8/12,'Executive Summary'!$L$11*12,$E$80),0)+IF(U92&lt;&gt;0,PMT('Executive Summary'!$L$21/12,'Executive Summary'!$L$24*12,$E$90),0)),0)</f>
        <v>1.32874908252686</v>
      </c>
      <c r="V103" s="590" t="n">
        <f aca="false">IFERROR((V55-(('Executive Summary'!$C$54/12)*'Executive Summary'!$C$12))/-SUM(IF(V82&lt;&gt;0,PMT('Executive Summary'!$L$8/12,'Executive Summary'!$L$11*12,$E$80),0)+IF(V92&lt;&gt;0,PMT('Executive Summary'!$L$21/12,'Executive Summary'!$L$24*12,$E$90),0)),0)</f>
        <v>1.33246095613315</v>
      </c>
      <c r="W103" s="590" t="n">
        <f aca="false">IFERROR((W55-(('Executive Summary'!$C$54/12)*'Executive Summary'!$C$12))/-SUM(IF(W82&lt;&gt;0,PMT('Executive Summary'!$L$8/12,'Executive Summary'!$L$11*12,$E$80),0)+IF(W92&lt;&gt;0,PMT('Executive Summary'!$L$21/12,'Executive Summary'!$L$24*12,$E$90),0)),0)</f>
        <v>1.33995809724449</v>
      </c>
      <c r="X103" s="590" t="n">
        <f aca="false">IFERROR((X55-(('Executive Summary'!$C$54/12)*'Executive Summary'!$C$12))/-SUM(IF(X82&lt;&gt;0,PMT('Executive Summary'!$L$8/12,'Executive Summary'!$L$11*12,$E$80),0)+IF(X92&lt;&gt;0,PMT('Executive Summary'!$L$21/12,'Executive Summary'!$L$24*12,$E$90),0)),0)</f>
        <v>1.34445518412846</v>
      </c>
      <c r="Y103" s="590" t="n">
        <f aca="false">IFERROR((Y55-(('Executive Summary'!$C$54/12)*'Executive Summary'!$C$12))/-SUM(IF(Y82&lt;&gt;0,PMT('Executive Summary'!$L$8/12,'Executive Summary'!$L$11*12,$E$80),0)+IF(Y92&lt;&gt;0,PMT('Executive Summary'!$L$21/12,'Executive Summary'!$L$24*12,$E$90),0)),0)</f>
        <v>1.35274378452856</v>
      </c>
      <c r="Z103" s="590" t="n">
        <f aca="false">IFERROR((Z55-(('Executive Summary'!$C$54/12)*'Executive Summary'!$C$12))/-SUM(IF(Z82&lt;&gt;0,PMT('Executive Summary'!$L$8/12,'Executive Summary'!$L$11*12,$E$80),0)+IF(Z92&lt;&gt;0,PMT('Executive Summary'!$L$21/12,'Executive Summary'!$L$24*12,$E$90),0)),0)</f>
        <v>1.35803113891035</v>
      </c>
      <c r="AA103" s="590" t="n">
        <f aca="false">IFERROR((AA55-(('Executive Summary'!$C$54/12)*'Executive Summary'!$C$12))/-SUM(IF(AA82&lt;&gt;0,PMT('Executive Summary'!$L$8/12,'Executive Summary'!$L$11*12,$E$80),0)+IF(AA92&lt;&gt;0,PMT('Executive Summary'!$L$21/12,'Executive Summary'!$L$24*12,$E$90),0)),0)</f>
        <v>1.36711627090354</v>
      </c>
      <c r="AB103" s="590" t="n">
        <f aca="false">IFERROR((AB55-(('Executive Summary'!$C$54/12)*'Executive Summary'!$C$12))/-SUM(IF(AB82&lt;&gt;0,PMT('Executive Summary'!$L$8/12,'Executive Summary'!$L$11*12,$E$80),0)+IF(AB92&lt;&gt;0,PMT('Executive Summary'!$L$21/12,'Executive Summary'!$L$24*12,$E$90),0)),0)</f>
        <v>1.37319897504256</v>
      </c>
      <c r="AC103" s="590" t="n">
        <f aca="false">IFERROR((AC55-(('Executive Summary'!$C$54/12)*'Executive Summary'!$C$12))/-SUM(IF(AC82&lt;&gt;0,PMT('Executive Summary'!$L$8/12,'Executive Summary'!$L$11*12,$E$80),0)+IF(AC92&lt;&gt;0,PMT('Executive Summary'!$L$21/12,'Executive Summary'!$L$24*12,$E$90),0)),0)</f>
        <v>1.38308573905252</v>
      </c>
      <c r="AD103" s="590" t="n">
        <f aca="false">IFERROR((AD55-(('Executive Summary'!$C$54/12)*'Executive Summary'!$C$12))/-SUM(IF(AD82&lt;&gt;0,PMT('Executive Summary'!$L$8/12,'Executive Summary'!$L$11*12,$E$80),0)+IF(AD92&lt;&gt;0,PMT('Executive Summary'!$L$21/12,'Executive Summary'!$L$24*12,$E$90),0)),0)</f>
        <v>1.38996890339887</v>
      </c>
      <c r="AE103" s="590" t="n">
        <f aca="false">IFERROR((AE55-(('Executive Summary'!$C$54/12)*'Executive Summary'!$C$12))/-SUM(IF(AE82&lt;&gt;0,PMT('Executive Summary'!$L$8/12,'Executive Summary'!$L$11*12,$E$80),0)+IF(AE92&lt;&gt;0,PMT('Executive Summary'!$L$21/12,'Executive Summary'!$L$24*12,$E$90),0)),0)</f>
        <v>1.40066242812045</v>
      </c>
      <c r="AF103" s="590" t="n">
        <f aca="false">IFERROR((AF55-(('Executive Summary'!$C$54/12)*'Executive Summary'!$C$12))/-SUM(IF(AF82&lt;&gt;0,PMT('Executive Summary'!$L$8/12,'Executive Summary'!$L$11*12,$E$80),0)+IF(AF92&lt;&gt;0,PMT('Executive Summary'!$L$21/12,'Executive Summary'!$L$24*12,$E$90),0)),0)</f>
        <v>1.40351863279775</v>
      </c>
      <c r="AG103" s="590" t="n">
        <f aca="false">IFERROR((AG55-(('Executive Summary'!$C$54/12)*'Executive Summary'!$C$12))/-SUM(IF(AG82&lt;&gt;0,PMT('Executive Summary'!$L$8/12,'Executive Summary'!$L$11*12,$E$80),0)+IF(AG92&lt;&gt;0,PMT('Executive Summary'!$L$21/12,'Executive Summary'!$L$24*12,$E$90),0)),0)</f>
        <v>1.40825312705257</v>
      </c>
      <c r="AH103" s="590" t="n">
        <f aca="false">IFERROR((AH55-(('Executive Summary'!$C$54/12)*'Executive Summary'!$C$12))/-SUM(IF(AH82&lt;&gt;0,PMT('Executive Summary'!$L$8/12,'Executive Summary'!$L$11*12,$E$80),0)+IF(AH92&lt;&gt;0,PMT('Executive Summary'!$L$21/12,'Executive Summary'!$L$24*12,$E$90),0)),0)</f>
        <v>1.41296163629363</v>
      </c>
      <c r="AI103" s="590" t="n">
        <f aca="false">IFERROR((AI55-(('Executive Summary'!$C$54/12)*'Executive Summary'!$C$12))/-SUM(IF(AI82&lt;&gt;0,PMT('Executive Summary'!$L$8/12,'Executive Summary'!$L$11*12,$E$80),0)+IF(AI92&lt;&gt;0,PMT('Executive Summary'!$L$21/12,'Executive Summary'!$L$24*12,$E$90),0)),0)</f>
        <v>1.41764399464848</v>
      </c>
      <c r="AJ103" s="590" t="n">
        <f aca="false">IFERROR((AJ55-(('Executive Summary'!$C$54/12)*'Executive Summary'!$C$12))/-SUM(IF(AJ82&lt;&gt;0,PMT('Executive Summary'!$L$8/12,'Executive Summary'!$L$11*12,$E$80),0)+IF(AJ92&lt;&gt;0,PMT('Executive Summary'!$L$21/12,'Executive Summary'!$L$24*12,$E$90),0)),0)</f>
        <v>1.42230003556148</v>
      </c>
      <c r="AK103" s="590" t="n">
        <f aca="false">IFERROR((AK55-(('Executive Summary'!$C$54/12)*'Executive Summary'!$C$12))/-SUM(IF(AK82&lt;&gt;0,PMT('Executive Summary'!$L$8/12,'Executive Summary'!$L$11*12,$E$80),0)+IF(AK92&lt;&gt;0,PMT('Executive Summary'!$L$21/12,'Executive Summary'!$L$24*12,$E$90),0)),0)</f>
        <v>1.42692959179144</v>
      </c>
      <c r="AL103" s="590" t="n">
        <f aca="false">IFERROR((AL55-(('Executive Summary'!$C$54/12)*'Executive Summary'!$C$12))/-SUM(IF(AL82&lt;&gt;0,PMT('Executive Summary'!$L$8/12,'Executive Summary'!$L$11*12,$E$80),0)+IF(AL92&lt;&gt;0,PMT('Executive Summary'!$L$21/12,'Executive Summary'!$L$24*12,$E$90),0)),0)</f>
        <v>1.43153249540914</v>
      </c>
      <c r="AM103" s="590" t="n">
        <f aca="false">IFERROR((AM55-(('Executive Summary'!$C$54/12)*'Executive Summary'!$C$12))/-SUM(IF(AM82&lt;&gt;0,PMT('Executive Summary'!$L$8/12,'Executive Summary'!$L$11*12,$E$80),0)+IF(AM92&lt;&gt;0,PMT('Executive Summary'!$L$21/12,'Executive Summary'!$L$24*12,$E$90),0)),0)</f>
        <v>1.4361085777949</v>
      </c>
      <c r="AN103" s="590" t="n">
        <f aca="false">IFERROR((AN55-(('Executive Summary'!$C$54/12)*'Executive Summary'!$C$12))/-SUM(IF(AN82&lt;&gt;0,PMT('Executive Summary'!$L$8/12,'Executive Summary'!$L$11*12,$E$80),0)+IF(AN92&lt;&gt;0,PMT('Executive Summary'!$L$21/12,'Executive Summary'!$L$24*12,$E$90),0)),0)</f>
        <v>1.44065766963618</v>
      </c>
      <c r="AO103" s="590" t="n">
        <f aca="false">IFERROR((AO55-(('Executive Summary'!$C$54/12)*'Executive Summary'!$C$12))/-SUM(IF(AO82&lt;&gt;0,PMT('Executive Summary'!$L$8/12,'Executive Summary'!$L$11*12,$E$80),0)+IF(AO92&lt;&gt;0,PMT('Executive Summary'!$L$21/12,'Executive Summary'!$L$24*12,$E$90),0)),0)</f>
        <v>1.44541303323142</v>
      </c>
      <c r="AP103" s="590" t="n">
        <f aca="false">IFERROR((AP55-(('Executive Summary'!$C$54/12)*'Executive Summary'!$C$12))/-SUM(IF(AP82&lt;&gt;0,PMT('Executive Summary'!$L$8/12,'Executive Summary'!$L$11*12,$E$80),0)+IF(AP92&lt;&gt;0,PMT('Executive Summary'!$L$21/12,'Executive Summary'!$L$24*12,$E$90),0)),0)</f>
        <v>1.44967420095584</v>
      </c>
      <c r="AQ103" s="590" t="n">
        <f aca="false">IFERROR((AQ55-(('Executive Summary'!$C$54/12)*'Executive Summary'!$C$12))/-SUM(IF(AQ82&lt;&gt;0,PMT('Executive Summary'!$L$8/12,'Executive Summary'!$L$11*12,$E$80),0)+IF(AQ92&lt;&gt;0,PMT('Executive Summary'!$L$21/12,'Executive Summary'!$L$24*12,$E$90),0)),0)</f>
        <v>1.45414129832252</v>
      </c>
      <c r="AR103" s="590" t="n">
        <f aca="false">IFERROR((AR55-(('Executive Summary'!$C$54/12)*'Executive Summary'!$C$12))/-SUM(IF(AR82&lt;&gt;0,PMT('Executive Summary'!$L$8/12,'Executive Summary'!$L$11*12,$E$80),0)+IF(AR92&lt;&gt;0,PMT('Executive Summary'!$L$21/12,'Executive Summary'!$L$24*12,$E$90),0)),0)</f>
        <v>1.45679926612662</v>
      </c>
      <c r="AS103" s="590" t="n">
        <f aca="false">IFERROR((AS55-(('Executive Summary'!$C$54/12)*'Executive Summary'!$C$12))/-SUM(IF(AS82&lt;&gt;0,PMT('Executive Summary'!$L$8/12,'Executive Summary'!$L$11*12,$E$80),0)+IF(AS92&lt;&gt;0,PMT('Executive Summary'!$L$21/12,'Executive Summary'!$L$24*12,$E$90),0)),0)</f>
        <v>1.46129035265225</v>
      </c>
      <c r="AT103" s="590" t="n">
        <f aca="false">IFERROR((AT55-(('Executive Summary'!$C$54/12)*'Executive Summary'!$C$12))/-SUM(IF(AT82&lt;&gt;0,PMT('Executive Summary'!$L$8/12,'Executive Summary'!$L$11*12,$E$80),0)+IF(AT92&lt;&gt;0,PMT('Executive Summary'!$L$21/12,'Executive Summary'!$L$24*12,$E$90),0)),0)</f>
        <v>1.46579348053508</v>
      </c>
      <c r="AU103" s="590" t="n">
        <f aca="false">IFERROR((AU55-(('Executive Summary'!$C$54/12)*'Executive Summary'!$C$12))/-SUM(IF(AU82&lt;&gt;0,PMT('Executive Summary'!$L$8/12,'Executive Summary'!$L$11*12,$E$80),0)+IF(AU92&lt;&gt;0,PMT('Executive Summary'!$L$21/12,'Executive Summary'!$L$24*12,$E$90),0)),0)</f>
        <v>1.47030868106632</v>
      </c>
      <c r="AV103" s="590" t="n">
        <f aca="false">IFERROR((AV55-(('Executive Summary'!$C$54/12)*'Executive Summary'!$C$12))/-SUM(IF(AV82&lt;&gt;0,PMT('Executive Summary'!$L$8/12,'Executive Summary'!$L$11*12,$E$80),0)+IF(AV92&lt;&gt;0,PMT('Executive Summary'!$L$21/12,'Executive Summary'!$L$24*12,$E$90),0)),0)</f>
        <v>1.47483598561699</v>
      </c>
      <c r="AW103" s="590" t="n">
        <f aca="false">IFERROR((AW55-(('Executive Summary'!$C$54/12)*'Executive Summary'!$C$12))/-SUM(IF(AW82&lt;&gt;0,PMT('Executive Summary'!$L$8/12,'Executive Summary'!$L$11*12,$E$80),0)+IF(AW92&lt;&gt;0,PMT('Executive Summary'!$L$21/12,'Executive Summary'!$L$24*12,$E$90),0)),0)</f>
        <v>1.47937542563814</v>
      </c>
      <c r="AX103" s="590" t="n">
        <f aca="false">IFERROR((AX55-(('Executive Summary'!$C$54/12)*'Executive Summary'!$C$12))/-SUM(IF(AX82&lt;&gt;0,PMT('Executive Summary'!$L$8/12,'Executive Summary'!$L$11*12,$E$80),0)+IF(AX92&lt;&gt;0,PMT('Executive Summary'!$L$21/12,'Executive Summary'!$L$24*12,$E$90),0)),0)</f>
        <v>1.483927032661</v>
      </c>
      <c r="AY103" s="590" t="n">
        <f aca="false">IFERROR((AY55-(('Executive Summary'!$C$54/12)*'Executive Summary'!$C$12))/-SUM(IF(AY82&lt;&gt;0,PMT('Executive Summary'!$L$8/12,'Executive Summary'!$L$11*12,$E$80),0)+IF(AY92&lt;&gt;0,PMT('Executive Summary'!$L$21/12,'Executive Summary'!$L$24*12,$E$90),0)),0)</f>
        <v>1.48849083829722</v>
      </c>
      <c r="AZ103" s="590" t="n">
        <f aca="false">IFERROR((AZ55-(('Executive Summary'!$C$54/12)*'Executive Summary'!$C$12))/-SUM(IF(AZ82&lt;&gt;0,PMT('Executive Summary'!$L$8/12,'Executive Summary'!$L$11*12,$E$80),0)+IF(AZ92&lt;&gt;0,PMT('Executive Summary'!$L$21/12,'Executive Summary'!$L$24*12,$E$90),0)),0)</f>
        <v>1.49306687423906</v>
      </c>
      <c r="BA103" s="590" t="n">
        <f aca="false">IFERROR((BA55-(('Executive Summary'!$C$54/12)*'Executive Summary'!$C$12))/-SUM(IF(BA82&lt;&gt;0,PMT('Executive Summary'!$L$8/12,'Executive Summary'!$L$11*12,$E$80),0)+IF(BA92&lt;&gt;0,PMT('Executive Summary'!$L$21/12,'Executive Summary'!$L$24*12,$E$90),0)),0)</f>
        <v>1.4976551722596</v>
      </c>
      <c r="BB103" s="590" t="n">
        <f aca="false">IFERROR((BB55-(('Executive Summary'!$C$54/12)*'Executive Summary'!$C$12))/-SUM(IF(BB82&lt;&gt;0,PMT('Executive Summary'!$L$8/12,'Executive Summary'!$L$11*12,$E$80),0)+IF(BB92&lt;&gt;0,PMT('Executive Summary'!$L$21/12,'Executive Summary'!$L$24*12,$E$90),0)),0)</f>
        <v>1.50225576421294</v>
      </c>
      <c r="BC103" s="590" t="n">
        <f aca="false">IFERROR((BC55-(('Executive Summary'!$C$54/12)*'Executive Summary'!$C$12))/-SUM(IF(BC82&lt;&gt;0,PMT('Executive Summary'!$L$8/12,'Executive Summary'!$L$11*12,$E$80),0)+IF(BC92&lt;&gt;0,PMT('Executive Summary'!$L$21/12,'Executive Summary'!$L$24*12,$E$90),0)),0)</f>
        <v>1.50686868203439</v>
      </c>
      <c r="BD103" s="590" t="n">
        <f aca="false">IFERROR((BD55-(('Executive Summary'!$C$54/12)*'Executive Summary'!$C$12))/-SUM(IF(BD82&lt;&gt;0,PMT('Executive Summary'!$L$8/12,'Executive Summary'!$L$11*12,$E$80),0)+IF(BD92&lt;&gt;0,PMT('Executive Summary'!$L$21/12,'Executive Summary'!$L$24*12,$E$90),0)),0)</f>
        <v>1.50961821590749</v>
      </c>
      <c r="BE103" s="590" t="n">
        <f aca="false">IFERROR((BE55-(('Executive Summary'!$C$54/12)*'Executive Summary'!$C$12))/-SUM(IF(BE82&lt;&gt;0,PMT('Executive Summary'!$L$8/12,'Executive Summary'!$L$11*12,$E$80),0)+IF(BE92&lt;&gt;0,PMT('Executive Summary'!$L$21/12,'Executive Summary'!$L$24*12,$E$90),0)),0)</f>
        <v>1.51425588159707</v>
      </c>
      <c r="BF103" s="590" t="n">
        <f aca="false">IFERROR((BF55-(('Executive Summary'!$C$54/12)*'Executive Summary'!$C$12))/-SUM(IF(BF82&lt;&gt;0,PMT('Executive Summary'!$L$8/12,'Executive Summary'!$L$11*12,$E$80),0)+IF(BF92&lt;&gt;0,PMT('Executive Summary'!$L$21/12,'Executive Summary'!$L$24*12,$E$90),0)),0)</f>
        <v>1.51890596945014</v>
      </c>
      <c r="BG103" s="590" t="n">
        <f aca="false">IFERROR((BG55-(('Executive Summary'!$C$54/12)*'Executive Summary'!$C$12))/-SUM(IF(BG82&lt;&gt;0,PMT('Executive Summary'!$L$8/12,'Executive Summary'!$L$11*12,$E$80),0)+IF(BG92&lt;&gt;0,PMT('Executive Summary'!$L$21/12,'Executive Summary'!$L$24*12,$E$90),0)),0)</f>
        <v>1.52356851172896</v>
      </c>
      <c r="BH103" s="590" t="n">
        <f aca="false">IFERROR((BH55-(('Executive Summary'!$C$54/12)*'Executive Summary'!$C$12))/-SUM(IF(BH82&lt;&gt;0,PMT('Executive Summary'!$L$8/12,'Executive Summary'!$L$11*12,$E$80),0)+IF(BH92&lt;&gt;0,PMT('Executive Summary'!$L$21/12,'Executive Summary'!$L$24*12,$E$90),0)),0)</f>
        <v>1.52824354077805</v>
      </c>
      <c r="BI103" s="590" t="n">
        <f aca="false">IFERROR((BI55-(('Executive Summary'!$C$54/12)*'Executive Summary'!$C$12))/-SUM(IF(BI82&lt;&gt;0,PMT('Executive Summary'!$L$8/12,'Executive Summary'!$L$11*12,$E$80),0)+IF(BI92&lt;&gt;0,PMT('Executive Summary'!$L$21/12,'Executive Summary'!$L$24*12,$E$90),0)),0)</f>
        <v>1.53293108902439</v>
      </c>
      <c r="BJ103" s="590" t="n">
        <f aca="false">IFERROR((BJ55-(('Executive Summary'!$C$54/12)*'Executive Summary'!$C$12))/-SUM(IF(BJ82&lt;&gt;0,PMT('Executive Summary'!$L$8/12,'Executive Summary'!$L$11*12,$E$80),0)+IF(BJ92&lt;&gt;0,PMT('Executive Summary'!$L$21/12,'Executive Summary'!$L$24*12,$E$90),0)),0)</f>
        <v>1.53763118897765</v>
      </c>
      <c r="BK103" s="590" t="n">
        <f aca="false">IFERROR((BK55-(('Executive Summary'!$C$54/12)*'Executive Summary'!$C$12))/-SUM(IF(BK82&lt;&gt;0,PMT('Executive Summary'!$L$8/12,'Executive Summary'!$L$11*12,$E$80),0)+IF(BK92&lt;&gt;0,PMT('Executive Summary'!$L$21/12,'Executive Summary'!$L$24*12,$E$90),0)),0)</f>
        <v>1.54234387323034</v>
      </c>
      <c r="BL103" s="590" t="n">
        <f aca="false">IFERROR((BL55-(('Executive Summary'!$C$54/12)*'Executive Summary'!$C$12))/-SUM(IF(BL82&lt;&gt;0,PMT('Executive Summary'!$L$8/12,'Executive Summary'!$L$11*12,$E$80),0)+IF(BL92&lt;&gt;0,PMT('Executive Summary'!$L$21/12,'Executive Summary'!$L$24*12,$E$90),0)),0)</f>
        <v>1.54706917445808</v>
      </c>
      <c r="BM103" s="590" t="n">
        <f aca="false">IFERROR((BM55-(('Executive Summary'!$C$54/12)*'Executive Summary'!$C$12))/-SUM(IF(BM82&lt;&gt;0,PMT('Executive Summary'!$L$8/12,'Executive Summary'!$L$11*12,$E$80),0)+IF(BM92&lt;&gt;0,PMT('Executive Summary'!$L$21/12,'Executive Summary'!$L$24*12,$E$90),0)),0)</f>
        <v>1.55180712541978</v>
      </c>
      <c r="BN103" s="590" t="n">
        <f aca="false">IFERROR((BN55-(('Executive Summary'!$C$54/12)*'Executive Summary'!$C$12))/-SUM(IF(BN82&lt;&gt;0,PMT('Executive Summary'!$L$8/12,'Executive Summary'!$L$11*12,$E$80),0)+IF(BN92&lt;&gt;0,PMT('Executive Summary'!$L$21/12,'Executive Summary'!$L$24*12,$E$90),0)),0)</f>
        <v>1.55655775895784</v>
      </c>
      <c r="BO103" s="590" t="n">
        <f aca="false">IFERROR((BO55-(('Executive Summary'!$C$54/12)*'Executive Summary'!$C$12))/-SUM(IF(BO82&lt;&gt;0,PMT('Executive Summary'!$L$8/12,'Executive Summary'!$L$11*12,$E$80),0)+IF(BO92&lt;&gt;0,PMT('Executive Summary'!$L$21/12,'Executive Summary'!$L$24*12,$E$90),0)),0)</f>
        <v>1.56132110799839</v>
      </c>
      <c r="BP103" s="590" t="n">
        <f aca="false">IFERROR((BP55-(('Executive Summary'!$C$54/12)*'Executive Summary'!$C$12))/-SUM(IF(BP82&lt;&gt;0,PMT('Executive Summary'!$L$8/12,'Executive Summary'!$L$11*12,$E$80),0)+IF(BP92&lt;&gt;0,PMT('Executive Summary'!$L$21/12,'Executive Summary'!$L$24*12,$E$90),0)),0)</f>
        <v>0</v>
      </c>
      <c r="BQ103" s="590" t="n">
        <f aca="false">IFERROR((BQ55-(('Executive Summary'!$C$54/12)*'Executive Summary'!$C$12))/-SUM(IF(BQ82&lt;&gt;0,PMT('Executive Summary'!$L$8/12,'Executive Summary'!$L$11*12,$E$80),0)+IF(BQ92&lt;&gt;0,PMT('Executive Summary'!$L$21/12,'Executive Summary'!$L$24*12,$E$90),0)),0)</f>
        <v>0</v>
      </c>
      <c r="BR103" s="590" t="n">
        <f aca="false">IFERROR((BR55-(('Executive Summary'!$C$54/12)*'Executive Summary'!$C$12))/-SUM(IF(BR82&lt;&gt;0,PMT('Executive Summary'!$L$8/12,'Executive Summary'!$L$11*12,$E$80),0)+IF(BR92&lt;&gt;0,PMT('Executive Summary'!$L$21/12,'Executive Summary'!$L$24*12,$E$90),0)),0)</f>
        <v>0</v>
      </c>
      <c r="BS103" s="590" t="n">
        <f aca="false">IFERROR((BS55-(('Executive Summary'!$C$54/12)*'Executive Summary'!$C$12))/-SUM(IF(BS82&lt;&gt;0,PMT('Executive Summary'!$L$8/12,'Executive Summary'!$L$11*12,$E$80),0)+IF(BS92&lt;&gt;0,PMT('Executive Summary'!$L$21/12,'Executive Summary'!$L$24*12,$E$90),0)),0)</f>
        <v>0</v>
      </c>
      <c r="BT103" s="590" t="n">
        <f aca="false">IFERROR((BT55-(('Executive Summary'!$C$54/12)*'Executive Summary'!$C$12))/-SUM(IF(BT82&lt;&gt;0,PMT('Executive Summary'!$L$8/12,'Executive Summary'!$L$11*12,$E$80),0)+IF(BT92&lt;&gt;0,PMT('Executive Summary'!$L$21/12,'Executive Summary'!$L$24*12,$E$90),0)),0)</f>
        <v>0</v>
      </c>
      <c r="BU103" s="590" t="n">
        <f aca="false">IFERROR((BU55-(('Executive Summary'!$C$54/12)*'Executive Summary'!$C$12))/-SUM(IF(BU82&lt;&gt;0,PMT('Executive Summary'!$L$8/12,'Executive Summary'!$L$11*12,$E$80),0)+IF(BU92&lt;&gt;0,PMT('Executive Summary'!$L$21/12,'Executive Summary'!$L$24*12,$E$90),0)),0)</f>
        <v>0</v>
      </c>
      <c r="BV103" s="590" t="n">
        <f aca="false">IFERROR((BV55-(('Executive Summary'!$C$54/12)*'Executive Summary'!$C$12))/-SUM(IF(BV82&lt;&gt;0,PMT('Executive Summary'!$L$8/12,'Executive Summary'!$L$11*12,$E$80),0)+IF(BV92&lt;&gt;0,PMT('Executive Summary'!$L$21/12,'Executive Summary'!$L$24*12,$E$90),0)),0)</f>
        <v>0</v>
      </c>
      <c r="BW103" s="590" t="n">
        <f aca="false">IFERROR((BW55-(('Executive Summary'!$C$54/12)*'Executive Summary'!$C$12))/-SUM(IF(BW82&lt;&gt;0,PMT('Executive Summary'!$L$8/12,'Executive Summary'!$L$11*12,$E$80),0)+IF(BW92&lt;&gt;0,PMT('Executive Summary'!$L$21/12,'Executive Summary'!$L$24*12,$E$90),0)),0)</f>
        <v>0</v>
      </c>
      <c r="BX103" s="590" t="n">
        <f aca="false">IFERROR((BX55-(('Executive Summary'!$C$54/12)*'Executive Summary'!$C$12))/-SUM(IF(BX82&lt;&gt;0,PMT('Executive Summary'!$L$8/12,'Executive Summary'!$L$11*12,$E$80),0)+IF(BX92&lt;&gt;0,PMT('Executive Summary'!$L$21/12,'Executive Summary'!$L$24*12,$E$90),0)),0)</f>
        <v>0</v>
      </c>
      <c r="BY103" s="590" t="n">
        <f aca="false">IFERROR((BY55-(('Executive Summary'!$C$54/12)*'Executive Summary'!$C$12))/-SUM(IF(BY82&lt;&gt;0,PMT('Executive Summary'!$L$8/12,'Executive Summary'!$L$11*12,$E$80),0)+IF(BY92&lt;&gt;0,PMT('Executive Summary'!$L$21/12,'Executive Summary'!$L$24*12,$E$90),0)),0)</f>
        <v>0</v>
      </c>
      <c r="BZ103" s="590" t="n">
        <f aca="false">IFERROR((BZ55-(('Executive Summary'!$C$54/12)*'Executive Summary'!$C$12))/-SUM(IF(BZ82&lt;&gt;0,PMT('Executive Summary'!$L$8/12,'Executive Summary'!$L$11*12,$E$80),0)+IF(BZ92&lt;&gt;0,PMT('Executive Summary'!$L$21/12,'Executive Summary'!$L$24*12,$E$90),0)),0)</f>
        <v>0</v>
      </c>
      <c r="CA103" s="590" t="n">
        <f aca="false">IFERROR((CA55-(('Executive Summary'!$C$54/12)*'Executive Summary'!$C$12))/-SUM(IF(CA82&lt;&gt;0,PMT('Executive Summary'!$L$8/12,'Executive Summary'!$L$11*12,$E$80),0)+IF(CA92&lt;&gt;0,PMT('Executive Summary'!$L$21/12,'Executive Summary'!$L$24*12,$E$90),0)),0)</f>
        <v>0</v>
      </c>
      <c r="CB103" s="590" t="n">
        <f aca="false">IFERROR((CB55-(('Executive Summary'!$C$54/12)*'Executive Summary'!$C$12))/-SUM(IF(CB82&lt;&gt;0,PMT('Executive Summary'!$L$8/12,'Executive Summary'!$L$11*12,$E$80),0)+IF(CB92&lt;&gt;0,PMT('Executive Summary'!$L$21/12,'Executive Summary'!$L$24*12,$E$90),0)),0)</f>
        <v>0</v>
      </c>
      <c r="CC103" s="590" t="n">
        <f aca="false">IFERROR((CC55-(('Executive Summary'!$C$54/12)*'Executive Summary'!$C$12))/-SUM(IF(CC82&lt;&gt;0,PMT('Executive Summary'!$L$8/12,'Executive Summary'!$L$11*12,$E$80),0)+IF(CC92&lt;&gt;0,PMT('Executive Summary'!$L$21/12,'Executive Summary'!$L$24*12,$E$90),0)),0)</f>
        <v>0</v>
      </c>
      <c r="CD103" s="590" t="n">
        <f aca="false">IFERROR((CD55-(('Executive Summary'!$C$54/12)*'Executive Summary'!$C$12))/-SUM(IF(CD82&lt;&gt;0,PMT('Executive Summary'!$L$8/12,'Executive Summary'!$L$11*12,$E$80),0)+IF(CD92&lt;&gt;0,PMT('Executive Summary'!$L$21/12,'Executive Summary'!$L$24*12,$E$90),0)),0)</f>
        <v>0</v>
      </c>
      <c r="CE103" s="590" t="n">
        <f aca="false">IFERROR((CE55-(('Executive Summary'!$C$54/12)*'Executive Summary'!$C$12))/-SUM(IF(CE82&lt;&gt;0,PMT('Executive Summary'!$L$8/12,'Executive Summary'!$L$11*12,$E$80),0)+IF(CE92&lt;&gt;0,PMT('Executive Summary'!$L$21/12,'Executive Summary'!$L$24*12,$E$90),0)),0)</f>
        <v>0</v>
      </c>
      <c r="CF103" s="590" t="n">
        <f aca="false">IFERROR((CF55-(('Executive Summary'!$C$54/12)*'Executive Summary'!$C$12))/-SUM(IF(CF82&lt;&gt;0,PMT('Executive Summary'!$L$8/12,'Executive Summary'!$L$11*12,$E$80),0)+IF(CF92&lt;&gt;0,PMT('Executive Summary'!$L$21/12,'Executive Summary'!$L$24*12,$E$90),0)),0)</f>
        <v>0</v>
      </c>
      <c r="CG103" s="590" t="n">
        <f aca="false">IFERROR((CG55-(('Executive Summary'!$C$54/12)*'Executive Summary'!$C$12))/-SUM(IF(CG82&lt;&gt;0,PMT('Executive Summary'!$L$8/12,'Executive Summary'!$L$11*12,$E$80),0)+IF(CG92&lt;&gt;0,PMT('Executive Summary'!$L$21/12,'Executive Summary'!$L$24*12,$E$90),0)),0)</f>
        <v>0</v>
      </c>
      <c r="CH103" s="590" t="n">
        <f aca="false">IFERROR((CH55-(('Executive Summary'!$C$54/12)*'Executive Summary'!$C$12))/-SUM(IF(CH82&lt;&gt;0,PMT('Executive Summary'!$L$8/12,'Executive Summary'!$L$11*12,$E$80),0)+IF(CH92&lt;&gt;0,PMT('Executive Summary'!$L$21/12,'Executive Summary'!$L$24*12,$E$90),0)),0)</f>
        <v>0</v>
      </c>
      <c r="CI103" s="590" t="n">
        <f aca="false">IFERROR((CI55-(('Executive Summary'!$C$54/12)*'Executive Summary'!$C$12))/-SUM(IF(CI82&lt;&gt;0,PMT('Executive Summary'!$L$8/12,'Executive Summary'!$L$11*12,$E$80),0)+IF(CI92&lt;&gt;0,PMT('Executive Summary'!$L$21/12,'Executive Summary'!$L$24*12,$E$90),0)),0)</f>
        <v>0</v>
      </c>
      <c r="CJ103" s="590" t="n">
        <f aca="false">IFERROR((CJ55-(('Executive Summary'!$C$54/12)*'Executive Summary'!$C$12))/-SUM(IF(CJ82&lt;&gt;0,PMT('Executive Summary'!$L$8/12,'Executive Summary'!$L$11*12,$E$80),0)+IF(CJ92&lt;&gt;0,PMT('Executive Summary'!$L$21/12,'Executive Summary'!$L$24*12,$E$90),0)),0)</f>
        <v>0</v>
      </c>
      <c r="CK103" s="590" t="n">
        <f aca="false">IFERROR((CK55-(('Executive Summary'!$C$54/12)*'Executive Summary'!$C$12))/-SUM(IF(CK82&lt;&gt;0,PMT('Executive Summary'!$L$8/12,'Executive Summary'!$L$11*12,$E$80),0)+IF(CK92&lt;&gt;0,PMT('Executive Summary'!$L$21/12,'Executive Summary'!$L$24*12,$E$90),0)),0)</f>
        <v>0</v>
      </c>
      <c r="CL103" s="590" t="n">
        <f aca="false">IFERROR((CL55-(('Executive Summary'!$C$54/12)*'Executive Summary'!$C$12))/-SUM(IF(CL82&lt;&gt;0,PMT('Executive Summary'!$L$8/12,'Executive Summary'!$L$11*12,$E$80),0)+IF(CL92&lt;&gt;0,PMT('Executive Summary'!$L$21/12,'Executive Summary'!$L$24*12,$E$90),0)),0)</f>
        <v>0</v>
      </c>
      <c r="CM103" s="590" t="n">
        <f aca="false">IFERROR((CM55-(('Executive Summary'!$C$54/12)*'Executive Summary'!$C$12))/-SUM(IF(CM82&lt;&gt;0,PMT('Executive Summary'!$L$8/12,'Executive Summary'!$L$11*12,$E$80),0)+IF(CM92&lt;&gt;0,PMT('Executive Summary'!$L$21/12,'Executive Summary'!$L$24*12,$E$90),0)),0)</f>
        <v>0</v>
      </c>
      <c r="CN103" s="590" t="n">
        <f aca="false">IFERROR((CN55-(('Executive Summary'!$C$54/12)*'Executive Summary'!$C$12))/-SUM(IF(CN82&lt;&gt;0,PMT('Executive Summary'!$L$8/12,'Executive Summary'!$L$11*12,$E$80),0)+IF(CN92&lt;&gt;0,PMT('Executive Summary'!$L$21/12,'Executive Summary'!$L$24*12,$E$90),0)),0)</f>
        <v>0</v>
      </c>
      <c r="CO103" s="590" t="n">
        <f aca="false">IFERROR((CO55-(('Executive Summary'!$C$54/12)*'Executive Summary'!$C$12))/-SUM(IF(CO82&lt;&gt;0,PMT('Executive Summary'!$L$8/12,'Executive Summary'!$L$11*12,$E$80),0)+IF(CO92&lt;&gt;0,PMT('Executive Summary'!$L$21/12,'Executive Summary'!$L$24*12,$E$90),0)),0)</f>
        <v>0</v>
      </c>
      <c r="CP103" s="590" t="n">
        <f aca="false">IFERROR((CP55-(('Executive Summary'!$C$54/12)*'Executive Summary'!$C$12))/-SUM(IF(CP82&lt;&gt;0,PMT('Executive Summary'!$L$8/12,'Executive Summary'!$L$11*12,$E$80),0)+IF(CP92&lt;&gt;0,PMT('Executive Summary'!$L$21/12,'Executive Summary'!$L$24*12,$E$90),0)),0)</f>
        <v>0</v>
      </c>
      <c r="CQ103" s="590" t="n">
        <f aca="false">IFERROR((CQ55-(('Executive Summary'!$C$54/12)*'Executive Summary'!$C$12))/-SUM(IF(CQ82&lt;&gt;0,PMT('Executive Summary'!$L$8/12,'Executive Summary'!$L$11*12,$E$80),0)+IF(CQ92&lt;&gt;0,PMT('Executive Summary'!$L$21/12,'Executive Summary'!$L$24*12,$E$90),0)),0)</f>
        <v>0</v>
      </c>
      <c r="CR103" s="590" t="n">
        <f aca="false">IFERROR((CR55-(('Executive Summary'!$C$54/12)*'Executive Summary'!$C$12))/-SUM(IF(CR82&lt;&gt;0,PMT('Executive Summary'!$L$8/12,'Executive Summary'!$L$11*12,$E$80),0)+IF(CR92&lt;&gt;0,PMT('Executive Summary'!$L$21/12,'Executive Summary'!$L$24*12,$E$90),0)),0)</f>
        <v>0</v>
      </c>
      <c r="CS103" s="590" t="n">
        <f aca="false">IFERROR((CS55-(('Executive Summary'!$C$54/12)*'Executive Summary'!$C$12))/-SUM(IF(CS82&lt;&gt;0,PMT('Executive Summary'!$L$8/12,'Executive Summary'!$L$11*12,$E$80),0)+IF(CS92&lt;&gt;0,PMT('Executive Summary'!$L$21/12,'Executive Summary'!$L$24*12,$E$90),0)),0)</f>
        <v>0</v>
      </c>
      <c r="CT103" s="590" t="n">
        <f aca="false">IFERROR((CT55-(('Executive Summary'!$C$54/12)*'Executive Summary'!$C$12))/-SUM(IF(CT82&lt;&gt;0,PMT('Executive Summary'!$L$8/12,'Executive Summary'!$L$11*12,$E$80),0)+IF(CT92&lt;&gt;0,PMT('Executive Summary'!$L$21/12,'Executive Summary'!$L$24*12,$E$90),0)),0)</f>
        <v>0</v>
      </c>
      <c r="CU103" s="590" t="n">
        <f aca="false">IFERROR((CU55-(('Executive Summary'!$C$54/12)*'Executive Summary'!$C$12))/-SUM(IF(CU82&lt;&gt;0,PMT('Executive Summary'!$L$8/12,'Executive Summary'!$L$11*12,$E$80),0)+IF(CU92&lt;&gt;0,PMT('Executive Summary'!$L$21/12,'Executive Summary'!$L$24*12,$E$90),0)),0)</f>
        <v>0</v>
      </c>
      <c r="CV103" s="590" t="n">
        <f aca="false">IFERROR((CV55-(('Executive Summary'!$C$54/12)*'Executive Summary'!$C$12))/-SUM(IF(CV82&lt;&gt;0,PMT('Executive Summary'!$L$8/12,'Executive Summary'!$L$11*12,$E$80),0)+IF(CV92&lt;&gt;0,PMT('Executive Summary'!$L$21/12,'Executive Summary'!$L$24*12,$E$90),0)),0)</f>
        <v>0</v>
      </c>
      <c r="CW103" s="590" t="n">
        <f aca="false">IFERROR((CW55-(('Executive Summary'!$C$54/12)*'Executive Summary'!$C$12))/-SUM(IF(CW82&lt;&gt;0,PMT('Executive Summary'!$L$8/12,'Executive Summary'!$L$11*12,$E$80),0)+IF(CW92&lt;&gt;0,PMT('Executive Summary'!$L$21/12,'Executive Summary'!$L$24*12,$E$90),0)),0)</f>
        <v>0</v>
      </c>
      <c r="CX103" s="590" t="n">
        <f aca="false">IFERROR((CX55-(('Executive Summary'!$C$54/12)*'Executive Summary'!$C$12))/-SUM(IF(CX82&lt;&gt;0,PMT('Executive Summary'!$L$8/12,'Executive Summary'!$L$11*12,$E$80),0)+IF(CX92&lt;&gt;0,PMT('Executive Summary'!$L$21/12,'Executive Summary'!$L$24*12,$E$90),0)),0)</f>
        <v>0</v>
      </c>
      <c r="CY103" s="590" t="n">
        <f aca="false">IFERROR((CY55-(('Executive Summary'!$C$54/12)*'Executive Summary'!$C$12))/-SUM(IF(CY82&lt;&gt;0,PMT('Executive Summary'!$L$8/12,'Executive Summary'!$L$11*12,$E$80),0)+IF(CY92&lt;&gt;0,PMT('Executive Summary'!$L$21/12,'Executive Summary'!$L$24*12,$E$90),0)),0)</f>
        <v>0</v>
      </c>
      <c r="CZ103" s="590" t="n">
        <f aca="false">IFERROR((CZ55-(('Executive Summary'!$C$54/12)*'Executive Summary'!$C$12))/-SUM(IF(CZ82&lt;&gt;0,PMT('Executive Summary'!$L$8/12,'Executive Summary'!$L$11*12,$E$80),0)+IF(CZ92&lt;&gt;0,PMT('Executive Summary'!$L$21/12,'Executive Summary'!$L$24*12,$E$90),0)),0)</f>
        <v>0</v>
      </c>
      <c r="DA103" s="590" t="n">
        <f aca="false">IFERROR((DA55-(('Executive Summary'!$C$54/12)*'Executive Summary'!$C$12))/-SUM(IF(DA82&lt;&gt;0,PMT('Executive Summary'!$L$8/12,'Executive Summary'!$L$11*12,$E$80),0)+IF(DA92&lt;&gt;0,PMT('Executive Summary'!$L$21/12,'Executive Summary'!$L$24*12,$E$90),0)),0)</f>
        <v>0</v>
      </c>
      <c r="DB103" s="590" t="n">
        <f aca="false">IFERROR((DB55-(('Executive Summary'!$C$54/12)*'Executive Summary'!$C$12))/-SUM(IF(DB82&lt;&gt;0,PMT('Executive Summary'!$L$8/12,'Executive Summary'!$L$11*12,$E$80),0)+IF(DB92&lt;&gt;0,PMT('Executive Summary'!$L$21/12,'Executive Summary'!$L$24*12,$E$90),0)),0)</f>
        <v>0</v>
      </c>
      <c r="DC103" s="590" t="n">
        <f aca="false">IFERROR((DC55-(('Executive Summary'!$C$54/12)*'Executive Summary'!$C$12))/-SUM(IF(DC82&lt;&gt;0,PMT('Executive Summary'!$L$8/12,'Executive Summary'!$L$11*12,$E$80),0)+IF(DC92&lt;&gt;0,PMT('Executive Summary'!$L$21/12,'Executive Summary'!$L$24*12,$E$90),0)),0)</f>
        <v>0</v>
      </c>
      <c r="DD103" s="590" t="n">
        <f aca="false">IFERROR((DD55-(('Executive Summary'!$C$54/12)*'Executive Summary'!$C$12))/-SUM(IF(DD82&lt;&gt;0,PMT('Executive Summary'!$L$8/12,'Executive Summary'!$L$11*12,$E$80),0)+IF(DD92&lt;&gt;0,PMT('Executive Summary'!$L$21/12,'Executive Summary'!$L$24*12,$E$90),0)),0)</f>
        <v>0</v>
      </c>
      <c r="DE103" s="590" t="n">
        <f aca="false">IFERROR((DE55-(('Executive Summary'!$C$54/12)*'Executive Summary'!$C$12))/-SUM(IF(DE82&lt;&gt;0,PMT('Executive Summary'!$L$8/12,'Executive Summary'!$L$11*12,$E$80),0)+IF(DE92&lt;&gt;0,PMT('Executive Summary'!$L$21/12,'Executive Summary'!$L$24*12,$E$90),0)),0)</f>
        <v>0</v>
      </c>
      <c r="DF103" s="590" t="n">
        <f aca="false">IFERROR((DF55-(('Executive Summary'!$C$54/12)*'Executive Summary'!$C$12))/-SUM(IF(DF82&lt;&gt;0,PMT('Executive Summary'!$L$8/12,'Executive Summary'!$L$11*12,$E$80),0)+IF(DF92&lt;&gt;0,PMT('Executive Summary'!$L$21/12,'Executive Summary'!$L$24*12,$E$90),0)),0)</f>
        <v>0</v>
      </c>
      <c r="DG103" s="590" t="n">
        <f aca="false">IFERROR((DG55-(('Executive Summary'!$C$54/12)*'Executive Summary'!$C$12))/-SUM(IF(DG82&lt;&gt;0,PMT('Executive Summary'!$L$8/12,'Executive Summary'!$L$11*12,$E$80),0)+IF(DG92&lt;&gt;0,PMT('Executive Summary'!$L$21/12,'Executive Summary'!$L$24*12,$E$90),0)),0)</f>
        <v>0</v>
      </c>
      <c r="DH103" s="590" t="n">
        <f aca="false">IFERROR((DH55-(('Executive Summary'!$C$54/12)*'Executive Summary'!$C$12))/-SUM(IF(DH82&lt;&gt;0,PMT('Executive Summary'!$L$8/12,'Executive Summary'!$L$11*12,$E$80),0)+IF(DH92&lt;&gt;0,PMT('Executive Summary'!$L$21/12,'Executive Summary'!$L$24*12,$E$90),0)),0)</f>
        <v>0</v>
      </c>
      <c r="DI103" s="590" t="n">
        <f aca="false">IFERROR((DI55-(('Executive Summary'!$C$54/12)*'Executive Summary'!$C$12))/-SUM(IF(DI82&lt;&gt;0,PMT('Executive Summary'!$L$8/12,'Executive Summary'!$L$11*12,$E$80),0)+IF(DI92&lt;&gt;0,PMT('Executive Summary'!$L$21/12,'Executive Summary'!$L$24*12,$E$90),0)),0)</f>
        <v>0</v>
      </c>
      <c r="DJ103" s="590" t="n">
        <f aca="false">IFERROR((DJ55-(('Executive Summary'!$C$54/12)*'Executive Summary'!$C$12))/-SUM(IF(DJ82&lt;&gt;0,PMT('Executive Summary'!$L$8/12,'Executive Summary'!$L$11*12,$E$80),0)+IF(DJ92&lt;&gt;0,PMT('Executive Summary'!$L$21/12,'Executive Summary'!$L$24*12,$E$90),0)),0)</f>
        <v>0</v>
      </c>
      <c r="DK103" s="590" t="n">
        <f aca="false">IFERROR((DK55-(('Executive Summary'!$C$54/12)*'Executive Summary'!$C$12))/-SUM(IF(DK82&lt;&gt;0,PMT('Executive Summary'!$L$8/12,'Executive Summary'!$L$11*12,$E$80),0)+IF(DK92&lt;&gt;0,PMT('Executive Summary'!$L$21/12,'Executive Summary'!$L$24*12,$E$90),0)),0)</f>
        <v>0</v>
      </c>
      <c r="DL103" s="590" t="n">
        <f aca="false">IFERROR((DL55-(('Executive Summary'!$C$54/12)*'Executive Summary'!$C$12))/-SUM(IF(DL82&lt;&gt;0,PMT('Executive Summary'!$L$8/12,'Executive Summary'!$L$11*12,$E$80),0)+IF(DL92&lt;&gt;0,PMT('Executive Summary'!$L$21/12,'Executive Summary'!$L$24*12,$E$90),0)),0)</f>
        <v>0</v>
      </c>
      <c r="DM103" s="590" t="n">
        <f aca="false">IFERROR((DM55-(('Executive Summary'!$C$54/12)*'Executive Summary'!$C$12))/-SUM(IF(DM82&lt;&gt;0,PMT('Executive Summary'!$L$8/12,'Executive Summary'!$L$11*12,$E$80),0)+IF(DM92&lt;&gt;0,PMT('Executive Summary'!$L$21/12,'Executive Summary'!$L$24*12,$E$90),0)),0)</f>
        <v>0</v>
      </c>
      <c r="DN103" s="590" t="n">
        <f aca="false">IFERROR((DN55-(('Executive Summary'!$C$54/12)*'Executive Summary'!$C$12))/-SUM(IF(DN82&lt;&gt;0,PMT('Executive Summary'!$L$8/12,'Executive Summary'!$L$11*12,$E$80),0)+IF(DN92&lt;&gt;0,PMT('Executive Summary'!$L$21/12,'Executive Summary'!$L$24*12,$E$90),0)),0)</f>
        <v>0</v>
      </c>
      <c r="DO103" s="590" t="n">
        <f aca="false">IFERROR((DO55-(('Executive Summary'!$C$54/12)*'Executive Summary'!$C$12))/-SUM(IF(DO82&lt;&gt;0,PMT('Executive Summary'!$L$8/12,'Executive Summary'!$L$11*12,$E$80),0)+IF(DO92&lt;&gt;0,PMT('Executive Summary'!$L$21/12,'Executive Summary'!$L$24*12,$E$90),0)),0)</f>
        <v>0</v>
      </c>
      <c r="DP103" s="590" t="n">
        <f aca="false">IFERROR((DP55-(('Executive Summary'!$C$54/12)*'Executive Summary'!$C$12))/-SUM(IF(DP82&lt;&gt;0,PMT('Executive Summary'!$L$8/12,'Executive Summary'!$L$11*12,$E$80),0)+IF(DP92&lt;&gt;0,PMT('Executive Summary'!$L$21/12,'Executive Summary'!$L$24*12,$E$90),0)),0)</f>
        <v>0</v>
      </c>
      <c r="DQ103" s="590" t="n">
        <f aca="false">IFERROR((DQ55-(('Executive Summary'!$C$54/12)*'Executive Summary'!$C$12))/-SUM(IF(DQ82&lt;&gt;0,PMT('Executive Summary'!$L$8/12,'Executive Summary'!$L$11*12,$E$80),0)+IF(DQ92&lt;&gt;0,PMT('Executive Summary'!$L$21/12,'Executive Summary'!$L$24*12,$E$90),0)),0)</f>
        <v>0</v>
      </c>
      <c r="DR103" s="590" t="n">
        <f aca="false">IFERROR((DR55-(('Executive Summary'!$C$54/12)*'Executive Summary'!$C$12))/-SUM(IF(DR82&lt;&gt;0,PMT('Executive Summary'!$L$8/12,'Executive Summary'!$L$11*12,$E$80),0)+IF(DR92&lt;&gt;0,PMT('Executive Summary'!$L$21/12,'Executive Summary'!$L$24*12,$E$90),0)),0)</f>
        <v>0</v>
      </c>
      <c r="DS103" s="590" t="n">
        <f aca="false">IFERROR((DS55-(('Executive Summary'!$C$54/12)*'Executive Summary'!$C$12))/-SUM(IF(DS82&lt;&gt;0,PMT('Executive Summary'!$L$8/12,'Executive Summary'!$L$11*12,$E$80),0)+IF(DS92&lt;&gt;0,PMT('Executive Summary'!$L$21/12,'Executive Summary'!$L$24*12,$E$90),0)),0)</f>
        <v>0</v>
      </c>
      <c r="DT103" s="590" t="n">
        <f aca="false">IFERROR((DT55-(('Executive Summary'!$C$54/12)*'Executive Summary'!$C$12))/-SUM(IF(DT82&lt;&gt;0,PMT('Executive Summary'!$L$8/12,'Executive Summary'!$L$11*12,$E$80),0)+IF(DT92&lt;&gt;0,PMT('Executive Summary'!$L$21/12,'Executive Summary'!$L$24*12,$E$90),0)),0)</f>
        <v>0</v>
      </c>
      <c r="DU103" s="590" t="n">
        <f aca="false">IFERROR((DU55-(('Executive Summary'!$C$54/12)*'Executive Summary'!$C$12))/-SUM(IF(DU82&lt;&gt;0,PMT('Executive Summary'!$L$8/12,'Executive Summary'!$L$11*12,$E$80),0)+IF(DU92&lt;&gt;0,PMT('Executive Summary'!$L$21/12,'Executive Summary'!$L$24*12,$E$90),0)),0)</f>
        <v>0</v>
      </c>
      <c r="DV103" s="590" t="n">
        <f aca="false">IFERROR((DV55-(('Executive Summary'!$C$54/12)*'Executive Summary'!$C$12))/-SUM(IF(DV82&lt;&gt;0,PMT('Executive Summary'!$L$8/12,'Executive Summary'!$L$11*12,$E$80),0)+IF(DV92&lt;&gt;0,PMT('Executive Summary'!$L$21/12,'Executive Summary'!$L$24*12,$E$90),0)),0)</f>
        <v>0</v>
      </c>
      <c r="DW103" s="590" t="n">
        <f aca="false">IFERROR((DW55-(('Executive Summary'!$C$54/12)*'Executive Summary'!$C$12))/-SUM(IF(DW82&lt;&gt;0,PMT('Executive Summary'!$L$8/12,'Executive Summary'!$L$11*12,$E$80),0)+IF(DW92&lt;&gt;0,PMT('Executive Summary'!$L$21/12,'Executive Summary'!$L$24*12,$E$90),0)),0)</f>
        <v>0</v>
      </c>
      <c r="DX103" s="590" t="n">
        <f aca="false">IFERROR((DX55-(('Executive Summary'!$C$54/12)*'Executive Summary'!$C$12))/-SUM(IF(DX82&lt;&gt;0,PMT('Executive Summary'!$L$8/12,'Executive Summary'!$L$11*12,$E$80),0)+IF(DX92&lt;&gt;0,PMT('Executive Summary'!$L$21/12,'Executive Summary'!$L$24*12,$E$90),0)),0)</f>
        <v>0</v>
      </c>
      <c r="DY103" s="590" t="n">
        <f aca="false">IFERROR((DY55-(('Executive Summary'!$C$54/12)*'Executive Summary'!$C$12))/-SUM(IF(DY82&lt;&gt;0,PMT('Executive Summary'!$L$8/12,'Executive Summary'!$L$11*12,$E$80),0)+IF(DY92&lt;&gt;0,PMT('Executive Summary'!$L$21/12,'Executive Summary'!$L$24*12,$E$90),0)),0)</f>
        <v>0</v>
      </c>
      <c r="DZ103" s="590" t="n">
        <f aca="false">IFERROR((DZ55-(('Executive Summary'!$C$54/12)*'Executive Summary'!$C$12))/-SUM(IF(DZ82&lt;&gt;0,PMT('Executive Summary'!$L$8/12,'Executive Summary'!$L$11*12,$E$80),0)+IF(DZ92&lt;&gt;0,PMT('Executive Summary'!$L$21/12,'Executive Summary'!$L$24*12,$E$90),0)),0)</f>
        <v>0</v>
      </c>
      <c r="EA103" s="590" t="n">
        <f aca="false">IFERROR((EA55-(('Executive Summary'!$C$54/12)*'Executive Summary'!$C$12))/-SUM(IF(EA82&lt;&gt;0,PMT('Executive Summary'!$L$8/12,'Executive Summary'!$L$11*12,$E$80),0)+IF(EA92&lt;&gt;0,PMT('Executive Summary'!$L$21/12,'Executive Summary'!$L$24*12,$E$90),0)),0)</f>
        <v>0</v>
      </c>
      <c r="EB103" s="590" t="n">
        <f aca="false">IFERROR((EB55-(('Executive Summary'!$C$54/12)*'Executive Summary'!$C$12))/-SUM(IF(EB82&lt;&gt;0,PMT('Executive Summary'!$L$8/12,'Executive Summary'!$L$11*12,$E$80),0)+IF(EB92&lt;&gt;0,PMT('Executive Summary'!$L$21/12,'Executive Summary'!$L$24*12,$E$90),0)),0)</f>
        <v>0</v>
      </c>
      <c r="EC103" s="590" t="n">
        <f aca="false">IFERROR((EC55-(('Executive Summary'!$C$54/12)*'Executive Summary'!$C$12))/-SUM(IF(EC82&lt;&gt;0,PMT('Executive Summary'!$L$8/12,'Executive Summary'!$L$11*12,$E$80),0)+IF(EC92&lt;&gt;0,PMT('Executive Summary'!$L$21/12,'Executive Summary'!$L$24*12,$E$90),0)),0)</f>
        <v>0</v>
      </c>
      <c r="ED103" s="590" t="n">
        <f aca="false">IFERROR((ED55-(('Executive Summary'!$C$54/12)*'Executive Summary'!$C$12))/-SUM(IF(ED82&lt;&gt;0,PMT('Executive Summary'!$L$8/12,'Executive Summary'!$L$11*12,$E$80),0)+IF(ED92&lt;&gt;0,PMT('Executive Summary'!$L$21/12,'Executive Summary'!$L$24*12,$E$90),0)),0)</f>
        <v>0</v>
      </c>
      <c r="EE103" s="590" t="n">
        <f aca="false">IFERROR((EE55-(('Executive Summary'!$C$54/12)*'Executive Summary'!$C$12))/-SUM(IF(EE82&lt;&gt;0,PMT('Executive Summary'!$L$8/12,'Executive Summary'!$L$11*12,$E$80),0)+IF(EE92&lt;&gt;0,PMT('Executive Summary'!$L$21/12,'Executive Summary'!$L$24*12,$E$90),0)),0)</f>
        <v>0</v>
      </c>
      <c r="EF103" s="590" t="n">
        <f aca="false">IFERROR((EF55-(('Executive Summary'!$C$54/12)*'Executive Summary'!$C$12))/-SUM(IF(EF82&lt;&gt;0,PMT('Executive Summary'!$L$8/12,'Executive Summary'!$L$11*12,$E$80),0)+IF(EF92&lt;&gt;0,PMT('Executive Summary'!$L$21/12,'Executive Summary'!$L$24*12,$E$90),0)),0)</f>
        <v>0</v>
      </c>
      <c r="EG103" s="590" t="n">
        <f aca="false">IFERROR((EG55-(('Executive Summary'!$C$54/12)*'Executive Summary'!$C$12))/-SUM(IF(EG82&lt;&gt;0,PMT('Executive Summary'!$L$8/12,'Executive Summary'!$L$11*12,$E$80),0)+IF(EG92&lt;&gt;0,PMT('Executive Summary'!$L$21/12,'Executive Summary'!$L$24*12,$E$90),0)),0)</f>
        <v>0</v>
      </c>
      <c r="EH103" s="590" t="n">
        <f aca="false">IFERROR((EH55-(('Executive Summary'!$C$54/12)*'Executive Summary'!$C$12))/-SUM(IF(EH82&lt;&gt;0,PMT('Executive Summary'!$L$8/12,'Executive Summary'!$L$11*12,$E$80),0)+IF(EH92&lt;&gt;0,PMT('Executive Summary'!$L$21/12,'Executive Summary'!$L$24*12,$E$90),0)),0)</f>
        <v>0</v>
      </c>
      <c r="EI103" s="593" t="n">
        <f aca="false">IFERROR((EI55-(('Executive Summary'!$C$54/12)*'Executive Summary'!$C$12))/-SUM(IF(EI82&lt;&gt;0,PMT('Executive Summary'!$L$8/12,'Executive Summary'!$L$11*12,$E$80),0)+IF(EI92&lt;&gt;0,PMT('Executive Summary'!$L$21/12,'Executive Summary'!$L$24*12,$E$90),0)),0)</f>
        <v>0</v>
      </c>
      <c r="EK103" s="591" t="n">
        <f aca="false">SUMIF($G$3:$EI$3,EK$24,$G103:$EI103)/12</f>
        <v>1.2571295363056</v>
      </c>
      <c r="EL103" s="590" t="n">
        <f aca="false">SUMIF($G$3:$EI$3,EL$24,$G103:$EI103)/12</f>
        <v>1.35770574302984</v>
      </c>
      <c r="EM103" s="590" t="n">
        <f aca="false">SUMIF($G$3:$EI$3,EM$24,$G103:$EI103)/12</f>
        <v>1.42909452445794</v>
      </c>
      <c r="EN103" s="590" t="n">
        <f aca="false">SUMIF($G$3:$EI$3,EN$24,$G103:$EI103)/12</f>
        <v>1.4817222962783</v>
      </c>
      <c r="EO103" s="590" t="n">
        <f aca="false">SUMIF($G$3:$EI$3,EO$24,$G103:$EI103)/12</f>
        <v>1.53535445312735</v>
      </c>
      <c r="EP103" s="590" t="n">
        <f aca="false">SUMIF($G$3:$EI$3,EP$24,$G103:$EI103)/12</f>
        <v>0</v>
      </c>
      <c r="EQ103" s="590" t="n">
        <f aca="false">SUMIF($G$3:$EI$3,EQ$24,$G103:$EI103)/12</f>
        <v>0</v>
      </c>
      <c r="ER103" s="590" t="n">
        <f aca="false">SUMIF($G$3:$EI$3,ER$24,$G103:$EI103)/12</f>
        <v>0</v>
      </c>
      <c r="ES103" s="590" t="n">
        <f aca="false">SUMIF($G$3:$EI$3,ES$24,$G103:$EI103)/12</f>
        <v>0</v>
      </c>
      <c r="ET103" s="593" t="n">
        <f aca="false">SUMIF($G$3:$EI$3,ET$24,$G103:$EI103)/12</f>
        <v>0</v>
      </c>
    </row>
    <row r="104" customFormat="false" ht="13.5" hidden="false" customHeight="true" outlineLevel="1" collapsed="false">
      <c r="B104" s="58"/>
      <c r="C104" s="498"/>
      <c r="EI104" s="588"/>
      <c r="EK104" s="58"/>
      <c r="ET104" s="588"/>
    </row>
    <row r="105" customFormat="false" ht="13.5" hidden="false" customHeight="true" outlineLevel="1" collapsed="false">
      <c r="B105" s="589" t="s">
        <v>602</v>
      </c>
      <c r="C105" s="498"/>
      <c r="EI105" s="588"/>
      <c r="EK105" s="58"/>
      <c r="ET105" s="588"/>
    </row>
    <row r="106" s="576" customFormat="true" ht="13.5" hidden="false" customHeight="true" outlineLevel="1" collapsed="false">
      <c r="B106" s="594" t="s">
        <v>603</v>
      </c>
      <c r="C106" s="595"/>
      <c r="E106" s="576" t="n">
        <f aca="false">MIN(G106:EI106)</f>
        <v>-2137179</v>
      </c>
      <c r="G106" s="576" t="n">
        <f aca="false">G160+SUM(G71:G75)</f>
        <v>-2137179</v>
      </c>
      <c r="H106" s="576" t="n">
        <f aca="false">G106+H159+SUM(H71:H75)</f>
        <v>-2124628.69909894</v>
      </c>
      <c r="I106" s="576" t="n">
        <f aca="false">H106+I159+SUM(I71:I75)</f>
        <v>-2111764.03328606</v>
      </c>
      <c r="J106" s="576" t="n">
        <f aca="false">I106+J159+SUM(J71:J75)</f>
        <v>-2098487.08104576</v>
      </c>
      <c r="K106" s="576" t="n">
        <f aca="false">J106+K159+SUM(K71:K75)</f>
        <v>-2084891.21697379</v>
      </c>
      <c r="L106" s="576" t="n">
        <f aca="false">K106+L159+SUM(L71:L75)</f>
        <v>-2070877.61995333</v>
      </c>
      <c r="M106" s="576" t="n">
        <f aca="false">L106+M159+SUM(M71:M75)</f>
        <v>-2056539.76713479</v>
      </c>
      <c r="N106" s="576" t="n">
        <f aca="false">M106+N159+SUM(N71:N75)</f>
        <v>-2041778.72912001</v>
      </c>
      <c r="O106" s="576" t="n">
        <f aca="false">N106+O159+SUM(O71:O75)</f>
        <v>-2026688.08572698</v>
      </c>
      <c r="P106" s="576" t="n">
        <f aca="false">O106+P159+SUM(P71:P75)</f>
        <v>-2011168.7991578</v>
      </c>
      <c r="Q106" s="576" t="n">
        <f aca="false">P106+Q159+SUM(Q71:Q75)</f>
        <v>-1995314.55201107</v>
      </c>
      <c r="R106" s="576" t="n">
        <f aca="false">Q106+R159+SUM(R71:R75)</f>
        <v>-1979026.19797067</v>
      </c>
      <c r="S106" s="576" t="n">
        <f aca="false">R106+S159+SUM(S71:S75)</f>
        <v>-1962397.52252898</v>
      </c>
      <c r="T106" s="576" t="n">
        <f aca="false">S106+T159+SUM(T71:T75)</f>
        <v>-1946014.15212361</v>
      </c>
      <c r="U106" s="576" t="n">
        <f aca="false">T106+U159+SUM(U71:U75)</f>
        <v>-1929443.82920698</v>
      </c>
      <c r="V106" s="576" t="n">
        <f aca="false">U106+V159+SUM(V71:V75)</f>
        <v>-1912771.48563488</v>
      </c>
      <c r="W106" s="576" t="n">
        <f aca="false">V106+W159+SUM(W71:W75)</f>
        <v>-1895889.92870574</v>
      </c>
      <c r="X106" s="576" t="n">
        <f aca="false">W106+X159+SUM(X71:X75)</f>
        <v>-1878884.12432338</v>
      </c>
      <c r="Y106" s="576" t="n">
        <f aca="false">X106+Y159+SUM(Y71:Y75)</f>
        <v>-1861646.70291768</v>
      </c>
      <c r="Z106" s="576" t="n">
        <f aca="false">Y106+Z159+SUM(Z71:Z75)</f>
        <v>-1844262.66416062</v>
      </c>
      <c r="AA106" s="576" t="n">
        <f aca="false">Z106+AA159+SUM(AA71:AA75)</f>
        <v>-1826624.46110148</v>
      </c>
      <c r="AB106" s="576" t="n">
        <f aca="false">AA106+AB159+SUM(AB71:AB75)</f>
        <v>-1808817.12689851</v>
      </c>
      <c r="AC106" s="576" t="n">
        <f aca="false">AB106+AC159+SUM(AC71:AC75)</f>
        <v>-1790732.93670603</v>
      </c>
      <c r="AD106" s="576" t="n">
        <f aca="false">AC106+AD159+SUM(AD71:AD75)</f>
        <v>-1772456.95688471</v>
      </c>
      <c r="AE106" s="576" t="n">
        <f aca="false">AD106+AE159+SUM(AE71:AE75)</f>
        <v>-1753881.28417724</v>
      </c>
      <c r="AF106" s="576" t="n">
        <f aca="false">AE106+AF159+SUM(AF71:AF75)</f>
        <v>-1735227.8747012</v>
      </c>
      <c r="AG106" s="576" t="n">
        <f aca="false">AF106+AG159+SUM(AG71:AG75)</f>
        <v>-1716443.54097322</v>
      </c>
      <c r="AH106" s="576" t="n">
        <f aca="false">AG106+AH159+SUM(AH71:AH75)</f>
        <v>-1697529.02409377</v>
      </c>
      <c r="AI106" s="576" t="n">
        <f aca="false">AH106+AI159+SUM(AI71:AI75)</f>
        <v>-1678485.0698694</v>
      </c>
      <c r="AJ106" s="576" t="n">
        <f aca="false">AI106+AJ159+SUM(AJ71:AJ75)</f>
        <v>-1659312.42883208</v>
      </c>
      <c r="AK106" s="576" t="n">
        <f aca="false">AJ106+AK159+SUM(AK71:AK75)</f>
        <v>-1640011.85625866</v>
      </c>
      <c r="AL106" s="576" t="n">
        <f aca="false">AK106+AL159+SUM(AL71:AL75)</f>
        <v>-1620584.11219034</v>
      </c>
      <c r="AM106" s="576" t="n">
        <f aca="false">AL106+AM159+SUM(AM71:AM75)</f>
        <v>-1601029.96145226</v>
      </c>
      <c r="AN106" s="576" t="n">
        <f aca="false">AM106+AN159+SUM(AN71:AN75)</f>
        <v>-1581350.17367313</v>
      </c>
      <c r="AO106" s="576" t="n">
        <f aca="false">AN106+AO159+SUM(AO71:AO75)</f>
        <v>-1561538.91256099</v>
      </c>
      <c r="AP106" s="576" t="n">
        <f aca="false">AO106+AP159+SUM(AP71:AP75)</f>
        <v>-1541610.17889873</v>
      </c>
      <c r="AQ106" s="576" t="n">
        <f aca="false">AP106+AQ159+SUM(AQ71:AQ75)</f>
        <v>-1521558.14610034</v>
      </c>
      <c r="AR106" s="576" t="n">
        <f aca="false">AQ106+AR159+SUM(AR71:AR75)</f>
        <v>-1508737.1342064</v>
      </c>
      <c r="AS106" s="576" t="n">
        <f aca="false">AR106+AS159+SUM(AS71:AS75)</f>
        <v>-1495792.15441449</v>
      </c>
      <c r="AT106" s="576" t="n">
        <f aca="false">AS106+AT159+SUM(AT71:AT75)</f>
        <v>-1482722.87103209</v>
      </c>
      <c r="AU106" s="576" t="n">
        <f aca="false">AT106+AU159+SUM(AU71:AU75)</f>
        <v>-1469528.9474893</v>
      </c>
      <c r="AV106" s="576" t="n">
        <f aca="false">AU106+AV159+SUM(AV71:AV75)</f>
        <v>-1456210.0463366</v>
      </c>
      <c r="AW106" s="576" t="n">
        <f aca="false">AV106+AW159+SUM(AW71:AW75)</f>
        <v>-1442765.82924259</v>
      </c>
      <c r="AX106" s="576" t="n">
        <f aca="false">AW106+AX159+SUM(AX71:AX75)</f>
        <v>-1429195.95699174</v>
      </c>
      <c r="AY106" s="576" t="n">
        <f aca="false">AX106+AY159+SUM(AY71:AY75)</f>
        <v>-1415500.08948212</v>
      </c>
      <c r="AZ106" s="576" t="n">
        <f aca="false">AY106+AZ159+SUM(AZ71:AZ75)</f>
        <v>-1401677.88572313</v>
      </c>
      <c r="BA106" s="576" t="n">
        <f aca="false">AZ106+BA159+SUM(BA71:BA75)</f>
        <v>-1387729.00383324</v>
      </c>
      <c r="BB106" s="576" t="n">
        <f aca="false">BA106+BB159+SUM(BB71:BB75)</f>
        <v>-1373653.1010377</v>
      </c>
      <c r="BC106" s="576" t="n">
        <f aca="false">BB106+BC159+SUM(BC71:BC75)</f>
        <v>-1359449.83366624</v>
      </c>
      <c r="BD106" s="576" t="n">
        <f aca="false">BC106+BD159+SUM(BD71:BD75)</f>
        <v>-1345171.97768558</v>
      </c>
      <c r="BE106" s="576" t="n">
        <f aca="false">BD106+BE159+SUM(BE71:BE75)</f>
        <v>-1330766.0670928</v>
      </c>
      <c r="BF106" s="576" t="n">
        <f aca="false">BE106+BF159+SUM(BF71:BF75)</f>
        <v>-1316231.75551738</v>
      </c>
      <c r="BG106" s="576" t="n">
        <f aca="false">BF106+BG159+SUM(BG71:BG75)</f>
        <v>-1301568.69568407</v>
      </c>
      <c r="BH106" s="576" t="n">
        <f aca="false">BG106+BH159+SUM(BH71:BH75)</f>
        <v>-1286776.5394106</v>
      </c>
      <c r="BI106" s="576" t="n">
        <f aca="false">BH106+BI159+SUM(BI71:BI75)</f>
        <v>-1271854.93760536</v>
      </c>
      <c r="BJ106" s="576" t="n">
        <f aca="false">BI106+BJ159+SUM(BJ71:BJ75)</f>
        <v>-1256803.5402651</v>
      </c>
      <c r="BK106" s="576" t="n">
        <f aca="false">BJ106+BK159+SUM(BK71:BK75)</f>
        <v>-1241621.99647253</v>
      </c>
      <c r="BL106" s="576" t="n">
        <f aca="false">BK106+BL159+SUM(BL71:BL75)</f>
        <v>-1226309.95439407</v>
      </c>
      <c r="BM106" s="576" t="n">
        <f aca="false">BL106+BM159+SUM(BM71:BM75)</f>
        <v>-1210867.06127742</v>
      </c>
      <c r="BN106" s="576" t="n">
        <f aca="false">BM106+BN159+SUM(BN71:BN75)</f>
        <v>-1195292.96344926</v>
      </c>
      <c r="BO106" s="576" t="n">
        <f aca="false">BN106+BO159+SUM(BO71:BO75)</f>
        <v>2599450.56566664</v>
      </c>
      <c r="BP106" s="576" t="n">
        <f aca="false">BO106+BP159+SUM(BP71:BP75)</f>
        <v>2599450.56566664</v>
      </c>
      <c r="BQ106" s="576" t="n">
        <f aca="false">BP106+BQ159+SUM(BQ71:BQ75)</f>
        <v>2599450.56566664</v>
      </c>
      <c r="BR106" s="576" t="n">
        <f aca="false">BQ106+BR159+SUM(BR71:BR75)</f>
        <v>2599450.56566664</v>
      </c>
      <c r="BS106" s="576" t="n">
        <f aca="false">BR106+BS159+SUM(BS71:BS75)</f>
        <v>2599450.56566664</v>
      </c>
      <c r="BT106" s="576" t="n">
        <f aca="false">BS106+BT159+SUM(BT71:BT75)</f>
        <v>2599450.56566664</v>
      </c>
      <c r="BU106" s="576" t="n">
        <f aca="false">BT106+BU159+SUM(BU71:BU75)</f>
        <v>2599450.56566664</v>
      </c>
      <c r="BV106" s="576" t="n">
        <f aca="false">BU106+BV159+SUM(BV71:BV75)</f>
        <v>2599450.56566664</v>
      </c>
      <c r="BW106" s="576" t="n">
        <f aca="false">BV106+BW159+SUM(BW71:BW75)</f>
        <v>2599450.56566664</v>
      </c>
      <c r="BX106" s="576" t="n">
        <f aca="false">BW106+BX159+SUM(BX71:BX75)</f>
        <v>2599450.56566664</v>
      </c>
      <c r="BY106" s="576" t="n">
        <f aca="false">BX106+BY159+SUM(BY71:BY75)</f>
        <v>2599450.56566664</v>
      </c>
      <c r="BZ106" s="576" t="n">
        <f aca="false">BY106+BZ159+SUM(BZ71:BZ75)</f>
        <v>2599450.56566664</v>
      </c>
      <c r="CA106" s="576" t="n">
        <f aca="false">BZ106+CA159+SUM(CA71:CA75)</f>
        <v>2599450.56566664</v>
      </c>
      <c r="CB106" s="576" t="n">
        <f aca="false">CA106+CB159+SUM(CB71:CB75)</f>
        <v>2599450.56566664</v>
      </c>
      <c r="CC106" s="576" t="n">
        <f aca="false">CB106+CC159+SUM(CC71:CC75)</f>
        <v>2599450.56566664</v>
      </c>
      <c r="CD106" s="576" t="n">
        <f aca="false">CC106+CD159+SUM(CD71:CD75)</f>
        <v>2599450.56566664</v>
      </c>
      <c r="CE106" s="576" t="n">
        <f aca="false">CD106+CE159+SUM(CE71:CE75)</f>
        <v>2599450.56566664</v>
      </c>
      <c r="CF106" s="576" t="n">
        <f aca="false">CE106+CF159+SUM(CF71:CF75)</f>
        <v>2599450.56566664</v>
      </c>
      <c r="CG106" s="576" t="n">
        <f aca="false">CF106+CG159+SUM(CG71:CG75)</f>
        <v>2599450.56566664</v>
      </c>
      <c r="CH106" s="576" t="n">
        <f aca="false">CG106+CH159+SUM(CH71:CH75)</f>
        <v>2599450.56566664</v>
      </c>
      <c r="CI106" s="576" t="n">
        <f aca="false">CH106+CI159+SUM(CI71:CI75)</f>
        <v>2599450.56566664</v>
      </c>
      <c r="CJ106" s="576" t="n">
        <f aca="false">CI106+CJ159+SUM(CJ71:CJ75)</f>
        <v>2599450.56566664</v>
      </c>
      <c r="CK106" s="576" t="n">
        <f aca="false">CJ106+CK159+SUM(CK71:CK75)</f>
        <v>2599450.56566664</v>
      </c>
      <c r="CL106" s="576" t="n">
        <f aca="false">CK106+CL159+SUM(CL71:CL75)</f>
        <v>2599450.56566664</v>
      </c>
      <c r="CM106" s="576" t="n">
        <f aca="false">CL106+CM159+SUM(CM71:CM75)</f>
        <v>2599450.56566664</v>
      </c>
      <c r="CN106" s="576" t="n">
        <f aca="false">CM106+CN159+SUM(CN71:CN75)</f>
        <v>2599450.56566664</v>
      </c>
      <c r="CO106" s="576" t="n">
        <f aca="false">CN106+CO159+SUM(CO71:CO75)</f>
        <v>2599450.56566664</v>
      </c>
      <c r="CP106" s="576" t="n">
        <f aca="false">CO106+CP159+SUM(CP71:CP75)</f>
        <v>2599450.56566664</v>
      </c>
      <c r="CQ106" s="576" t="n">
        <f aca="false">CP106+CQ159+SUM(CQ71:CQ75)</f>
        <v>2599450.56566664</v>
      </c>
      <c r="CR106" s="576" t="n">
        <f aca="false">CQ106+CR159+SUM(CR71:CR75)</f>
        <v>2599450.56566664</v>
      </c>
      <c r="CS106" s="576" t="n">
        <f aca="false">CR106+CS159+SUM(CS71:CS75)</f>
        <v>2599450.56566664</v>
      </c>
      <c r="CT106" s="576" t="n">
        <f aca="false">CS106+CT159+SUM(CT71:CT75)</f>
        <v>2599450.56566664</v>
      </c>
      <c r="CU106" s="576" t="n">
        <f aca="false">CT106+CU159+SUM(CU71:CU75)</f>
        <v>2599450.56566664</v>
      </c>
      <c r="CV106" s="576" t="n">
        <f aca="false">CU106+CV159+SUM(CV71:CV75)</f>
        <v>2599450.56566664</v>
      </c>
      <c r="CW106" s="576" t="n">
        <f aca="false">CV106+CW159+SUM(CW71:CW75)</f>
        <v>2599450.56566664</v>
      </c>
      <c r="CX106" s="576" t="n">
        <f aca="false">CW106+CX159+SUM(CX71:CX75)</f>
        <v>2599450.56566664</v>
      </c>
      <c r="CY106" s="576" t="n">
        <f aca="false">CX106+CY159+SUM(CY71:CY75)</f>
        <v>2599450.56566664</v>
      </c>
      <c r="CZ106" s="576" t="n">
        <f aca="false">CY106+CZ159+SUM(CZ71:CZ75)</f>
        <v>2599450.56566664</v>
      </c>
      <c r="DA106" s="576" t="n">
        <f aca="false">CZ106+DA159+SUM(DA71:DA75)</f>
        <v>2599450.56566664</v>
      </c>
      <c r="DB106" s="576" t="n">
        <f aca="false">DA106+DB159+SUM(DB71:DB75)</f>
        <v>2599450.56566664</v>
      </c>
      <c r="DC106" s="576" t="n">
        <f aca="false">DB106+DC159+SUM(DC71:DC75)</f>
        <v>2599450.56566664</v>
      </c>
      <c r="DD106" s="576" t="n">
        <f aca="false">DC106+DD159+SUM(DD71:DD75)</f>
        <v>2599450.56566664</v>
      </c>
      <c r="DE106" s="576" t="n">
        <f aca="false">DD106+DE159+SUM(DE71:DE75)</f>
        <v>2599450.56566664</v>
      </c>
      <c r="DF106" s="576" t="n">
        <f aca="false">DE106+DF159+SUM(DF71:DF75)</f>
        <v>2599450.56566664</v>
      </c>
      <c r="DG106" s="576" t="n">
        <f aca="false">DF106+DG159+SUM(DG71:DG75)</f>
        <v>2599450.56566664</v>
      </c>
      <c r="DH106" s="576" t="n">
        <f aca="false">DG106+DH159+SUM(DH71:DH75)</f>
        <v>2599450.56566664</v>
      </c>
      <c r="DI106" s="576" t="n">
        <f aca="false">DH106+DI159+SUM(DI71:DI75)</f>
        <v>2599450.56566664</v>
      </c>
      <c r="DJ106" s="576" t="n">
        <f aca="false">DI106+DJ159+SUM(DJ71:DJ75)</f>
        <v>2599450.56566664</v>
      </c>
      <c r="DK106" s="576" t="n">
        <f aca="false">DJ106+DK159+SUM(DK71:DK75)</f>
        <v>2599450.56566664</v>
      </c>
      <c r="DL106" s="576" t="n">
        <f aca="false">DK106+DL159+SUM(DL71:DL75)</f>
        <v>2599450.56566664</v>
      </c>
      <c r="DM106" s="576" t="n">
        <f aca="false">DL106+DM159+SUM(DM71:DM75)</f>
        <v>2599450.56566664</v>
      </c>
      <c r="DN106" s="576" t="n">
        <f aca="false">DM106+DN159+SUM(DN71:DN75)</f>
        <v>2599450.56566664</v>
      </c>
      <c r="DO106" s="576" t="n">
        <f aca="false">DN106+DO159+SUM(DO71:DO75)</f>
        <v>2599450.56566664</v>
      </c>
      <c r="DP106" s="576" t="n">
        <f aca="false">DO106+DP159+SUM(DP71:DP75)</f>
        <v>2599450.56566664</v>
      </c>
      <c r="DQ106" s="576" t="n">
        <f aca="false">DP106+DQ159+SUM(DQ71:DQ75)</f>
        <v>2599450.56566664</v>
      </c>
      <c r="DR106" s="576" t="n">
        <f aca="false">DQ106+DR159+SUM(DR71:DR75)</f>
        <v>2599450.56566664</v>
      </c>
      <c r="DS106" s="576" t="n">
        <f aca="false">DR106+DS159+SUM(DS71:DS75)</f>
        <v>2599450.56566664</v>
      </c>
      <c r="DT106" s="576" t="n">
        <f aca="false">DS106+DT159+SUM(DT71:DT75)</f>
        <v>2599450.56566664</v>
      </c>
      <c r="DU106" s="576" t="n">
        <f aca="false">DT106+DU159+SUM(DU71:DU75)</f>
        <v>2599450.56566664</v>
      </c>
      <c r="DV106" s="576" t="n">
        <f aca="false">DU106+DV159+SUM(DV71:DV75)</f>
        <v>2599450.56566664</v>
      </c>
      <c r="DW106" s="576" t="n">
        <f aca="false">DV106+DW159+SUM(DW71:DW75)</f>
        <v>2599450.56566664</v>
      </c>
      <c r="DX106" s="576" t="n">
        <f aca="false">DW106+DX159+SUM(DX71:DX75)</f>
        <v>2599450.56566664</v>
      </c>
      <c r="DY106" s="576" t="n">
        <f aca="false">DX106+DY159+SUM(DY71:DY75)</f>
        <v>2599450.56566664</v>
      </c>
      <c r="DZ106" s="576" t="n">
        <f aca="false">DY106+DZ159+SUM(DZ71:DZ75)</f>
        <v>2599450.56566664</v>
      </c>
      <c r="EA106" s="576" t="n">
        <f aca="false">DZ106+EA159+SUM(EA71:EA75)</f>
        <v>2599450.56566664</v>
      </c>
      <c r="EB106" s="576" t="n">
        <f aca="false">EA106+EB159+SUM(EB71:EB75)</f>
        <v>2599450.56566664</v>
      </c>
      <c r="EC106" s="576" t="n">
        <f aca="false">EB106+EC159+SUM(EC71:EC75)</f>
        <v>2599450.56566664</v>
      </c>
      <c r="ED106" s="576" t="n">
        <f aca="false">EC106+ED159+SUM(ED71:ED75)</f>
        <v>2599450.56566664</v>
      </c>
      <c r="EE106" s="576" t="n">
        <f aca="false">ED106+EE159+SUM(EE71:EE75)</f>
        <v>2599450.56566664</v>
      </c>
      <c r="EF106" s="576" t="n">
        <f aca="false">EE106+EF159+SUM(EF71:EF75)</f>
        <v>2599450.56566664</v>
      </c>
      <c r="EG106" s="576" t="n">
        <f aca="false">EF106+EG159+SUM(EG71:EG75)</f>
        <v>2599450.56566664</v>
      </c>
      <c r="EH106" s="576" t="n">
        <f aca="false">EG106+EH159+SUM(EH71:EH75)</f>
        <v>2599450.56566664</v>
      </c>
      <c r="EI106" s="596" t="n">
        <f aca="false">EH106+EI159+SUM(EI71:EI75)</f>
        <v>2599450.56566664</v>
      </c>
      <c r="EK106" s="594"/>
      <c r="ET106" s="596"/>
    </row>
    <row r="107" s="570" customFormat="true" ht="13.5" hidden="false" customHeight="true" outlineLevel="1" collapsed="false">
      <c r="B107" s="597" t="s">
        <v>604</v>
      </c>
      <c r="C107" s="598"/>
      <c r="E107" s="570" t="n">
        <f aca="false">MAX(G107:EI107)</f>
        <v>0</v>
      </c>
      <c r="G107" s="599" t="n">
        <f aca="false">IF(G106=$E$106, G4, -1)</f>
        <v>0</v>
      </c>
      <c r="H107" s="570" t="n">
        <f aca="false">IF(H106=$E$106, H4, -1)</f>
        <v>-1</v>
      </c>
      <c r="I107" s="570" t="n">
        <f aca="false">IF(I106=$E$106, I4, -1)</f>
        <v>-1</v>
      </c>
      <c r="J107" s="570" t="n">
        <f aca="false">IF(J106=$E$106, J4, -1)</f>
        <v>-1</v>
      </c>
      <c r="K107" s="570" t="n">
        <f aca="false">IF(K106=$E$106, K4, -1)</f>
        <v>-1</v>
      </c>
      <c r="L107" s="570" t="n">
        <f aca="false">IF(L106=$E$106, L4, -1)</f>
        <v>-1</v>
      </c>
      <c r="M107" s="570" t="n">
        <f aca="false">IF(M106=$E$106, M4, -1)</f>
        <v>-1</v>
      </c>
      <c r="N107" s="570" t="n">
        <f aca="false">IF(N106=$E$106, N4, -1)</f>
        <v>-1</v>
      </c>
      <c r="O107" s="570" t="n">
        <f aca="false">IF(O106=$E$106, O4, -1)</f>
        <v>-1</v>
      </c>
      <c r="P107" s="570" t="n">
        <f aca="false">IF(P106=$E$106, P4, -1)</f>
        <v>-1</v>
      </c>
      <c r="Q107" s="570" t="n">
        <f aca="false">IF(Q106=$E$106, Q4, -1)</f>
        <v>-1</v>
      </c>
      <c r="R107" s="570" t="n">
        <f aca="false">IF(R106=$E$106, R4, -1)</f>
        <v>-1</v>
      </c>
      <c r="S107" s="570" t="n">
        <f aca="false">IF(S106=$E$106, S4, -1)</f>
        <v>-1</v>
      </c>
      <c r="T107" s="570" t="n">
        <f aca="false">IF(T106=$E$106, T4, -1)</f>
        <v>-1</v>
      </c>
      <c r="U107" s="570" t="n">
        <f aca="false">IF(U106=$E$106, U4, -1)</f>
        <v>-1</v>
      </c>
      <c r="V107" s="570" t="n">
        <f aca="false">IF(V106=$E$106, V4, -1)</f>
        <v>-1</v>
      </c>
      <c r="W107" s="570" t="n">
        <f aca="false">IF(W106=$E$106, W4, -1)</f>
        <v>-1</v>
      </c>
      <c r="X107" s="570" t="n">
        <f aca="false">IF(X106=$E$106, X4, -1)</f>
        <v>-1</v>
      </c>
      <c r="Y107" s="570" t="n">
        <f aca="false">IF(Y106=$E$106, Y4, -1)</f>
        <v>-1</v>
      </c>
      <c r="Z107" s="570" t="n">
        <f aca="false">IF(Z106=$E$106, Z4, -1)</f>
        <v>-1</v>
      </c>
      <c r="AA107" s="570" t="n">
        <f aca="false">IF(AA106=$E$106, AA4, -1)</f>
        <v>-1</v>
      </c>
      <c r="AB107" s="570" t="n">
        <f aca="false">IF(AB106=$E$106, AB4, -1)</f>
        <v>-1</v>
      </c>
      <c r="AC107" s="570" t="n">
        <f aca="false">IF(AC106=$E$106, AC4, -1)</f>
        <v>-1</v>
      </c>
      <c r="AD107" s="570" t="n">
        <f aca="false">IF(AD106=$E$106, AD4, -1)</f>
        <v>-1</v>
      </c>
      <c r="AE107" s="570" t="n">
        <f aca="false">IF(AE106=$E$106, AE4, -1)</f>
        <v>-1</v>
      </c>
      <c r="AF107" s="570" t="n">
        <f aca="false">IF(AF106=$E$106, AF4, -1)</f>
        <v>-1</v>
      </c>
      <c r="AG107" s="570" t="n">
        <f aca="false">IF(AG106=$E$106, AG4, -1)</f>
        <v>-1</v>
      </c>
      <c r="AH107" s="570" t="n">
        <f aca="false">IF(AH106=$E$106, AH4, -1)</f>
        <v>-1</v>
      </c>
      <c r="AI107" s="570" t="n">
        <f aca="false">IF(AI106=$E$106, AI4, -1)</f>
        <v>-1</v>
      </c>
      <c r="AJ107" s="570" t="n">
        <f aca="false">IF(AJ106=$E$106, AJ4, -1)</f>
        <v>-1</v>
      </c>
      <c r="AK107" s="570" t="n">
        <f aca="false">IF(AK106=$E$106, AK4, -1)</f>
        <v>-1</v>
      </c>
      <c r="AL107" s="570" t="n">
        <f aca="false">IF(AL106=$E$106, AL4, -1)</f>
        <v>-1</v>
      </c>
      <c r="AM107" s="570" t="n">
        <f aca="false">IF(AM106=$E$106, AM4, -1)</f>
        <v>-1</v>
      </c>
      <c r="AN107" s="570" t="n">
        <f aca="false">IF(AN106=$E$106, AN4, -1)</f>
        <v>-1</v>
      </c>
      <c r="AO107" s="570" t="n">
        <f aca="false">IF(AO106=$E$106, AO4, -1)</f>
        <v>-1</v>
      </c>
      <c r="AP107" s="570" t="n">
        <f aca="false">IF(AP106=$E$106, AP4, -1)</f>
        <v>-1</v>
      </c>
      <c r="AQ107" s="570" t="n">
        <f aca="false">IF(AQ106=$E$106, AQ4, -1)</f>
        <v>-1</v>
      </c>
      <c r="AR107" s="570" t="n">
        <f aca="false">IF(AR106=$E$106, AR4, -1)</f>
        <v>-1</v>
      </c>
      <c r="AS107" s="570" t="n">
        <f aca="false">IF(AS106=$E$106, AS4, -1)</f>
        <v>-1</v>
      </c>
      <c r="AT107" s="570" t="n">
        <f aca="false">IF(AT106=$E$106, AT4, -1)</f>
        <v>-1</v>
      </c>
      <c r="AU107" s="570" t="n">
        <f aca="false">IF(AU106=$E$106, AU4, -1)</f>
        <v>-1</v>
      </c>
      <c r="AV107" s="570" t="n">
        <f aca="false">IF(AV106=$E$106, AV4, -1)</f>
        <v>-1</v>
      </c>
      <c r="AW107" s="570" t="n">
        <f aca="false">IF(AW106=$E$106, AW4, -1)</f>
        <v>-1</v>
      </c>
      <c r="AX107" s="570" t="n">
        <f aca="false">IF(AX106=$E$106, AX4, -1)</f>
        <v>-1</v>
      </c>
      <c r="AY107" s="570" t="n">
        <f aca="false">IF(AY106=$E$106, AY4, -1)</f>
        <v>-1</v>
      </c>
      <c r="AZ107" s="570" t="n">
        <f aca="false">IF(AZ106=$E$106, AZ4, -1)</f>
        <v>-1</v>
      </c>
      <c r="BA107" s="570" t="n">
        <f aca="false">IF(BA106=$E$106, BA4, -1)</f>
        <v>-1</v>
      </c>
      <c r="BB107" s="570" t="n">
        <f aca="false">IF(BB106=$E$106, BB4, -1)</f>
        <v>-1</v>
      </c>
      <c r="BC107" s="570" t="n">
        <f aca="false">IF(BC106=$E$106, BC4, -1)</f>
        <v>-1</v>
      </c>
      <c r="BD107" s="570" t="n">
        <f aca="false">IF(BD106=$E$106, BD4, -1)</f>
        <v>-1</v>
      </c>
      <c r="BE107" s="570" t="n">
        <f aca="false">IF(BE106=$E$106, BE4, -1)</f>
        <v>-1</v>
      </c>
      <c r="BF107" s="570" t="n">
        <f aca="false">IF(BF106=$E$106, BF4, -1)</f>
        <v>-1</v>
      </c>
      <c r="BG107" s="570" t="n">
        <f aca="false">IF(BG106=$E$106, BG4, -1)</f>
        <v>-1</v>
      </c>
      <c r="BH107" s="570" t="n">
        <f aca="false">IF(BH106=$E$106, BH4, -1)</f>
        <v>-1</v>
      </c>
      <c r="BI107" s="570" t="n">
        <f aca="false">IF(BI106=$E$106, BI4, -1)</f>
        <v>-1</v>
      </c>
      <c r="BJ107" s="570" t="n">
        <f aca="false">IF(BJ106=$E$106, BJ4, -1)</f>
        <v>-1</v>
      </c>
      <c r="BK107" s="570" t="n">
        <f aca="false">IF(BK106=$E$106, BK4, -1)</f>
        <v>-1</v>
      </c>
      <c r="BL107" s="570" t="n">
        <f aca="false">IF(BL106=$E$106, BL4, -1)</f>
        <v>-1</v>
      </c>
      <c r="BM107" s="570" t="n">
        <f aca="false">IF(BM106=$E$106, BM4, -1)</f>
        <v>-1</v>
      </c>
      <c r="BN107" s="570" t="n">
        <f aca="false">IF(BN106=$E$106, BN4, -1)</f>
        <v>-1</v>
      </c>
      <c r="BO107" s="570" t="n">
        <f aca="false">IF(BO106=$E$106, BO4, -1)</f>
        <v>-1</v>
      </c>
      <c r="BP107" s="570" t="n">
        <f aca="false">IF(BP106=$E$106, BP4, -1)</f>
        <v>-1</v>
      </c>
      <c r="BQ107" s="570" t="n">
        <f aca="false">IF(BQ106=$E$106, BQ4, -1)</f>
        <v>-1</v>
      </c>
      <c r="BR107" s="570" t="n">
        <f aca="false">IF(BR106=$E$106, BR4, -1)</f>
        <v>-1</v>
      </c>
      <c r="BS107" s="570" t="n">
        <f aca="false">IF(BS106=$E$106, BS4, -1)</f>
        <v>-1</v>
      </c>
      <c r="BT107" s="570" t="n">
        <f aca="false">IF(BT106=$E$106, BT4, -1)</f>
        <v>-1</v>
      </c>
      <c r="BU107" s="570" t="n">
        <f aca="false">IF(BU106=$E$106, BU4, -1)</f>
        <v>-1</v>
      </c>
      <c r="BV107" s="570" t="n">
        <f aca="false">IF(BV106=$E$106, BV4, -1)</f>
        <v>-1</v>
      </c>
      <c r="BW107" s="570" t="n">
        <f aca="false">IF(BW106=$E$106, BW4, -1)</f>
        <v>-1</v>
      </c>
      <c r="BX107" s="570" t="n">
        <f aca="false">IF(BX106=$E$106, BX4, -1)</f>
        <v>-1</v>
      </c>
      <c r="BY107" s="570" t="n">
        <f aca="false">IF(BY106=$E$106, BY4, -1)</f>
        <v>-1</v>
      </c>
      <c r="BZ107" s="570" t="n">
        <f aca="false">IF(BZ106=$E$106, BZ4, -1)</f>
        <v>-1</v>
      </c>
      <c r="CA107" s="570" t="n">
        <f aca="false">IF(CA106=$E$106, CA4, -1)</f>
        <v>-1</v>
      </c>
      <c r="CB107" s="570" t="n">
        <f aca="false">IF(CB106=$E$106, CB4, -1)</f>
        <v>-1</v>
      </c>
      <c r="CC107" s="570" t="n">
        <f aca="false">IF(CC106=$E$106, CC4, -1)</f>
        <v>-1</v>
      </c>
      <c r="CD107" s="570" t="n">
        <f aca="false">IF(CD106=$E$106, CD4, -1)</f>
        <v>-1</v>
      </c>
      <c r="CE107" s="570" t="n">
        <f aca="false">IF(CE106=$E$106, CE4, -1)</f>
        <v>-1</v>
      </c>
      <c r="CF107" s="570" t="n">
        <f aca="false">IF(CF106=$E$106, CF4, -1)</f>
        <v>-1</v>
      </c>
      <c r="CG107" s="570" t="n">
        <f aca="false">IF(CG106=$E$106, CG4, -1)</f>
        <v>-1</v>
      </c>
      <c r="CH107" s="570" t="n">
        <f aca="false">IF(CH106=$E$106, CH4, -1)</f>
        <v>-1</v>
      </c>
      <c r="CI107" s="570" t="n">
        <f aca="false">IF(CI106=$E$106, CI4, -1)</f>
        <v>-1</v>
      </c>
      <c r="CJ107" s="570" t="n">
        <f aca="false">IF(CJ106=$E$106, CJ4, -1)</f>
        <v>-1</v>
      </c>
      <c r="CK107" s="570" t="n">
        <f aca="false">IF(CK106=$E$106, CK4, -1)</f>
        <v>-1</v>
      </c>
      <c r="CL107" s="570" t="n">
        <f aca="false">IF(CL106=$E$106, CL4, -1)</f>
        <v>-1</v>
      </c>
      <c r="CM107" s="570" t="n">
        <f aca="false">IF(CM106=$E$106, CM4, -1)</f>
        <v>-1</v>
      </c>
      <c r="CN107" s="570" t="n">
        <f aca="false">IF(CN106=$E$106, CN4, -1)</f>
        <v>-1</v>
      </c>
      <c r="CO107" s="570" t="n">
        <f aca="false">IF(CO106=$E$106, CO4, -1)</f>
        <v>-1</v>
      </c>
      <c r="CP107" s="570" t="n">
        <f aca="false">IF(CP106=$E$106, CP4, -1)</f>
        <v>-1</v>
      </c>
      <c r="CQ107" s="570" t="n">
        <f aca="false">IF(CQ106=$E$106, CQ4, -1)</f>
        <v>-1</v>
      </c>
      <c r="CR107" s="570" t="n">
        <f aca="false">IF(CR106=$E$106, CR4, -1)</f>
        <v>-1</v>
      </c>
      <c r="CS107" s="570" t="n">
        <f aca="false">IF(CS106=$E$106, CS4, -1)</f>
        <v>-1</v>
      </c>
      <c r="CT107" s="570" t="n">
        <f aca="false">IF(CT106=$E$106, CT4, -1)</f>
        <v>-1</v>
      </c>
      <c r="CU107" s="570" t="n">
        <f aca="false">IF(CU106=$E$106, CU4, -1)</f>
        <v>-1</v>
      </c>
      <c r="CV107" s="570" t="n">
        <f aca="false">IF(CV106=$E$106, CV4, -1)</f>
        <v>-1</v>
      </c>
      <c r="CW107" s="570" t="n">
        <f aca="false">IF(CW106=$E$106, CW4, -1)</f>
        <v>-1</v>
      </c>
      <c r="CX107" s="570" t="n">
        <f aca="false">IF(CX106=$E$106, CX4, -1)</f>
        <v>-1</v>
      </c>
      <c r="CY107" s="570" t="n">
        <f aca="false">IF(CY106=$E$106, CY4, -1)</f>
        <v>-1</v>
      </c>
      <c r="CZ107" s="570" t="n">
        <f aca="false">IF(CZ106=$E$106, CZ4, -1)</f>
        <v>-1</v>
      </c>
      <c r="DA107" s="570" t="n">
        <f aca="false">IF(DA106=$E$106, DA4, -1)</f>
        <v>-1</v>
      </c>
      <c r="DB107" s="570" t="n">
        <f aca="false">IF(DB106=$E$106, DB4, -1)</f>
        <v>-1</v>
      </c>
      <c r="DC107" s="570" t="n">
        <f aca="false">IF(DC106=$E$106, DC4, -1)</f>
        <v>-1</v>
      </c>
      <c r="DD107" s="570" t="n">
        <f aca="false">IF(DD106=$E$106, DD4, -1)</f>
        <v>-1</v>
      </c>
      <c r="DE107" s="570" t="n">
        <f aca="false">IF(DE106=$E$106, DE4, -1)</f>
        <v>-1</v>
      </c>
      <c r="DF107" s="570" t="n">
        <f aca="false">IF(DF106=$E$106, DF4, -1)</f>
        <v>-1</v>
      </c>
      <c r="DG107" s="570" t="n">
        <f aca="false">IF(DG106=$E$106, DG4, -1)</f>
        <v>-1</v>
      </c>
      <c r="DH107" s="570" t="n">
        <f aca="false">IF(DH106=$E$106, DH4, -1)</f>
        <v>-1</v>
      </c>
      <c r="DI107" s="570" t="n">
        <f aca="false">IF(DI106=$E$106, DI4, -1)</f>
        <v>-1</v>
      </c>
      <c r="DJ107" s="570" t="n">
        <f aca="false">IF(DJ106=$E$106, DJ4, -1)</f>
        <v>-1</v>
      </c>
      <c r="DK107" s="570" t="n">
        <f aca="false">IF(DK106=$E$106, DK4, -1)</f>
        <v>-1</v>
      </c>
      <c r="DL107" s="570" t="n">
        <f aca="false">IF(DL106=$E$106, DL4, -1)</f>
        <v>-1</v>
      </c>
      <c r="DM107" s="570" t="n">
        <f aca="false">IF(DM106=$E$106, DM4, -1)</f>
        <v>-1</v>
      </c>
      <c r="DN107" s="570" t="n">
        <f aca="false">IF(DN106=$E$106, DN4, -1)</f>
        <v>-1</v>
      </c>
      <c r="DO107" s="570" t="n">
        <f aca="false">IF(DO106=$E$106, DO4, -1)</f>
        <v>-1</v>
      </c>
      <c r="DP107" s="570" t="n">
        <f aca="false">IF(DP106=$E$106, DP4, -1)</f>
        <v>-1</v>
      </c>
      <c r="DQ107" s="570" t="n">
        <f aca="false">IF(DQ106=$E$106, DQ4, -1)</f>
        <v>-1</v>
      </c>
      <c r="DR107" s="570" t="n">
        <f aca="false">IF(DR106=$E$106, DR4, -1)</f>
        <v>-1</v>
      </c>
      <c r="DS107" s="570" t="n">
        <f aca="false">IF(DS106=$E$106, DS4, -1)</f>
        <v>-1</v>
      </c>
      <c r="DT107" s="570" t="n">
        <f aca="false">IF(DT106=$E$106, DT4, -1)</f>
        <v>-1</v>
      </c>
      <c r="DU107" s="570" t="n">
        <f aca="false">IF(DU106=$E$106, DU4, -1)</f>
        <v>-1</v>
      </c>
      <c r="DV107" s="570" t="n">
        <f aca="false">IF(DV106=$E$106, DV4, -1)</f>
        <v>-1</v>
      </c>
      <c r="DW107" s="570" t="n">
        <f aca="false">IF(DW106=$E$106, DW4, -1)</f>
        <v>-1</v>
      </c>
      <c r="DX107" s="570" t="n">
        <f aca="false">IF(DX106=$E$106, DX4, -1)</f>
        <v>-1</v>
      </c>
      <c r="DY107" s="570" t="n">
        <f aca="false">IF(DY106=$E$106, DY4, -1)</f>
        <v>-1</v>
      </c>
      <c r="DZ107" s="570" t="n">
        <f aca="false">IF(DZ106=$E$106, DZ4, -1)</f>
        <v>-1</v>
      </c>
      <c r="EA107" s="570" t="n">
        <f aca="false">IF(EA106=$E$106, EA4, -1)</f>
        <v>-1</v>
      </c>
      <c r="EB107" s="570" t="n">
        <f aca="false">IF(EB106=$E$106, EB4, -1)</f>
        <v>-1</v>
      </c>
      <c r="EC107" s="570" t="n">
        <f aca="false">IF(EC106=$E$106, EC4, -1)</f>
        <v>-1</v>
      </c>
      <c r="ED107" s="570" t="n">
        <f aca="false">IF(ED106=$E$106, ED4, -1)</f>
        <v>-1</v>
      </c>
      <c r="EE107" s="570" t="n">
        <f aca="false">IF(EE106=$E$106, EE4, -1)</f>
        <v>-1</v>
      </c>
      <c r="EF107" s="570" t="n">
        <f aca="false">IF(EF106=$E$106, EF4, -1)</f>
        <v>-1</v>
      </c>
      <c r="EG107" s="570" t="n">
        <f aca="false">IF(EG106=$E$106, EG4, -1)</f>
        <v>-1</v>
      </c>
      <c r="EH107" s="570" t="n">
        <f aca="false">IF(EH106=$E$106, EH4, -1)</f>
        <v>-1</v>
      </c>
      <c r="EI107" s="600" t="n">
        <f aca="false">IF(EI106=$E$106, EI4, -1)</f>
        <v>-1</v>
      </c>
      <c r="EK107" s="597"/>
      <c r="ET107" s="600"/>
    </row>
    <row r="108" s="522" customFormat="true" ht="13.5" hidden="false" customHeight="true" outlineLevel="1" collapsed="false">
      <c r="B108" s="559" t="s">
        <v>605</v>
      </c>
      <c r="C108" s="557"/>
      <c r="G108" s="522" t="n">
        <v>0</v>
      </c>
      <c r="H108" s="522" t="n">
        <f aca="false">G111</f>
        <v>0</v>
      </c>
      <c r="I108" s="522" t="n">
        <f aca="false">H111</f>
        <v>0</v>
      </c>
      <c r="J108" s="522" t="n">
        <f aca="false">I111</f>
        <v>0</v>
      </c>
      <c r="K108" s="522" t="n">
        <f aca="false">J111</f>
        <v>0</v>
      </c>
      <c r="L108" s="522" t="n">
        <f aca="false">K111</f>
        <v>0</v>
      </c>
      <c r="M108" s="522" t="n">
        <f aca="false">L111</f>
        <v>0</v>
      </c>
      <c r="N108" s="522" t="n">
        <f aca="false">M111</f>
        <v>0</v>
      </c>
      <c r="O108" s="522" t="n">
        <f aca="false">N111</f>
        <v>0</v>
      </c>
      <c r="P108" s="522" t="n">
        <f aca="false">O111</f>
        <v>0</v>
      </c>
      <c r="Q108" s="522" t="n">
        <f aca="false">P111</f>
        <v>0</v>
      </c>
      <c r="R108" s="522" t="n">
        <f aca="false">Q111</f>
        <v>0</v>
      </c>
      <c r="S108" s="522" t="n">
        <f aca="false">R111</f>
        <v>0</v>
      </c>
      <c r="T108" s="522" t="n">
        <f aca="false">S111</f>
        <v>0</v>
      </c>
      <c r="U108" s="522" t="n">
        <f aca="false">T111</f>
        <v>0</v>
      </c>
      <c r="V108" s="522" t="n">
        <f aca="false">U111</f>
        <v>0</v>
      </c>
      <c r="W108" s="522" t="n">
        <f aca="false">V111</f>
        <v>0</v>
      </c>
      <c r="X108" s="522" t="n">
        <f aca="false">W111</f>
        <v>0</v>
      </c>
      <c r="Y108" s="522" t="n">
        <f aca="false">X111</f>
        <v>0</v>
      </c>
      <c r="Z108" s="522" t="n">
        <f aca="false">Y111</f>
        <v>0</v>
      </c>
      <c r="AA108" s="522" t="n">
        <f aca="false">Z111</f>
        <v>0</v>
      </c>
      <c r="AB108" s="522" t="n">
        <f aca="false">AA111</f>
        <v>0</v>
      </c>
      <c r="AC108" s="522" t="n">
        <f aca="false">AB111</f>
        <v>0</v>
      </c>
      <c r="AD108" s="522" t="n">
        <f aca="false">AC111</f>
        <v>0</v>
      </c>
      <c r="AE108" s="522" t="n">
        <f aca="false">AD111</f>
        <v>0</v>
      </c>
      <c r="AF108" s="522" t="n">
        <f aca="false">AE111</f>
        <v>0</v>
      </c>
      <c r="AG108" s="522" t="n">
        <f aca="false">AF111</f>
        <v>0</v>
      </c>
      <c r="AH108" s="522" t="n">
        <f aca="false">AG111</f>
        <v>0</v>
      </c>
      <c r="AI108" s="522" t="n">
        <f aca="false">AH111</f>
        <v>0</v>
      </c>
      <c r="AJ108" s="522" t="n">
        <f aca="false">AI111</f>
        <v>0</v>
      </c>
      <c r="AK108" s="522" t="n">
        <f aca="false">AJ111</f>
        <v>0</v>
      </c>
      <c r="AL108" s="522" t="n">
        <f aca="false">AK111</f>
        <v>0</v>
      </c>
      <c r="AM108" s="522" t="n">
        <f aca="false">AL111</f>
        <v>0</v>
      </c>
      <c r="AN108" s="522" t="n">
        <f aca="false">AM111</f>
        <v>0</v>
      </c>
      <c r="AO108" s="522" t="n">
        <f aca="false">AN111</f>
        <v>0</v>
      </c>
      <c r="AP108" s="522" t="n">
        <f aca="false">AO111</f>
        <v>0</v>
      </c>
      <c r="AQ108" s="522" t="n">
        <f aca="false">AP111</f>
        <v>0</v>
      </c>
      <c r="AR108" s="522" t="n">
        <f aca="false">AQ111</f>
        <v>0</v>
      </c>
      <c r="AS108" s="522" t="n">
        <f aca="false">AR111</f>
        <v>0</v>
      </c>
      <c r="AT108" s="522" t="n">
        <f aca="false">AS111</f>
        <v>0</v>
      </c>
      <c r="AU108" s="522" t="n">
        <f aca="false">AT111</f>
        <v>0</v>
      </c>
      <c r="AV108" s="522" t="n">
        <f aca="false">AU111</f>
        <v>0</v>
      </c>
      <c r="AW108" s="522" t="n">
        <f aca="false">AV111</f>
        <v>0</v>
      </c>
      <c r="AX108" s="522" t="n">
        <f aca="false">AW111</f>
        <v>0</v>
      </c>
      <c r="AY108" s="522" t="n">
        <f aca="false">AX111</f>
        <v>0</v>
      </c>
      <c r="AZ108" s="522" t="n">
        <f aca="false">AY111</f>
        <v>0</v>
      </c>
      <c r="BA108" s="522" t="n">
        <f aca="false">AZ111</f>
        <v>0</v>
      </c>
      <c r="BB108" s="522" t="n">
        <f aca="false">BA111</f>
        <v>0</v>
      </c>
      <c r="BC108" s="522" t="n">
        <f aca="false">BB111</f>
        <v>0</v>
      </c>
      <c r="BD108" s="522" t="n">
        <f aca="false">BC111</f>
        <v>0</v>
      </c>
      <c r="BE108" s="522" t="n">
        <f aca="false">BD111</f>
        <v>0</v>
      </c>
      <c r="BF108" s="522" t="n">
        <f aca="false">BE111</f>
        <v>0</v>
      </c>
      <c r="BG108" s="522" t="n">
        <f aca="false">BF111</f>
        <v>0</v>
      </c>
      <c r="BH108" s="522" t="n">
        <f aca="false">BG111</f>
        <v>0</v>
      </c>
      <c r="BI108" s="522" t="n">
        <f aca="false">BH111</f>
        <v>0</v>
      </c>
      <c r="BJ108" s="522" t="n">
        <f aca="false">BI111</f>
        <v>0</v>
      </c>
      <c r="BK108" s="522" t="n">
        <f aca="false">BJ111</f>
        <v>0</v>
      </c>
      <c r="BL108" s="522" t="n">
        <f aca="false">BK111</f>
        <v>0</v>
      </c>
      <c r="BM108" s="522" t="n">
        <f aca="false">BL111</f>
        <v>0</v>
      </c>
      <c r="BN108" s="522" t="n">
        <f aca="false">BM111</f>
        <v>0</v>
      </c>
      <c r="BO108" s="522" t="n">
        <f aca="false">BN111</f>
        <v>0</v>
      </c>
      <c r="BP108" s="522" t="n">
        <f aca="false">BO111</f>
        <v>0</v>
      </c>
      <c r="BQ108" s="522" t="n">
        <f aca="false">BP111</f>
        <v>0</v>
      </c>
      <c r="BR108" s="522" t="n">
        <f aca="false">BQ111</f>
        <v>0</v>
      </c>
      <c r="BS108" s="522" t="n">
        <f aca="false">BR111</f>
        <v>0</v>
      </c>
      <c r="BT108" s="522" t="n">
        <f aca="false">BS111</f>
        <v>0</v>
      </c>
      <c r="BU108" s="522" t="n">
        <f aca="false">BT111</f>
        <v>0</v>
      </c>
      <c r="BV108" s="522" t="n">
        <f aca="false">BU111</f>
        <v>0</v>
      </c>
      <c r="BW108" s="522" t="n">
        <f aca="false">BV111</f>
        <v>0</v>
      </c>
      <c r="BX108" s="522" t="n">
        <f aca="false">BW111</f>
        <v>0</v>
      </c>
      <c r="BY108" s="522" t="n">
        <f aca="false">BX111</f>
        <v>0</v>
      </c>
      <c r="BZ108" s="522" t="n">
        <f aca="false">BY111</f>
        <v>0</v>
      </c>
      <c r="CA108" s="522" t="n">
        <f aca="false">BZ111</f>
        <v>0</v>
      </c>
      <c r="CB108" s="522" t="n">
        <f aca="false">CA111</f>
        <v>0</v>
      </c>
      <c r="CC108" s="522" t="n">
        <f aca="false">CB111</f>
        <v>0</v>
      </c>
      <c r="CD108" s="522" t="n">
        <f aca="false">CC111</f>
        <v>0</v>
      </c>
      <c r="CE108" s="522" t="n">
        <f aca="false">CD111</f>
        <v>0</v>
      </c>
      <c r="CF108" s="522" t="n">
        <f aca="false">CE111</f>
        <v>0</v>
      </c>
      <c r="CG108" s="522" t="n">
        <f aca="false">CF111</f>
        <v>0</v>
      </c>
      <c r="CH108" s="522" t="n">
        <f aca="false">CG111</f>
        <v>0</v>
      </c>
      <c r="CI108" s="522" t="n">
        <f aca="false">CH111</f>
        <v>0</v>
      </c>
      <c r="CJ108" s="522" t="n">
        <f aca="false">CI111</f>
        <v>0</v>
      </c>
      <c r="CK108" s="522" t="n">
        <f aca="false">CJ111</f>
        <v>0</v>
      </c>
      <c r="CL108" s="522" t="n">
        <f aca="false">CK111</f>
        <v>0</v>
      </c>
      <c r="CM108" s="522" t="n">
        <f aca="false">CL111</f>
        <v>0</v>
      </c>
      <c r="CN108" s="522" t="n">
        <f aca="false">CM111</f>
        <v>0</v>
      </c>
      <c r="CO108" s="522" t="n">
        <f aca="false">CN111</f>
        <v>0</v>
      </c>
      <c r="CP108" s="522" t="n">
        <f aca="false">CO111</f>
        <v>0</v>
      </c>
      <c r="CQ108" s="522" t="n">
        <f aca="false">CP111</f>
        <v>0</v>
      </c>
      <c r="CR108" s="522" t="n">
        <f aca="false">CQ111</f>
        <v>0</v>
      </c>
      <c r="CS108" s="522" t="n">
        <f aca="false">CR111</f>
        <v>0</v>
      </c>
      <c r="CT108" s="522" t="n">
        <f aca="false">CS111</f>
        <v>0</v>
      </c>
      <c r="CU108" s="522" t="n">
        <f aca="false">CT111</f>
        <v>0</v>
      </c>
      <c r="CV108" s="522" t="n">
        <f aca="false">CU111</f>
        <v>0</v>
      </c>
      <c r="CW108" s="522" t="n">
        <f aca="false">CV111</f>
        <v>0</v>
      </c>
      <c r="CX108" s="522" t="n">
        <f aca="false">CW111</f>
        <v>0</v>
      </c>
      <c r="CY108" s="522" t="n">
        <f aca="false">CX111</f>
        <v>0</v>
      </c>
      <c r="CZ108" s="522" t="n">
        <f aca="false">CY111</f>
        <v>0</v>
      </c>
      <c r="DA108" s="522" t="n">
        <f aca="false">CZ111</f>
        <v>0</v>
      </c>
      <c r="DB108" s="522" t="n">
        <f aca="false">DA111</f>
        <v>0</v>
      </c>
      <c r="DC108" s="522" t="n">
        <f aca="false">DB111</f>
        <v>0</v>
      </c>
      <c r="DD108" s="522" t="n">
        <f aca="false">DC111</f>
        <v>0</v>
      </c>
      <c r="DE108" s="522" t="n">
        <f aca="false">DD111</f>
        <v>0</v>
      </c>
      <c r="DF108" s="522" t="n">
        <f aca="false">DE111</f>
        <v>0</v>
      </c>
      <c r="DG108" s="522" t="n">
        <f aca="false">DF111</f>
        <v>0</v>
      </c>
      <c r="DH108" s="522" t="n">
        <f aca="false">DG111</f>
        <v>0</v>
      </c>
      <c r="DI108" s="522" t="n">
        <f aca="false">DH111</f>
        <v>0</v>
      </c>
      <c r="DJ108" s="522" t="n">
        <f aca="false">DI111</f>
        <v>0</v>
      </c>
      <c r="DK108" s="522" t="n">
        <f aca="false">DJ111</f>
        <v>0</v>
      </c>
      <c r="DL108" s="522" t="n">
        <f aca="false">DK111</f>
        <v>0</v>
      </c>
      <c r="DM108" s="522" t="n">
        <f aca="false">DL111</f>
        <v>0</v>
      </c>
      <c r="DN108" s="522" t="n">
        <f aca="false">DM111</f>
        <v>0</v>
      </c>
      <c r="DO108" s="522" t="n">
        <f aca="false">DN111</f>
        <v>0</v>
      </c>
      <c r="DP108" s="522" t="n">
        <f aca="false">DO111</f>
        <v>0</v>
      </c>
      <c r="DQ108" s="522" t="n">
        <f aca="false">DP111</f>
        <v>0</v>
      </c>
      <c r="DR108" s="522" t="n">
        <f aca="false">DQ111</f>
        <v>0</v>
      </c>
      <c r="DS108" s="522" t="n">
        <f aca="false">DR111</f>
        <v>0</v>
      </c>
      <c r="DT108" s="522" t="n">
        <f aca="false">DS111</f>
        <v>0</v>
      </c>
      <c r="DU108" s="522" t="n">
        <f aca="false">DT111</f>
        <v>0</v>
      </c>
      <c r="DV108" s="522" t="n">
        <f aca="false">DU111</f>
        <v>0</v>
      </c>
      <c r="DW108" s="522" t="n">
        <f aca="false">DV111</f>
        <v>0</v>
      </c>
      <c r="DX108" s="522" t="n">
        <f aca="false">DW111</f>
        <v>0</v>
      </c>
      <c r="DY108" s="522" t="n">
        <f aca="false">DX111</f>
        <v>0</v>
      </c>
      <c r="DZ108" s="522" t="n">
        <f aca="false">DY111</f>
        <v>0</v>
      </c>
      <c r="EA108" s="522" t="n">
        <f aca="false">DZ111</f>
        <v>0</v>
      </c>
      <c r="EB108" s="522" t="n">
        <f aca="false">EA111</f>
        <v>0</v>
      </c>
      <c r="EC108" s="522" t="n">
        <f aca="false">EB111</f>
        <v>0</v>
      </c>
      <c r="ED108" s="522" t="n">
        <f aca="false">EC111</f>
        <v>0</v>
      </c>
      <c r="EE108" s="522" t="n">
        <f aca="false">ED111</f>
        <v>0</v>
      </c>
      <c r="EF108" s="522" t="n">
        <f aca="false">EE111</f>
        <v>0</v>
      </c>
      <c r="EG108" s="522" t="n">
        <f aca="false">EF111</f>
        <v>0</v>
      </c>
      <c r="EH108" s="522" t="n">
        <f aca="false">EG111</f>
        <v>0</v>
      </c>
      <c r="EI108" s="558" t="n">
        <f aca="false">EH111</f>
        <v>0</v>
      </c>
      <c r="EK108" s="559"/>
      <c r="ET108" s="558"/>
    </row>
    <row r="109" s="522" customFormat="true" ht="13.5" hidden="false" customHeight="true" outlineLevel="1" collapsed="false">
      <c r="B109" s="559" t="s">
        <v>606</v>
      </c>
      <c r="C109" s="557"/>
      <c r="G109" s="522" t="n">
        <v>0</v>
      </c>
      <c r="H109" s="522" t="n">
        <v>0</v>
      </c>
      <c r="I109" s="522" t="n">
        <v>0</v>
      </c>
      <c r="J109" s="522" t="n">
        <v>0</v>
      </c>
      <c r="K109" s="522" t="n">
        <v>0</v>
      </c>
      <c r="L109" s="522" t="n">
        <v>0</v>
      </c>
      <c r="M109" s="522" t="n">
        <v>0</v>
      </c>
      <c r="N109" s="522" t="n">
        <v>0</v>
      </c>
      <c r="O109" s="522" t="n">
        <v>0</v>
      </c>
      <c r="P109" s="522" t="n">
        <v>0</v>
      </c>
      <c r="Q109" s="522" t="n">
        <v>0</v>
      </c>
      <c r="R109" s="522" t="n">
        <v>0</v>
      </c>
      <c r="S109" s="522" t="n">
        <v>0</v>
      </c>
      <c r="T109" s="522" t="n">
        <v>0</v>
      </c>
      <c r="U109" s="522" t="n">
        <v>0</v>
      </c>
      <c r="V109" s="522" t="n">
        <v>0</v>
      </c>
      <c r="W109" s="522" t="n">
        <v>0</v>
      </c>
      <c r="X109" s="522" t="n">
        <v>0</v>
      </c>
      <c r="Y109" s="522" t="n">
        <v>0</v>
      </c>
      <c r="Z109" s="522" t="n">
        <v>0</v>
      </c>
      <c r="AA109" s="522" t="n">
        <v>0</v>
      </c>
      <c r="AB109" s="522" t="n">
        <v>0</v>
      </c>
      <c r="AC109" s="522" t="n">
        <v>0</v>
      </c>
      <c r="AD109" s="522" t="n">
        <v>0</v>
      </c>
      <c r="AE109" s="522" t="n">
        <v>0</v>
      </c>
      <c r="AF109" s="522" t="n">
        <v>0</v>
      </c>
      <c r="AG109" s="522" t="n">
        <v>0</v>
      </c>
      <c r="AH109" s="522" t="n">
        <v>0</v>
      </c>
      <c r="AI109" s="522" t="n">
        <v>0</v>
      </c>
      <c r="AJ109" s="522" t="n">
        <v>0</v>
      </c>
      <c r="AK109" s="522" t="n">
        <v>0</v>
      </c>
      <c r="AL109" s="522" t="n">
        <v>0</v>
      </c>
      <c r="AM109" s="522" t="n">
        <v>0</v>
      </c>
      <c r="AN109" s="522" t="n">
        <v>0</v>
      </c>
      <c r="AO109" s="522" t="n">
        <v>0</v>
      </c>
      <c r="AP109" s="522" t="n">
        <v>0</v>
      </c>
      <c r="AQ109" s="522" t="n">
        <v>0</v>
      </c>
      <c r="AR109" s="522" t="n">
        <v>0</v>
      </c>
      <c r="AS109" s="522" t="n">
        <v>0</v>
      </c>
      <c r="AT109" s="522" t="n">
        <v>0</v>
      </c>
      <c r="AU109" s="522" t="n">
        <v>0</v>
      </c>
      <c r="AV109" s="522" t="n">
        <v>0</v>
      </c>
      <c r="AW109" s="522" t="n">
        <v>0</v>
      </c>
      <c r="AX109" s="522" t="n">
        <v>0</v>
      </c>
      <c r="AY109" s="522" t="n">
        <v>0</v>
      </c>
      <c r="AZ109" s="522" t="n">
        <v>0</v>
      </c>
      <c r="BA109" s="522" t="n">
        <v>0</v>
      </c>
      <c r="BB109" s="522" t="n">
        <v>0</v>
      </c>
      <c r="BC109" s="522" t="n">
        <v>0</v>
      </c>
      <c r="BD109" s="522" t="n">
        <v>0</v>
      </c>
      <c r="BE109" s="522" t="n">
        <v>0</v>
      </c>
      <c r="BF109" s="522" t="n">
        <v>0</v>
      </c>
      <c r="BG109" s="522" t="n">
        <v>0</v>
      </c>
      <c r="BH109" s="522" t="n">
        <v>0</v>
      </c>
      <c r="BI109" s="522" t="n">
        <v>0</v>
      </c>
      <c r="BJ109" s="522" t="n">
        <v>0</v>
      </c>
      <c r="BK109" s="522" t="n">
        <v>0</v>
      </c>
      <c r="BL109" s="522" t="n">
        <v>0</v>
      </c>
      <c r="BM109" s="522" t="n">
        <v>0</v>
      </c>
      <c r="BN109" s="522" t="n">
        <v>0</v>
      </c>
      <c r="BO109" s="522" t="n">
        <v>0</v>
      </c>
      <c r="BP109" s="522" t="n">
        <v>0</v>
      </c>
      <c r="BQ109" s="522" t="n">
        <v>0</v>
      </c>
      <c r="BR109" s="522" t="n">
        <v>0</v>
      </c>
      <c r="BS109" s="522" t="n">
        <v>0</v>
      </c>
      <c r="BT109" s="522" t="n">
        <v>0</v>
      </c>
      <c r="BU109" s="522" t="n">
        <v>0</v>
      </c>
      <c r="BV109" s="522" t="n">
        <v>0</v>
      </c>
      <c r="BW109" s="522" t="n">
        <v>0</v>
      </c>
      <c r="BX109" s="522" t="n">
        <v>0</v>
      </c>
      <c r="BY109" s="522" t="n">
        <v>0</v>
      </c>
      <c r="BZ109" s="522" t="n">
        <v>0</v>
      </c>
      <c r="CA109" s="522" t="n">
        <v>0</v>
      </c>
      <c r="CB109" s="522" t="n">
        <v>0</v>
      </c>
      <c r="CC109" s="522" t="n">
        <v>0</v>
      </c>
      <c r="CD109" s="522" t="n">
        <v>0</v>
      </c>
      <c r="CE109" s="522" t="n">
        <v>0</v>
      </c>
      <c r="CF109" s="522" t="n">
        <v>0</v>
      </c>
      <c r="CG109" s="522" t="n">
        <v>0</v>
      </c>
      <c r="CH109" s="522" t="n">
        <v>0</v>
      </c>
      <c r="CI109" s="522" t="n">
        <v>0</v>
      </c>
      <c r="CJ109" s="522" t="n">
        <v>0</v>
      </c>
      <c r="CK109" s="522" t="n">
        <v>0</v>
      </c>
      <c r="CL109" s="522" t="n">
        <v>0</v>
      </c>
      <c r="CM109" s="522" t="n">
        <v>0</v>
      </c>
      <c r="CN109" s="522" t="n">
        <v>0</v>
      </c>
      <c r="CO109" s="522" t="n">
        <v>0</v>
      </c>
      <c r="CP109" s="522" t="n">
        <v>0</v>
      </c>
      <c r="CQ109" s="522" t="n">
        <v>0</v>
      </c>
      <c r="CR109" s="522" t="n">
        <v>0</v>
      </c>
      <c r="CS109" s="522" t="n">
        <v>0</v>
      </c>
      <c r="CT109" s="522" t="n">
        <v>0</v>
      </c>
      <c r="CU109" s="522" t="n">
        <v>0</v>
      </c>
      <c r="CV109" s="522" t="n">
        <v>0</v>
      </c>
      <c r="CW109" s="522" t="n">
        <v>0</v>
      </c>
      <c r="CX109" s="522" t="n">
        <v>0</v>
      </c>
      <c r="CY109" s="522" t="n">
        <v>0</v>
      </c>
      <c r="CZ109" s="522" t="n">
        <v>0</v>
      </c>
      <c r="DA109" s="522" t="n">
        <v>0</v>
      </c>
      <c r="DB109" s="522" t="n">
        <v>0</v>
      </c>
      <c r="DC109" s="522" t="n">
        <v>0</v>
      </c>
      <c r="DD109" s="522" t="n">
        <v>0</v>
      </c>
      <c r="DE109" s="522" t="n">
        <v>0</v>
      </c>
      <c r="DF109" s="522" t="n">
        <v>0</v>
      </c>
      <c r="DG109" s="522" t="n">
        <v>0</v>
      </c>
      <c r="DH109" s="522" t="n">
        <v>0</v>
      </c>
      <c r="DI109" s="522" t="n">
        <v>0</v>
      </c>
      <c r="DJ109" s="522" t="n">
        <v>0</v>
      </c>
      <c r="DK109" s="522" t="n">
        <v>0</v>
      </c>
      <c r="DL109" s="522" t="n">
        <v>0</v>
      </c>
      <c r="DM109" s="522" t="n">
        <v>0</v>
      </c>
      <c r="DN109" s="522" t="n">
        <v>0</v>
      </c>
      <c r="DO109" s="522" t="n">
        <v>0</v>
      </c>
      <c r="DP109" s="522" t="n">
        <v>0</v>
      </c>
      <c r="DQ109" s="522" t="n">
        <v>0</v>
      </c>
      <c r="DR109" s="522" t="n">
        <v>0</v>
      </c>
      <c r="DS109" s="522" t="n">
        <v>0</v>
      </c>
      <c r="DT109" s="522" t="n">
        <v>0</v>
      </c>
      <c r="DU109" s="522" t="n">
        <v>0</v>
      </c>
      <c r="DV109" s="522" t="n">
        <v>0</v>
      </c>
      <c r="DW109" s="522" t="n">
        <v>0</v>
      </c>
      <c r="DX109" s="522" t="n">
        <v>0</v>
      </c>
      <c r="DY109" s="522" t="n">
        <v>0</v>
      </c>
      <c r="DZ109" s="522" t="n">
        <v>0</v>
      </c>
      <c r="EA109" s="522" t="n">
        <v>0</v>
      </c>
      <c r="EB109" s="522" t="n">
        <v>0</v>
      </c>
      <c r="EC109" s="522" t="n">
        <v>0</v>
      </c>
      <c r="ED109" s="522" t="n">
        <v>0</v>
      </c>
      <c r="EE109" s="522" t="n">
        <v>0</v>
      </c>
      <c r="EF109" s="522" t="n">
        <v>0</v>
      </c>
      <c r="EG109" s="522" t="n">
        <v>0</v>
      </c>
      <c r="EH109" s="522" t="n">
        <v>0</v>
      </c>
      <c r="EI109" s="558" t="n">
        <v>0</v>
      </c>
      <c r="EK109" s="559"/>
      <c r="ET109" s="558"/>
    </row>
    <row r="110" s="522" customFormat="true" ht="13.5" hidden="false" customHeight="true" outlineLevel="1" collapsed="false">
      <c r="B110" s="559" t="s">
        <v>607</v>
      </c>
      <c r="C110" s="557"/>
      <c r="G110" s="522" t="n">
        <f aca="false">MAX(-G66,-G109)</f>
        <v>-0</v>
      </c>
      <c r="H110" s="522" t="n">
        <f aca="false">IF('Executive Summary'!$C$53="Max CF", IF(H4&lt;'Executive Summary'!$I$13,-MIN(H108,SUM(H62:H64)),-H108),-MAX(IF(H4&lt;$E$107, MIN(-(H159+SUM(H71:H75)),H108),H108),H108*(H4='Executive Summary'!$I$13)))</f>
        <v>-0</v>
      </c>
      <c r="I110" s="522" t="n">
        <f aca="false">IF('Executive Summary'!$C$53="Max CF", IF(I4&lt;'Executive Summary'!$I$13,-MIN(I108,SUM(I62:I64)),-I108),-MAX(IF(I4&lt;$E$107, MIN(-(I159+SUM(I71:I75)),I108),I108),I108*(I4='Executive Summary'!$I$13)))</f>
        <v>-0</v>
      </c>
      <c r="J110" s="522" t="n">
        <f aca="false">IF('Executive Summary'!$C$53="Max CF", IF(J4&lt;'Executive Summary'!$I$13,-MIN(J108,SUM(J62:J64)),-J108),-MAX(IF(J4&lt;$E$107, MIN(-(J159+SUM(J71:J75)),J108),J108),J108*(J4='Executive Summary'!$I$13)))</f>
        <v>-0</v>
      </c>
      <c r="K110" s="522" t="n">
        <f aca="false">IF('Executive Summary'!$C$53="Max CF", IF(K4&lt;'Executive Summary'!$I$13,-MIN(K108,SUM(K62:K64)),-K108),-MAX(IF(K4&lt;$E$107, MIN(-(K159+SUM(K71:K75)),K108),K108),K108*(K4='Executive Summary'!$I$13)))</f>
        <v>-0</v>
      </c>
      <c r="L110" s="522" t="n">
        <f aca="false">IF('Executive Summary'!$C$53="Max CF", IF(L4&lt;'Executive Summary'!$I$13,-MIN(L108,SUM(L62:L64)),-L108),-MAX(IF(L4&lt;$E$107, MIN(-(L159+SUM(L71:L75)),L108),L108),L108*(L4='Executive Summary'!$I$13)))</f>
        <v>-0</v>
      </c>
      <c r="M110" s="522" t="n">
        <f aca="false">IF('Executive Summary'!$C$53="Max CF", IF(M4&lt;'Executive Summary'!$I$13,-MIN(M108,SUM(M62:M64)),-M108),-MAX(IF(M4&lt;$E$107, MIN(-(M159+SUM(M71:M75)),M108),M108),M108*(M4='Executive Summary'!$I$13)))</f>
        <v>-0</v>
      </c>
      <c r="N110" s="522" t="n">
        <f aca="false">IF('Executive Summary'!$C$53="Max CF", IF(N4&lt;'Executive Summary'!$I$13,-MIN(N108,SUM(N62:N64)),-N108),-MAX(IF(N4&lt;$E$107, MIN(-(N159+SUM(N71:N75)),N108),N108),N108*(N4='Executive Summary'!$I$13)))</f>
        <v>-0</v>
      </c>
      <c r="O110" s="522" t="n">
        <f aca="false">IF('Executive Summary'!$C$53="Max CF", IF(O4&lt;'Executive Summary'!$I$13,-MIN(O108,SUM(O62:O64)),-O108),-MAX(IF(O4&lt;$E$107, MIN(-(O159+SUM(O71:O75)),O108),O108),O108*(O4='Executive Summary'!$I$13)))</f>
        <v>-0</v>
      </c>
      <c r="P110" s="522" t="n">
        <f aca="false">IF('Executive Summary'!$C$53="Max CF", IF(P4&lt;'Executive Summary'!$I$13,-MIN(P108,SUM(P62:P64)),-P108),-MAX(IF(P4&lt;$E$107, MIN(-(P159+SUM(P71:P75)),P108),P108),P108*(P4='Executive Summary'!$I$13)))</f>
        <v>-0</v>
      </c>
      <c r="Q110" s="522" t="n">
        <f aca="false">IF('Executive Summary'!$C$53="Max CF", IF(Q4&lt;'Executive Summary'!$I$13,-MIN(Q108,SUM(Q62:Q64)),-Q108),-MAX(IF(Q4&lt;$E$107, MIN(-(Q159+SUM(Q71:Q75)),Q108),Q108),Q108*(Q4='Executive Summary'!$I$13)))</f>
        <v>-0</v>
      </c>
      <c r="R110" s="522" t="n">
        <f aca="false">IF('Executive Summary'!$C$53="Max CF", IF(R4&lt;'Executive Summary'!$I$13,-MIN(R108,SUM(R62:R64)),-R108),-MAX(IF(R4&lt;$E$107, MIN(-(R159+SUM(R71:R75)),R108),R108),R108*(R4='Executive Summary'!$I$13)))</f>
        <v>-0</v>
      </c>
      <c r="S110" s="522" t="n">
        <f aca="false">IF('Executive Summary'!$C$53="Max CF", IF(S4&lt;'Executive Summary'!$I$13,-MIN(S108,SUM(S62:S64)),-S108),-MAX(IF(S4&lt;$E$107, MIN(-(S159+SUM(S71:S75)),S108),S108),S108*(S4='Executive Summary'!$I$13)))</f>
        <v>-0</v>
      </c>
      <c r="T110" s="522" t="n">
        <f aca="false">IF('Executive Summary'!$C$53="Max CF", IF(T4&lt;'Executive Summary'!$I$13,-MIN(T108,SUM(T62:T64)),-T108),-MAX(IF(T4&lt;$E$107, MIN(-(T159+SUM(T71:T75)),T108),T108),T108*(T4='Executive Summary'!$I$13)))</f>
        <v>-0</v>
      </c>
      <c r="U110" s="522" t="n">
        <f aca="false">IF('Executive Summary'!$C$53="Max CF", IF(U4&lt;'Executive Summary'!$I$13,-MIN(U108,SUM(U62:U64)),-U108),-MAX(IF(U4&lt;$E$107, MIN(-(U159+SUM(U71:U75)),U108),U108),U108*(U4='Executive Summary'!$I$13)))</f>
        <v>-0</v>
      </c>
      <c r="V110" s="522" t="n">
        <f aca="false">IF('Executive Summary'!$C$53="Max CF", IF(V4&lt;'Executive Summary'!$I$13,-MIN(V108,SUM(V62:V64)),-V108),-MAX(IF(V4&lt;$E$107, MIN(-(V159+SUM(V71:V75)),V108),V108),V108*(V4='Executive Summary'!$I$13)))</f>
        <v>-0</v>
      </c>
      <c r="W110" s="522" t="n">
        <f aca="false">IF('Executive Summary'!$C$53="Max CF", IF(W4&lt;'Executive Summary'!$I$13,-MIN(W108,SUM(W62:W64)),-W108),-MAX(IF(W4&lt;$E$107, MIN(-(W159+SUM(W71:W75)),W108),W108),W108*(W4='Executive Summary'!$I$13)))</f>
        <v>-0</v>
      </c>
      <c r="X110" s="522" t="n">
        <f aca="false">IF('Executive Summary'!$C$53="Max CF", IF(X4&lt;'Executive Summary'!$I$13,-MIN(X108,SUM(X62:X64)),-X108),-MAX(IF(X4&lt;$E$107, MIN(-(X159+SUM(X71:X75)),X108),X108),X108*(X4='Executive Summary'!$I$13)))</f>
        <v>-0</v>
      </c>
      <c r="Y110" s="522" t="n">
        <f aca="false">IF('Executive Summary'!$C$53="Max CF", IF(Y4&lt;'Executive Summary'!$I$13,-MIN(Y108,SUM(Y62:Y64)),-Y108),-MAX(IF(Y4&lt;$E$107, MIN(-(Y159+SUM(Y71:Y75)),Y108),Y108),Y108*(Y4='Executive Summary'!$I$13)))</f>
        <v>-0</v>
      </c>
      <c r="Z110" s="522" t="n">
        <f aca="false">IF('Executive Summary'!$C$53="Max CF", IF(Z4&lt;'Executive Summary'!$I$13,-MIN(Z108,SUM(Z62:Z64)),-Z108),-MAX(IF(Z4&lt;$E$107, MIN(-(Z159+SUM(Z71:Z75)),Z108),Z108),Z108*(Z4='Executive Summary'!$I$13)))</f>
        <v>-0</v>
      </c>
      <c r="AA110" s="522" t="n">
        <f aca="false">IF('Executive Summary'!$C$53="Max CF", IF(AA4&lt;'Executive Summary'!$I$13,-MIN(AA108,SUM(AA62:AA64)),-AA108),-MAX(IF(AA4&lt;$E$107, MIN(-(AA159+SUM(AA71:AA75)),AA108),AA108),AA108*(AA4='Executive Summary'!$I$13)))</f>
        <v>-0</v>
      </c>
      <c r="AB110" s="522" t="n">
        <f aca="false">IF('Executive Summary'!$C$53="Max CF", IF(AB4&lt;'Executive Summary'!$I$13,-MIN(AB108,SUM(AB62:AB64)),-AB108),-MAX(IF(AB4&lt;$E$107, MIN(-(AB159+SUM(AB71:AB75)),AB108),AB108),AB108*(AB4='Executive Summary'!$I$13)))</f>
        <v>-0</v>
      </c>
      <c r="AC110" s="522" t="n">
        <f aca="false">IF('Executive Summary'!$C$53="Max CF", IF(AC4&lt;'Executive Summary'!$I$13,-MIN(AC108,SUM(AC62:AC64)),-AC108),-MAX(IF(AC4&lt;$E$107, MIN(-(AC159+SUM(AC71:AC75)),AC108),AC108),AC108*(AC4='Executive Summary'!$I$13)))</f>
        <v>-0</v>
      </c>
      <c r="AD110" s="522" t="n">
        <f aca="false">IF('Executive Summary'!$C$53="Max CF", IF(AD4&lt;'Executive Summary'!$I$13,-MIN(AD108,SUM(AD62:AD64)),-AD108),-MAX(IF(AD4&lt;$E$107, MIN(-(AD159+SUM(AD71:AD75)),AD108),AD108),AD108*(AD4='Executive Summary'!$I$13)))</f>
        <v>-0</v>
      </c>
      <c r="AE110" s="522" t="n">
        <f aca="false">IF('Executive Summary'!$C$53="Max CF", IF(AE4&lt;'Executive Summary'!$I$13,-MIN(AE108,SUM(AE62:AE64)),-AE108),-MAX(IF(AE4&lt;$E$107, MIN(-(AE159+SUM(AE71:AE75)),AE108),AE108),AE108*(AE4='Executive Summary'!$I$13)))</f>
        <v>-0</v>
      </c>
      <c r="AF110" s="522" t="n">
        <f aca="false">IF('Executive Summary'!$C$53="Max CF", IF(AF4&lt;'Executive Summary'!$I$13,-MIN(AF108,SUM(AF62:AF64)),-AF108),-MAX(IF(AF4&lt;$E$107, MIN(-(AF159+SUM(AF71:AF75)),AF108),AF108),AF108*(AF4='Executive Summary'!$I$13)))</f>
        <v>-0</v>
      </c>
      <c r="AG110" s="522" t="n">
        <f aca="false">IF('Executive Summary'!$C$53="Max CF", IF(AG4&lt;'Executive Summary'!$I$13,-MIN(AG108,SUM(AG62:AG64)),-AG108),-MAX(IF(AG4&lt;$E$107, MIN(-(AG159+SUM(AG71:AG75)),AG108),AG108),AG108*(AG4='Executive Summary'!$I$13)))</f>
        <v>-0</v>
      </c>
      <c r="AH110" s="522" t="n">
        <f aca="false">IF('Executive Summary'!$C$53="Max CF", IF(AH4&lt;'Executive Summary'!$I$13,-MIN(AH108,SUM(AH62:AH64)),-AH108),-MAX(IF(AH4&lt;$E$107, MIN(-(AH159+SUM(AH71:AH75)),AH108),AH108),AH108*(AH4='Executive Summary'!$I$13)))</f>
        <v>-0</v>
      </c>
      <c r="AI110" s="522" t="n">
        <f aca="false">IF('Executive Summary'!$C$53="Max CF", IF(AI4&lt;'Executive Summary'!$I$13,-MIN(AI108,SUM(AI62:AI64)),-AI108),-MAX(IF(AI4&lt;$E$107, MIN(-(AI159+SUM(AI71:AI75)),AI108),AI108),AI108*(AI4='Executive Summary'!$I$13)))</f>
        <v>-0</v>
      </c>
      <c r="AJ110" s="522" t="n">
        <f aca="false">IF('Executive Summary'!$C$53="Max CF", IF(AJ4&lt;'Executive Summary'!$I$13,-MIN(AJ108,SUM(AJ62:AJ64)),-AJ108),-MAX(IF(AJ4&lt;$E$107, MIN(-(AJ159+SUM(AJ71:AJ75)),AJ108),AJ108),AJ108*(AJ4='Executive Summary'!$I$13)))</f>
        <v>-0</v>
      </c>
      <c r="AK110" s="522" t="n">
        <f aca="false">IF('Executive Summary'!$C$53="Max CF", IF(AK4&lt;'Executive Summary'!$I$13,-MIN(AK108,SUM(AK62:AK64)),-AK108),-MAX(IF(AK4&lt;$E$107, MIN(-(AK159+SUM(AK71:AK75)),AK108),AK108),AK108*(AK4='Executive Summary'!$I$13)))</f>
        <v>-0</v>
      </c>
      <c r="AL110" s="522" t="n">
        <f aca="false">IF('Executive Summary'!$C$53="Max CF", IF(AL4&lt;'Executive Summary'!$I$13,-MIN(AL108,SUM(AL62:AL64)),-AL108),-MAX(IF(AL4&lt;$E$107, MIN(-(AL159+SUM(AL71:AL75)),AL108),AL108),AL108*(AL4='Executive Summary'!$I$13)))</f>
        <v>-0</v>
      </c>
      <c r="AM110" s="522" t="n">
        <f aca="false">IF('Executive Summary'!$C$53="Max CF", IF(AM4&lt;'Executive Summary'!$I$13,-MIN(AM108,SUM(AM62:AM64)),-AM108),-MAX(IF(AM4&lt;$E$107, MIN(-(AM159+SUM(AM71:AM75)),AM108),AM108),AM108*(AM4='Executive Summary'!$I$13)))</f>
        <v>-0</v>
      </c>
      <c r="AN110" s="522" t="n">
        <f aca="false">IF('Executive Summary'!$C$53="Max CF", IF(AN4&lt;'Executive Summary'!$I$13,-MIN(AN108,SUM(AN62:AN64)),-AN108),-MAX(IF(AN4&lt;$E$107, MIN(-(AN159+SUM(AN71:AN75)),AN108),AN108),AN108*(AN4='Executive Summary'!$I$13)))</f>
        <v>-0</v>
      </c>
      <c r="AO110" s="522" t="n">
        <f aca="false">IF('Executive Summary'!$C$53="Max CF", IF(AO4&lt;'Executive Summary'!$I$13,-MIN(AO108,SUM(AO62:AO64)),-AO108),-MAX(IF(AO4&lt;$E$107, MIN(-(AO159+SUM(AO71:AO75)),AO108),AO108),AO108*(AO4='Executive Summary'!$I$13)))</f>
        <v>-0</v>
      </c>
      <c r="AP110" s="522" t="n">
        <f aca="false">IF('Executive Summary'!$C$53="Max CF", IF(AP4&lt;'Executive Summary'!$I$13,-MIN(AP108,SUM(AP62:AP64)),-AP108),-MAX(IF(AP4&lt;$E$107, MIN(-(AP159+SUM(AP71:AP75)),AP108),AP108),AP108*(AP4='Executive Summary'!$I$13)))</f>
        <v>-0</v>
      </c>
      <c r="AQ110" s="522" t="n">
        <f aca="false">IF('Executive Summary'!$C$53="Max CF", IF(AQ4&lt;'Executive Summary'!$I$13,-MIN(AQ108,SUM(AQ62:AQ64)),-AQ108),-MAX(IF(AQ4&lt;$E$107, MIN(-(AQ159+SUM(AQ71:AQ75)),AQ108),AQ108),AQ108*(AQ4='Executive Summary'!$I$13)))</f>
        <v>-0</v>
      </c>
      <c r="AR110" s="522" t="n">
        <f aca="false">IF('Executive Summary'!$C$53="Max CF", IF(AR4&lt;'Executive Summary'!$I$13,-MIN(AR108,SUM(AR62:AR64)),-AR108),-MAX(IF(AR4&lt;$E$107, MIN(-(AR159+SUM(AR71:AR75)),AR108),AR108),AR108*(AR4='Executive Summary'!$I$13)))</f>
        <v>-0</v>
      </c>
      <c r="AS110" s="522" t="n">
        <f aca="false">IF('Executive Summary'!$C$53="Max CF", IF(AS4&lt;'Executive Summary'!$I$13,-MIN(AS108,SUM(AS62:AS64)),-AS108),-MAX(IF(AS4&lt;$E$107, MIN(-(AS159+SUM(AS71:AS75)),AS108),AS108),AS108*(AS4='Executive Summary'!$I$13)))</f>
        <v>-0</v>
      </c>
      <c r="AT110" s="522" t="n">
        <f aca="false">IF('Executive Summary'!$C$53="Max CF", IF(AT4&lt;'Executive Summary'!$I$13,-MIN(AT108,SUM(AT62:AT64)),-AT108),-MAX(IF(AT4&lt;$E$107, MIN(-(AT159+SUM(AT71:AT75)),AT108),AT108),AT108*(AT4='Executive Summary'!$I$13)))</f>
        <v>-0</v>
      </c>
      <c r="AU110" s="522" t="n">
        <f aca="false">IF('Executive Summary'!$C$53="Max CF", IF(AU4&lt;'Executive Summary'!$I$13,-MIN(AU108,SUM(AU62:AU64)),-AU108),-MAX(IF(AU4&lt;$E$107, MIN(-(AU159+SUM(AU71:AU75)),AU108),AU108),AU108*(AU4='Executive Summary'!$I$13)))</f>
        <v>-0</v>
      </c>
      <c r="AV110" s="522" t="n">
        <f aca="false">IF('Executive Summary'!$C$53="Max CF", IF(AV4&lt;'Executive Summary'!$I$13,-MIN(AV108,SUM(AV62:AV64)),-AV108),-MAX(IF(AV4&lt;$E$107, MIN(-(AV159+SUM(AV71:AV75)),AV108),AV108),AV108*(AV4='Executive Summary'!$I$13)))</f>
        <v>-0</v>
      </c>
      <c r="AW110" s="522" t="n">
        <f aca="false">IF('Executive Summary'!$C$53="Max CF", IF(AW4&lt;'Executive Summary'!$I$13,-MIN(AW108,SUM(AW62:AW64)),-AW108),-MAX(IF(AW4&lt;$E$107, MIN(-(AW159+SUM(AW71:AW75)),AW108),AW108),AW108*(AW4='Executive Summary'!$I$13)))</f>
        <v>-0</v>
      </c>
      <c r="AX110" s="522" t="n">
        <f aca="false">IF('Executive Summary'!$C$53="Max CF", IF(AX4&lt;'Executive Summary'!$I$13,-MIN(AX108,SUM(AX62:AX64)),-AX108),-MAX(IF(AX4&lt;$E$107, MIN(-(AX159+SUM(AX71:AX75)),AX108),AX108),AX108*(AX4='Executive Summary'!$I$13)))</f>
        <v>-0</v>
      </c>
      <c r="AY110" s="522" t="n">
        <f aca="false">IF('Executive Summary'!$C$53="Max CF", IF(AY4&lt;'Executive Summary'!$I$13,-MIN(AY108,SUM(AY62:AY64)),-AY108),-MAX(IF(AY4&lt;$E$107, MIN(-(AY159+SUM(AY71:AY75)),AY108),AY108),AY108*(AY4='Executive Summary'!$I$13)))</f>
        <v>-0</v>
      </c>
      <c r="AZ110" s="522" t="n">
        <f aca="false">IF('Executive Summary'!$C$53="Max CF", IF(AZ4&lt;'Executive Summary'!$I$13,-MIN(AZ108,SUM(AZ62:AZ64)),-AZ108),-MAX(IF(AZ4&lt;$E$107, MIN(-(AZ159+SUM(AZ71:AZ75)),AZ108),AZ108),AZ108*(AZ4='Executive Summary'!$I$13)))</f>
        <v>-0</v>
      </c>
      <c r="BA110" s="522" t="n">
        <f aca="false">IF('Executive Summary'!$C$53="Max CF", IF(BA4&lt;'Executive Summary'!$I$13,-MIN(BA108,SUM(BA62:BA64)),-BA108),-MAX(IF(BA4&lt;$E$107, MIN(-(BA159+SUM(BA71:BA75)),BA108),BA108),BA108*(BA4='Executive Summary'!$I$13)))</f>
        <v>-0</v>
      </c>
      <c r="BB110" s="522" t="n">
        <f aca="false">IF('Executive Summary'!$C$53="Max CF", IF(BB4&lt;'Executive Summary'!$I$13,-MIN(BB108,SUM(BB62:BB64)),-BB108),-MAX(IF(BB4&lt;$E$107, MIN(-(BB159+SUM(BB71:BB75)),BB108),BB108),BB108*(BB4='Executive Summary'!$I$13)))</f>
        <v>-0</v>
      </c>
      <c r="BC110" s="522" t="n">
        <f aca="false">IF('Executive Summary'!$C$53="Max CF", IF(BC4&lt;'Executive Summary'!$I$13,-MIN(BC108,SUM(BC62:BC64)),-BC108),-MAX(IF(BC4&lt;$E$107, MIN(-(BC159+SUM(BC71:BC75)),BC108),BC108),BC108*(BC4='Executive Summary'!$I$13)))</f>
        <v>-0</v>
      </c>
      <c r="BD110" s="522" t="n">
        <f aca="false">IF('Executive Summary'!$C$53="Max CF", IF(BD4&lt;'Executive Summary'!$I$13,-MIN(BD108,SUM(BD62:BD64)),-BD108),-MAX(IF(BD4&lt;$E$107, MIN(-(BD159+SUM(BD71:BD75)),BD108),BD108),BD108*(BD4='Executive Summary'!$I$13)))</f>
        <v>-0</v>
      </c>
      <c r="BE110" s="522" t="n">
        <f aca="false">IF('Executive Summary'!$C$53="Max CF", IF(BE4&lt;'Executive Summary'!$I$13,-MIN(BE108,SUM(BE62:BE64)),-BE108),-MAX(IF(BE4&lt;$E$107, MIN(-(BE159+SUM(BE71:BE75)),BE108),BE108),BE108*(BE4='Executive Summary'!$I$13)))</f>
        <v>-0</v>
      </c>
      <c r="BF110" s="522" t="n">
        <f aca="false">IF('Executive Summary'!$C$53="Max CF", IF(BF4&lt;'Executive Summary'!$I$13,-MIN(BF108,SUM(BF62:BF64)),-BF108),-MAX(IF(BF4&lt;$E$107, MIN(-(BF159+SUM(BF71:BF75)),BF108),BF108),BF108*(BF4='Executive Summary'!$I$13)))</f>
        <v>-0</v>
      </c>
      <c r="BG110" s="522" t="n">
        <f aca="false">IF('Executive Summary'!$C$53="Max CF", IF(BG4&lt;'Executive Summary'!$I$13,-MIN(BG108,SUM(BG62:BG64)),-BG108),-MAX(IF(BG4&lt;$E$107, MIN(-(BG159+SUM(BG71:BG75)),BG108),BG108),BG108*(BG4='Executive Summary'!$I$13)))</f>
        <v>-0</v>
      </c>
      <c r="BH110" s="522" t="n">
        <f aca="false">IF('Executive Summary'!$C$53="Max CF", IF(BH4&lt;'Executive Summary'!$I$13,-MIN(BH108,SUM(BH62:BH64)),-BH108),-MAX(IF(BH4&lt;$E$107, MIN(-(BH159+SUM(BH71:BH75)),BH108),BH108),BH108*(BH4='Executive Summary'!$I$13)))</f>
        <v>-0</v>
      </c>
      <c r="BI110" s="522" t="n">
        <f aca="false">IF('Executive Summary'!$C$53="Max CF", IF(BI4&lt;'Executive Summary'!$I$13,-MIN(BI108,SUM(BI62:BI64)),-BI108),-MAX(IF(BI4&lt;$E$107, MIN(-(BI159+SUM(BI71:BI75)),BI108),BI108),BI108*(BI4='Executive Summary'!$I$13)))</f>
        <v>-0</v>
      </c>
      <c r="BJ110" s="522" t="n">
        <f aca="false">IF('Executive Summary'!$C$53="Max CF", IF(BJ4&lt;'Executive Summary'!$I$13,-MIN(BJ108,SUM(BJ62:BJ64)),-BJ108),-MAX(IF(BJ4&lt;$E$107, MIN(-(BJ159+SUM(BJ71:BJ75)),BJ108),BJ108),BJ108*(BJ4='Executive Summary'!$I$13)))</f>
        <v>-0</v>
      </c>
      <c r="BK110" s="522" t="n">
        <f aca="false">IF('Executive Summary'!$C$53="Max CF", IF(BK4&lt;'Executive Summary'!$I$13,-MIN(BK108,SUM(BK62:BK64)),-BK108),-MAX(IF(BK4&lt;$E$107, MIN(-(BK159+SUM(BK71:BK75)),BK108),BK108),BK108*(BK4='Executive Summary'!$I$13)))</f>
        <v>-0</v>
      </c>
      <c r="BL110" s="522" t="n">
        <f aca="false">IF('Executive Summary'!$C$53="Max CF", IF(BL4&lt;'Executive Summary'!$I$13,-MIN(BL108,SUM(BL62:BL64)),-BL108),-MAX(IF(BL4&lt;$E$107, MIN(-(BL159+SUM(BL71:BL75)),BL108),BL108),BL108*(BL4='Executive Summary'!$I$13)))</f>
        <v>-0</v>
      </c>
      <c r="BM110" s="522" t="n">
        <f aca="false">IF('Executive Summary'!$C$53="Max CF", IF(BM4&lt;'Executive Summary'!$I$13,-MIN(BM108,SUM(BM62:BM64)),-BM108),-MAX(IF(BM4&lt;$E$107, MIN(-(BM159+SUM(BM71:BM75)),BM108),BM108),BM108*(BM4='Executive Summary'!$I$13)))</f>
        <v>-0</v>
      </c>
      <c r="BN110" s="522" t="n">
        <f aca="false">IF('Executive Summary'!$C$53="Max CF", IF(BN4&lt;'Executive Summary'!$I$13,-MIN(BN108,SUM(BN62:BN64)),-BN108),-MAX(IF(BN4&lt;$E$107, MIN(-(BN159+SUM(BN71:BN75)),BN108),BN108),BN108*(BN4='Executive Summary'!$I$13)))</f>
        <v>-0</v>
      </c>
      <c r="BO110" s="522" t="n">
        <f aca="false">IF('Executive Summary'!$C$53="Max CF", IF(BO4&lt;'Executive Summary'!$I$13,-MIN(BO108,SUM(BO62:BO64)),-BO108),-MAX(IF(BO4&lt;$E$107, MIN(-(BO159+SUM(BO71:BO75)),BO108),BO108),BO108*(BO4='Executive Summary'!$I$13)))</f>
        <v>-0</v>
      </c>
      <c r="BP110" s="522" t="n">
        <f aca="false">IF('Executive Summary'!$C$53="Max CF", IF(BP4&lt;'Executive Summary'!$I$13,-MIN(BP108,SUM(BP62:BP64)),-BP108),-MAX(IF(BP4&lt;$E$107, MIN(-(BP159+SUM(BP71:BP75)),BP108),BP108),BP108*(BP4='Executive Summary'!$I$13)))</f>
        <v>-0</v>
      </c>
      <c r="BQ110" s="522" t="n">
        <f aca="false">IF('Executive Summary'!$C$53="Max CF", IF(BQ4&lt;'Executive Summary'!$I$13,-MIN(BQ108,SUM(BQ62:BQ64)),-BQ108),-MAX(IF(BQ4&lt;$E$107, MIN(-(BQ159+SUM(BQ71:BQ75)),BQ108),BQ108),BQ108*(BQ4='Executive Summary'!$I$13)))</f>
        <v>-0</v>
      </c>
      <c r="BR110" s="522" t="n">
        <f aca="false">IF('Executive Summary'!$C$53="Max CF", IF(BR4&lt;'Executive Summary'!$I$13,-MIN(BR108,SUM(BR62:BR64)),-BR108),-MAX(IF(BR4&lt;$E$107, MIN(-(BR159+SUM(BR71:BR75)),BR108),BR108),BR108*(BR4='Executive Summary'!$I$13)))</f>
        <v>-0</v>
      </c>
      <c r="BS110" s="522" t="n">
        <f aca="false">IF('Executive Summary'!$C$53="Max CF", IF(BS4&lt;'Executive Summary'!$I$13,-MIN(BS108,SUM(BS62:BS64)),-BS108),-MAX(IF(BS4&lt;$E$107, MIN(-(BS159+SUM(BS71:BS75)),BS108),BS108),BS108*(BS4='Executive Summary'!$I$13)))</f>
        <v>-0</v>
      </c>
      <c r="BT110" s="522" t="n">
        <f aca="false">IF('Executive Summary'!$C$53="Max CF", IF(BT4&lt;'Executive Summary'!$I$13,-MIN(BT108,SUM(BT62:BT64)),-BT108),-MAX(IF(BT4&lt;$E$107, MIN(-(BT159+SUM(BT71:BT75)),BT108),BT108),BT108*(BT4='Executive Summary'!$I$13)))</f>
        <v>-0</v>
      </c>
      <c r="BU110" s="522" t="n">
        <f aca="false">IF('Executive Summary'!$C$53="Max CF", IF(BU4&lt;'Executive Summary'!$I$13,-MIN(BU108,SUM(BU62:BU64)),-BU108),-MAX(IF(BU4&lt;$E$107, MIN(-(BU159+SUM(BU71:BU75)),BU108),BU108),BU108*(BU4='Executive Summary'!$I$13)))</f>
        <v>-0</v>
      </c>
      <c r="BV110" s="522" t="n">
        <f aca="false">IF('Executive Summary'!$C$53="Max CF", IF(BV4&lt;'Executive Summary'!$I$13,-MIN(BV108,SUM(BV62:BV64)),-BV108),-MAX(IF(BV4&lt;$E$107, MIN(-(BV159+SUM(BV71:BV75)),BV108),BV108),BV108*(BV4='Executive Summary'!$I$13)))</f>
        <v>-0</v>
      </c>
      <c r="BW110" s="522" t="n">
        <f aca="false">IF('Executive Summary'!$C$53="Max CF", IF(BW4&lt;'Executive Summary'!$I$13,-MIN(BW108,SUM(BW62:BW64)),-BW108),-MAX(IF(BW4&lt;$E$107, MIN(-(BW159+SUM(BW71:BW75)),BW108),BW108),BW108*(BW4='Executive Summary'!$I$13)))</f>
        <v>-0</v>
      </c>
      <c r="BX110" s="522" t="n">
        <f aca="false">IF('Executive Summary'!$C$53="Max CF", IF(BX4&lt;'Executive Summary'!$I$13,-MIN(BX108,SUM(BX62:BX64)),-BX108),-MAX(IF(BX4&lt;$E$107, MIN(-(BX159+SUM(BX71:BX75)),BX108),BX108),BX108*(BX4='Executive Summary'!$I$13)))</f>
        <v>-0</v>
      </c>
      <c r="BY110" s="522" t="n">
        <f aca="false">IF('Executive Summary'!$C$53="Max CF", IF(BY4&lt;'Executive Summary'!$I$13,-MIN(BY108,SUM(BY62:BY64)),-BY108),-MAX(IF(BY4&lt;$E$107, MIN(-(BY159+SUM(BY71:BY75)),BY108),BY108),BY108*(BY4='Executive Summary'!$I$13)))</f>
        <v>-0</v>
      </c>
      <c r="BZ110" s="522" t="n">
        <f aca="false">IF('Executive Summary'!$C$53="Max CF", IF(BZ4&lt;'Executive Summary'!$I$13,-MIN(BZ108,SUM(BZ62:BZ64)),-BZ108),-MAX(IF(BZ4&lt;$E$107, MIN(-(BZ159+SUM(BZ71:BZ75)),BZ108),BZ108),BZ108*(BZ4='Executive Summary'!$I$13)))</f>
        <v>-0</v>
      </c>
      <c r="CA110" s="522" t="n">
        <f aca="false">IF('Executive Summary'!$C$53="Max CF", IF(CA4&lt;'Executive Summary'!$I$13,-MIN(CA108,SUM(CA62:CA64)),-CA108),-MAX(IF(CA4&lt;$E$107, MIN(-(CA159+SUM(CA71:CA75)),CA108),CA108),CA108*(CA4='Executive Summary'!$I$13)))</f>
        <v>-0</v>
      </c>
      <c r="CB110" s="522" t="n">
        <f aca="false">IF('Executive Summary'!$C$53="Max CF", IF(CB4&lt;'Executive Summary'!$I$13,-MIN(CB108,SUM(CB62:CB64)),-CB108),-MAX(IF(CB4&lt;$E$107, MIN(-(CB159+SUM(CB71:CB75)),CB108),CB108),CB108*(CB4='Executive Summary'!$I$13)))</f>
        <v>-0</v>
      </c>
      <c r="CC110" s="522" t="n">
        <f aca="false">IF('Executive Summary'!$C$53="Max CF", IF(CC4&lt;'Executive Summary'!$I$13,-MIN(CC108,SUM(CC62:CC64)),-CC108),-MAX(IF(CC4&lt;$E$107, MIN(-(CC159+SUM(CC71:CC75)),CC108),CC108),CC108*(CC4='Executive Summary'!$I$13)))</f>
        <v>-0</v>
      </c>
      <c r="CD110" s="522" t="n">
        <f aca="false">IF('Executive Summary'!$C$53="Max CF", IF(CD4&lt;'Executive Summary'!$I$13,-MIN(CD108,SUM(CD62:CD64)),-CD108),-MAX(IF(CD4&lt;$E$107, MIN(-(CD159+SUM(CD71:CD75)),CD108),CD108),CD108*(CD4='Executive Summary'!$I$13)))</f>
        <v>-0</v>
      </c>
      <c r="CE110" s="522" t="n">
        <f aca="false">IF('Executive Summary'!$C$53="Max CF", IF(CE4&lt;'Executive Summary'!$I$13,-MIN(CE108,SUM(CE62:CE64)),-CE108),-MAX(IF(CE4&lt;$E$107, MIN(-(CE159+SUM(CE71:CE75)),CE108),CE108),CE108*(CE4='Executive Summary'!$I$13)))</f>
        <v>-0</v>
      </c>
      <c r="CF110" s="522" t="n">
        <f aca="false">IF('Executive Summary'!$C$53="Max CF", IF(CF4&lt;'Executive Summary'!$I$13,-MIN(CF108,SUM(CF62:CF64)),-CF108),-MAX(IF(CF4&lt;$E$107, MIN(-(CF159+SUM(CF71:CF75)),CF108),CF108),CF108*(CF4='Executive Summary'!$I$13)))</f>
        <v>-0</v>
      </c>
      <c r="CG110" s="522" t="n">
        <f aca="false">IF('Executive Summary'!$C$53="Max CF", IF(CG4&lt;'Executive Summary'!$I$13,-MIN(CG108,SUM(CG62:CG64)),-CG108),-MAX(IF(CG4&lt;$E$107, MIN(-(CG159+SUM(CG71:CG75)),CG108),CG108),CG108*(CG4='Executive Summary'!$I$13)))</f>
        <v>-0</v>
      </c>
      <c r="CH110" s="522" t="n">
        <f aca="false">IF('Executive Summary'!$C$53="Max CF", IF(CH4&lt;'Executive Summary'!$I$13,-MIN(CH108,SUM(CH62:CH64)),-CH108),-MAX(IF(CH4&lt;$E$107, MIN(-(CH159+SUM(CH71:CH75)),CH108),CH108),CH108*(CH4='Executive Summary'!$I$13)))</f>
        <v>-0</v>
      </c>
      <c r="CI110" s="522" t="n">
        <f aca="false">IF('Executive Summary'!$C$53="Max CF", IF(CI4&lt;'Executive Summary'!$I$13,-MIN(CI108,SUM(CI62:CI64)),-CI108),-MAX(IF(CI4&lt;$E$107, MIN(-(CI159+SUM(CI71:CI75)),CI108),CI108),CI108*(CI4='Executive Summary'!$I$13)))</f>
        <v>-0</v>
      </c>
      <c r="CJ110" s="522" t="n">
        <f aca="false">IF('Executive Summary'!$C$53="Max CF", IF(CJ4&lt;'Executive Summary'!$I$13,-MIN(CJ108,SUM(CJ62:CJ64)),-CJ108),-MAX(IF(CJ4&lt;$E$107, MIN(-(CJ159+SUM(CJ71:CJ75)),CJ108),CJ108),CJ108*(CJ4='Executive Summary'!$I$13)))</f>
        <v>-0</v>
      </c>
      <c r="CK110" s="522" t="n">
        <f aca="false">IF('Executive Summary'!$C$53="Max CF", IF(CK4&lt;'Executive Summary'!$I$13,-MIN(CK108,SUM(CK62:CK64)),-CK108),-MAX(IF(CK4&lt;$E$107, MIN(-(CK159+SUM(CK71:CK75)),CK108),CK108),CK108*(CK4='Executive Summary'!$I$13)))</f>
        <v>-0</v>
      </c>
      <c r="CL110" s="522" t="n">
        <f aca="false">IF('Executive Summary'!$C$53="Max CF", IF(CL4&lt;'Executive Summary'!$I$13,-MIN(CL108,SUM(CL62:CL64)),-CL108),-MAX(IF(CL4&lt;$E$107, MIN(-(CL159+SUM(CL71:CL75)),CL108),CL108),CL108*(CL4='Executive Summary'!$I$13)))</f>
        <v>-0</v>
      </c>
      <c r="CM110" s="522" t="n">
        <f aca="false">IF('Executive Summary'!$C$53="Max CF", IF(CM4&lt;'Executive Summary'!$I$13,-MIN(CM108,SUM(CM62:CM64)),-CM108),-MAX(IF(CM4&lt;$E$107, MIN(-(CM159+SUM(CM71:CM75)),CM108),CM108),CM108*(CM4='Executive Summary'!$I$13)))</f>
        <v>-0</v>
      </c>
      <c r="CN110" s="522" t="n">
        <f aca="false">IF('Executive Summary'!$C$53="Max CF", IF(CN4&lt;'Executive Summary'!$I$13,-MIN(CN108,SUM(CN62:CN64)),-CN108),-MAX(IF(CN4&lt;$E$107, MIN(-(CN159+SUM(CN71:CN75)),CN108),CN108),CN108*(CN4='Executive Summary'!$I$13)))</f>
        <v>-0</v>
      </c>
      <c r="CO110" s="522" t="n">
        <f aca="false">IF('Executive Summary'!$C$53="Max CF", IF(CO4&lt;'Executive Summary'!$I$13,-MIN(CO108,SUM(CO62:CO64)),-CO108),-MAX(IF(CO4&lt;$E$107, MIN(-(CO159+SUM(CO71:CO75)),CO108),CO108),CO108*(CO4='Executive Summary'!$I$13)))</f>
        <v>-0</v>
      </c>
      <c r="CP110" s="522" t="n">
        <f aca="false">IF('Executive Summary'!$C$53="Max CF", IF(CP4&lt;'Executive Summary'!$I$13,-MIN(CP108,SUM(CP62:CP64)),-CP108),-MAX(IF(CP4&lt;$E$107, MIN(-(CP159+SUM(CP71:CP75)),CP108),CP108),CP108*(CP4='Executive Summary'!$I$13)))</f>
        <v>-0</v>
      </c>
      <c r="CQ110" s="522" t="n">
        <f aca="false">IF('Executive Summary'!$C$53="Max CF", IF(CQ4&lt;'Executive Summary'!$I$13,-MIN(CQ108,SUM(CQ62:CQ64)),-CQ108),-MAX(IF(CQ4&lt;$E$107, MIN(-(CQ159+SUM(CQ71:CQ75)),CQ108),CQ108),CQ108*(CQ4='Executive Summary'!$I$13)))</f>
        <v>-0</v>
      </c>
      <c r="CR110" s="522" t="n">
        <f aca="false">IF('Executive Summary'!$C$53="Max CF", IF(CR4&lt;'Executive Summary'!$I$13,-MIN(CR108,SUM(CR62:CR64)),-CR108),-MAX(IF(CR4&lt;$E$107, MIN(-(CR159+SUM(CR71:CR75)),CR108),CR108),CR108*(CR4='Executive Summary'!$I$13)))</f>
        <v>-0</v>
      </c>
      <c r="CS110" s="522" t="n">
        <f aca="false">IF('Executive Summary'!$C$53="Max CF", IF(CS4&lt;'Executive Summary'!$I$13,-MIN(CS108,SUM(CS62:CS64)),-CS108),-MAX(IF(CS4&lt;$E$107, MIN(-(CS159+SUM(CS71:CS75)),CS108),CS108),CS108*(CS4='Executive Summary'!$I$13)))</f>
        <v>-0</v>
      </c>
      <c r="CT110" s="522" t="n">
        <f aca="false">IF('Executive Summary'!$C$53="Max CF", IF(CT4&lt;'Executive Summary'!$I$13,-MIN(CT108,SUM(CT62:CT64)),-CT108),-MAX(IF(CT4&lt;$E$107, MIN(-(CT159+SUM(CT71:CT75)),CT108),CT108),CT108*(CT4='Executive Summary'!$I$13)))</f>
        <v>-0</v>
      </c>
      <c r="CU110" s="522" t="n">
        <f aca="false">IF('Executive Summary'!$C$53="Max CF", IF(CU4&lt;'Executive Summary'!$I$13,-MIN(CU108,SUM(CU62:CU64)),-CU108),-MAX(IF(CU4&lt;$E$107, MIN(-(CU159+SUM(CU71:CU75)),CU108),CU108),CU108*(CU4='Executive Summary'!$I$13)))</f>
        <v>-0</v>
      </c>
      <c r="CV110" s="522" t="n">
        <f aca="false">IF('Executive Summary'!$C$53="Max CF", IF(CV4&lt;'Executive Summary'!$I$13,-MIN(CV108,SUM(CV62:CV64)),-CV108),-MAX(IF(CV4&lt;$E$107, MIN(-(CV159+SUM(CV71:CV75)),CV108),CV108),CV108*(CV4='Executive Summary'!$I$13)))</f>
        <v>-0</v>
      </c>
      <c r="CW110" s="522" t="n">
        <f aca="false">IF('Executive Summary'!$C$53="Max CF", IF(CW4&lt;'Executive Summary'!$I$13,-MIN(CW108,SUM(CW62:CW64)),-CW108),-MAX(IF(CW4&lt;$E$107, MIN(-(CW159+SUM(CW71:CW75)),CW108),CW108),CW108*(CW4='Executive Summary'!$I$13)))</f>
        <v>-0</v>
      </c>
      <c r="CX110" s="522" t="n">
        <f aca="false">IF('Executive Summary'!$C$53="Max CF", IF(CX4&lt;'Executive Summary'!$I$13,-MIN(CX108,SUM(CX62:CX64)),-CX108),-MAX(IF(CX4&lt;$E$107, MIN(-(CX159+SUM(CX71:CX75)),CX108),CX108),CX108*(CX4='Executive Summary'!$I$13)))</f>
        <v>-0</v>
      </c>
      <c r="CY110" s="522" t="n">
        <f aca="false">IF('Executive Summary'!$C$53="Max CF", IF(CY4&lt;'Executive Summary'!$I$13,-MIN(CY108,SUM(CY62:CY64)),-CY108),-MAX(IF(CY4&lt;$E$107, MIN(-(CY159+SUM(CY71:CY75)),CY108),CY108),CY108*(CY4='Executive Summary'!$I$13)))</f>
        <v>-0</v>
      </c>
      <c r="CZ110" s="522" t="n">
        <f aca="false">IF('Executive Summary'!$C$53="Max CF", IF(CZ4&lt;'Executive Summary'!$I$13,-MIN(CZ108,SUM(CZ62:CZ64)),-CZ108),-MAX(IF(CZ4&lt;$E$107, MIN(-(CZ159+SUM(CZ71:CZ75)),CZ108),CZ108),CZ108*(CZ4='Executive Summary'!$I$13)))</f>
        <v>-0</v>
      </c>
      <c r="DA110" s="522" t="n">
        <f aca="false">IF('Executive Summary'!$C$53="Max CF", IF(DA4&lt;'Executive Summary'!$I$13,-MIN(DA108,SUM(DA62:DA64)),-DA108),-MAX(IF(DA4&lt;$E$107, MIN(-(DA159+SUM(DA71:DA75)),DA108),DA108),DA108*(DA4='Executive Summary'!$I$13)))</f>
        <v>-0</v>
      </c>
      <c r="DB110" s="522" t="n">
        <f aca="false">IF('Executive Summary'!$C$53="Max CF", IF(DB4&lt;'Executive Summary'!$I$13,-MIN(DB108,SUM(DB62:DB64)),-DB108),-MAX(IF(DB4&lt;$E$107, MIN(-(DB159+SUM(DB71:DB75)),DB108),DB108),DB108*(DB4='Executive Summary'!$I$13)))</f>
        <v>-0</v>
      </c>
      <c r="DC110" s="522" t="n">
        <f aca="false">IF('Executive Summary'!$C$53="Max CF", IF(DC4&lt;'Executive Summary'!$I$13,-MIN(DC108,SUM(DC62:DC64)),-DC108),-MAX(IF(DC4&lt;$E$107, MIN(-(DC159+SUM(DC71:DC75)),DC108),DC108),DC108*(DC4='Executive Summary'!$I$13)))</f>
        <v>-0</v>
      </c>
      <c r="DD110" s="522" t="n">
        <f aca="false">IF('Executive Summary'!$C$53="Max CF", IF(DD4&lt;'Executive Summary'!$I$13,-MIN(DD108,SUM(DD62:DD64)),-DD108),-MAX(IF(DD4&lt;$E$107, MIN(-(DD159+SUM(DD71:DD75)),DD108),DD108),DD108*(DD4='Executive Summary'!$I$13)))</f>
        <v>-0</v>
      </c>
      <c r="DE110" s="522" t="n">
        <f aca="false">IF('Executive Summary'!$C$53="Max CF", IF(DE4&lt;'Executive Summary'!$I$13,-MIN(DE108,SUM(DE62:DE64)),-DE108),-MAX(IF(DE4&lt;$E$107, MIN(-(DE159+SUM(DE71:DE75)),DE108),DE108),DE108*(DE4='Executive Summary'!$I$13)))</f>
        <v>-0</v>
      </c>
      <c r="DF110" s="522" t="n">
        <f aca="false">IF('Executive Summary'!$C$53="Max CF", IF(DF4&lt;'Executive Summary'!$I$13,-MIN(DF108,SUM(DF62:DF64)),-DF108),-MAX(IF(DF4&lt;$E$107, MIN(-(DF159+SUM(DF71:DF75)),DF108),DF108),DF108*(DF4='Executive Summary'!$I$13)))</f>
        <v>-0</v>
      </c>
      <c r="DG110" s="522" t="n">
        <f aca="false">IF('Executive Summary'!$C$53="Max CF", IF(DG4&lt;'Executive Summary'!$I$13,-MIN(DG108,SUM(DG62:DG64)),-DG108),-MAX(IF(DG4&lt;$E$107, MIN(-(DG159+SUM(DG71:DG75)),DG108),DG108),DG108*(DG4='Executive Summary'!$I$13)))</f>
        <v>-0</v>
      </c>
      <c r="DH110" s="522" t="n">
        <f aca="false">IF('Executive Summary'!$C$53="Max CF", IF(DH4&lt;'Executive Summary'!$I$13,-MIN(DH108,SUM(DH62:DH64)),-DH108),-MAX(IF(DH4&lt;$E$107, MIN(-(DH159+SUM(DH71:DH75)),DH108),DH108),DH108*(DH4='Executive Summary'!$I$13)))</f>
        <v>-0</v>
      </c>
      <c r="DI110" s="522" t="n">
        <f aca="false">IF('Executive Summary'!$C$53="Max CF", IF(DI4&lt;'Executive Summary'!$I$13,-MIN(DI108,SUM(DI62:DI64)),-DI108),-MAX(IF(DI4&lt;$E$107, MIN(-(DI159+SUM(DI71:DI75)),DI108),DI108),DI108*(DI4='Executive Summary'!$I$13)))</f>
        <v>-0</v>
      </c>
      <c r="DJ110" s="522" t="n">
        <f aca="false">IF('Executive Summary'!$C$53="Max CF", IF(DJ4&lt;'Executive Summary'!$I$13,-MIN(DJ108,SUM(DJ62:DJ64)),-DJ108),-MAX(IF(DJ4&lt;$E$107, MIN(-(DJ159+SUM(DJ71:DJ75)),DJ108),DJ108),DJ108*(DJ4='Executive Summary'!$I$13)))</f>
        <v>-0</v>
      </c>
      <c r="DK110" s="522" t="n">
        <f aca="false">IF('Executive Summary'!$C$53="Max CF", IF(DK4&lt;'Executive Summary'!$I$13,-MIN(DK108,SUM(DK62:DK64)),-DK108),-MAX(IF(DK4&lt;$E$107, MIN(-(DK159+SUM(DK71:DK75)),DK108),DK108),DK108*(DK4='Executive Summary'!$I$13)))</f>
        <v>-0</v>
      </c>
      <c r="DL110" s="522" t="n">
        <f aca="false">IF('Executive Summary'!$C$53="Max CF", IF(DL4&lt;'Executive Summary'!$I$13,-MIN(DL108,SUM(DL62:DL64)),-DL108),-MAX(IF(DL4&lt;$E$107, MIN(-(DL159+SUM(DL71:DL75)),DL108),DL108),DL108*(DL4='Executive Summary'!$I$13)))</f>
        <v>-0</v>
      </c>
      <c r="DM110" s="522" t="n">
        <f aca="false">IF('Executive Summary'!$C$53="Max CF", IF(DM4&lt;'Executive Summary'!$I$13,-MIN(DM108,SUM(DM62:DM64)),-DM108),-MAX(IF(DM4&lt;$E$107, MIN(-(DM159+SUM(DM71:DM75)),DM108),DM108),DM108*(DM4='Executive Summary'!$I$13)))</f>
        <v>-0</v>
      </c>
      <c r="DN110" s="522" t="n">
        <f aca="false">IF('Executive Summary'!$C$53="Max CF", IF(DN4&lt;'Executive Summary'!$I$13,-MIN(DN108,SUM(DN62:DN64)),-DN108),-MAX(IF(DN4&lt;$E$107, MIN(-(DN159+SUM(DN71:DN75)),DN108),DN108),DN108*(DN4='Executive Summary'!$I$13)))</f>
        <v>-0</v>
      </c>
      <c r="DO110" s="522" t="n">
        <f aca="false">IF('Executive Summary'!$C$53="Max CF", IF(DO4&lt;'Executive Summary'!$I$13,-MIN(DO108,SUM(DO62:DO64)),-DO108),-MAX(IF(DO4&lt;$E$107, MIN(-(DO159+SUM(DO71:DO75)),DO108),DO108),DO108*(DO4='Executive Summary'!$I$13)))</f>
        <v>-0</v>
      </c>
      <c r="DP110" s="522" t="n">
        <f aca="false">IF('Executive Summary'!$C$53="Max CF", IF(DP4&lt;'Executive Summary'!$I$13,-MIN(DP108,SUM(DP62:DP64)),-DP108),-MAX(IF(DP4&lt;$E$107, MIN(-(DP159+SUM(DP71:DP75)),DP108),DP108),DP108*(DP4='Executive Summary'!$I$13)))</f>
        <v>-0</v>
      </c>
      <c r="DQ110" s="522" t="n">
        <f aca="false">IF('Executive Summary'!$C$53="Max CF", IF(DQ4&lt;'Executive Summary'!$I$13,-MIN(DQ108,SUM(DQ62:DQ64)),-DQ108),-MAX(IF(DQ4&lt;$E$107, MIN(-(DQ159+SUM(DQ71:DQ75)),DQ108),DQ108),DQ108*(DQ4='Executive Summary'!$I$13)))</f>
        <v>-0</v>
      </c>
      <c r="DR110" s="522" t="n">
        <f aca="false">IF('Executive Summary'!$C$53="Max CF", IF(DR4&lt;'Executive Summary'!$I$13,-MIN(DR108,SUM(DR62:DR64)),-DR108),-MAX(IF(DR4&lt;$E$107, MIN(-(DR159+SUM(DR71:DR75)),DR108),DR108),DR108*(DR4='Executive Summary'!$I$13)))</f>
        <v>-0</v>
      </c>
      <c r="DS110" s="522" t="n">
        <f aca="false">IF('Executive Summary'!$C$53="Max CF", IF(DS4&lt;'Executive Summary'!$I$13,-MIN(DS108,SUM(DS62:DS64)),-DS108),-MAX(IF(DS4&lt;$E$107, MIN(-(DS159+SUM(DS71:DS75)),DS108),DS108),DS108*(DS4='Executive Summary'!$I$13)))</f>
        <v>-0</v>
      </c>
      <c r="DT110" s="522" t="n">
        <f aca="false">IF('Executive Summary'!$C$53="Max CF", IF(DT4&lt;'Executive Summary'!$I$13,-MIN(DT108,SUM(DT62:DT64)),-DT108),-MAX(IF(DT4&lt;$E$107, MIN(-(DT159+SUM(DT71:DT75)),DT108),DT108),DT108*(DT4='Executive Summary'!$I$13)))</f>
        <v>-0</v>
      </c>
      <c r="DU110" s="522" t="n">
        <f aca="false">IF('Executive Summary'!$C$53="Max CF", IF(DU4&lt;'Executive Summary'!$I$13,-MIN(DU108,SUM(DU62:DU64)),-DU108),-MAX(IF(DU4&lt;$E$107, MIN(-(DU159+SUM(DU71:DU75)),DU108),DU108),DU108*(DU4='Executive Summary'!$I$13)))</f>
        <v>-0</v>
      </c>
      <c r="DV110" s="522" t="n">
        <f aca="false">IF('Executive Summary'!$C$53="Max CF", IF(DV4&lt;'Executive Summary'!$I$13,-MIN(DV108,SUM(DV62:DV64)),-DV108),-MAX(IF(DV4&lt;$E$107, MIN(-(DV159+SUM(DV71:DV75)),DV108),DV108),DV108*(DV4='Executive Summary'!$I$13)))</f>
        <v>-0</v>
      </c>
      <c r="DW110" s="522" t="n">
        <f aca="false">IF('Executive Summary'!$C$53="Max CF", IF(DW4&lt;'Executive Summary'!$I$13,-MIN(DW108,SUM(DW62:DW64)),-DW108),-MAX(IF(DW4&lt;$E$107, MIN(-(DW159+SUM(DW71:DW75)),DW108),DW108),DW108*(DW4='Executive Summary'!$I$13)))</f>
        <v>-0</v>
      </c>
      <c r="DX110" s="522" t="n">
        <f aca="false">IF('Executive Summary'!$C$53="Max CF", IF(DX4&lt;'Executive Summary'!$I$13,-MIN(DX108,SUM(DX62:DX64)),-DX108),-MAX(IF(DX4&lt;$E$107, MIN(-(DX159+SUM(DX71:DX75)),DX108),DX108),DX108*(DX4='Executive Summary'!$I$13)))</f>
        <v>-0</v>
      </c>
      <c r="DY110" s="522" t="n">
        <f aca="false">IF('Executive Summary'!$C$53="Max CF", IF(DY4&lt;'Executive Summary'!$I$13,-MIN(DY108,SUM(DY62:DY64)),-DY108),-MAX(IF(DY4&lt;$E$107, MIN(-(DY159+SUM(DY71:DY75)),DY108),DY108),DY108*(DY4='Executive Summary'!$I$13)))</f>
        <v>-0</v>
      </c>
      <c r="DZ110" s="522" t="n">
        <f aca="false">IF('Executive Summary'!$C$53="Max CF", IF(DZ4&lt;'Executive Summary'!$I$13,-MIN(DZ108,SUM(DZ62:DZ64)),-DZ108),-MAX(IF(DZ4&lt;$E$107, MIN(-(DZ159+SUM(DZ71:DZ75)),DZ108),DZ108),DZ108*(DZ4='Executive Summary'!$I$13)))</f>
        <v>-0</v>
      </c>
      <c r="EA110" s="522" t="n">
        <f aca="false">IF('Executive Summary'!$C$53="Max CF", IF(EA4&lt;'Executive Summary'!$I$13,-MIN(EA108,SUM(EA62:EA64)),-EA108),-MAX(IF(EA4&lt;$E$107, MIN(-(EA159+SUM(EA71:EA75)),EA108),EA108),EA108*(EA4='Executive Summary'!$I$13)))</f>
        <v>-0</v>
      </c>
      <c r="EB110" s="522" t="n">
        <f aca="false">IF('Executive Summary'!$C$53="Max CF", IF(EB4&lt;'Executive Summary'!$I$13,-MIN(EB108,SUM(EB62:EB64)),-EB108),-MAX(IF(EB4&lt;$E$107, MIN(-(EB159+SUM(EB71:EB75)),EB108),EB108),EB108*(EB4='Executive Summary'!$I$13)))</f>
        <v>-0</v>
      </c>
      <c r="EC110" s="522" t="n">
        <f aca="false">IF('Executive Summary'!$C$53="Max CF", IF(EC4&lt;'Executive Summary'!$I$13,-MIN(EC108,SUM(EC62:EC64)),-EC108),-MAX(IF(EC4&lt;$E$107, MIN(-(EC159+SUM(EC71:EC75)),EC108),EC108),EC108*(EC4='Executive Summary'!$I$13)))</f>
        <v>-0</v>
      </c>
      <c r="ED110" s="522" t="n">
        <f aca="false">IF('Executive Summary'!$C$53="Max CF", IF(ED4&lt;'Executive Summary'!$I$13,-MIN(ED108,SUM(ED62:ED64)),-ED108),-MAX(IF(ED4&lt;$E$107, MIN(-(ED159+SUM(ED71:ED75)),ED108),ED108),ED108*(ED4='Executive Summary'!$I$13)))</f>
        <v>-0</v>
      </c>
      <c r="EE110" s="522" t="n">
        <f aca="false">IF('Executive Summary'!$C$53="Max CF", IF(EE4&lt;'Executive Summary'!$I$13,-MIN(EE108,SUM(EE62:EE64)),-EE108),-MAX(IF(EE4&lt;$E$107, MIN(-(EE159+SUM(EE71:EE75)),EE108),EE108),EE108*(EE4='Executive Summary'!$I$13)))</f>
        <v>-0</v>
      </c>
      <c r="EF110" s="522" t="n">
        <f aca="false">IF('Executive Summary'!$C$53="Max CF", IF(EF4&lt;'Executive Summary'!$I$13,-MIN(EF108,SUM(EF62:EF64)),-EF108),-MAX(IF(EF4&lt;$E$107, MIN(-(EF159+SUM(EF71:EF75)),EF108),EF108),EF108*(EF4='Executive Summary'!$I$13)))</f>
        <v>-0</v>
      </c>
      <c r="EG110" s="522" t="n">
        <f aca="false">IF('Executive Summary'!$C$53="Max CF", IF(EG4&lt;'Executive Summary'!$I$13,-MIN(EG108,SUM(EG62:EG64)),-EG108),-MAX(IF(EG4&lt;$E$107, MIN(-(EG159+SUM(EG71:EG75)),EG108),EG108),EG108*(EG4='Executive Summary'!$I$13)))</f>
        <v>-0</v>
      </c>
      <c r="EH110" s="522" t="n">
        <f aca="false">IF('Executive Summary'!$C$53="Max CF", IF(EH4&lt;'Executive Summary'!$I$13,-MIN(EH108,SUM(EH62:EH64)),-EH108),-MAX(IF(EH4&lt;$E$107, MIN(-(EH159+SUM(EH71:EH75)),EH108),EH108),EH108*(EH4='Executive Summary'!$I$13)))</f>
        <v>-0</v>
      </c>
      <c r="EI110" s="558" t="n">
        <f aca="false">IF('Executive Summary'!$C$53="Max CF", IF(EI4&lt;'Executive Summary'!$I$13,-MIN(EI108,SUM(EI62:EI64)),-EI108),-MAX(IF(EI4&lt;$E$107, MIN(-(EI159+SUM(EI71:EI75)),EI108),EI108),EI108*(EI4='Executive Summary'!$I$13)))</f>
        <v>-0</v>
      </c>
      <c r="EK110" s="559"/>
      <c r="ET110" s="558"/>
    </row>
    <row r="111" s="522" customFormat="true" ht="13.5" hidden="false" customHeight="true" outlineLevel="1" collapsed="false">
      <c r="B111" s="601" t="s">
        <v>608</v>
      </c>
      <c r="C111" s="602"/>
      <c r="D111" s="603"/>
      <c r="E111" s="603"/>
      <c r="F111" s="603"/>
      <c r="G111" s="603" t="n">
        <f aca="false">SUM(G108:G110)</f>
        <v>0</v>
      </c>
      <c r="H111" s="603" t="n">
        <f aca="false">SUM(H108:H110)</f>
        <v>0</v>
      </c>
      <c r="I111" s="603" t="n">
        <f aca="false">SUM(I108:I110)</f>
        <v>0</v>
      </c>
      <c r="J111" s="603" t="n">
        <f aca="false">SUM(J108:J110)</f>
        <v>0</v>
      </c>
      <c r="K111" s="603" t="n">
        <f aca="false">SUM(K108:K110)</f>
        <v>0</v>
      </c>
      <c r="L111" s="603" t="n">
        <f aca="false">SUM(L108:L110)</f>
        <v>0</v>
      </c>
      <c r="M111" s="603" t="n">
        <f aca="false">SUM(M108:M110)</f>
        <v>0</v>
      </c>
      <c r="N111" s="603" t="n">
        <f aca="false">SUM(N108:N110)</f>
        <v>0</v>
      </c>
      <c r="O111" s="603" t="n">
        <f aca="false">SUM(O108:O110)</f>
        <v>0</v>
      </c>
      <c r="P111" s="603" t="n">
        <f aca="false">SUM(P108:P110)</f>
        <v>0</v>
      </c>
      <c r="Q111" s="603" t="n">
        <f aca="false">SUM(Q108:Q110)</f>
        <v>0</v>
      </c>
      <c r="R111" s="603" t="n">
        <f aca="false">SUM(R108:R110)</f>
        <v>0</v>
      </c>
      <c r="S111" s="603" t="n">
        <f aca="false">SUM(S108:S110)</f>
        <v>0</v>
      </c>
      <c r="T111" s="603" t="n">
        <f aca="false">SUM(T108:T110)</f>
        <v>0</v>
      </c>
      <c r="U111" s="603" t="n">
        <f aca="false">SUM(U108:U110)</f>
        <v>0</v>
      </c>
      <c r="V111" s="603" t="n">
        <f aca="false">SUM(V108:V110)</f>
        <v>0</v>
      </c>
      <c r="W111" s="603" t="n">
        <f aca="false">SUM(W108:W110)</f>
        <v>0</v>
      </c>
      <c r="X111" s="603" t="n">
        <f aca="false">SUM(X108:X110)</f>
        <v>0</v>
      </c>
      <c r="Y111" s="603" t="n">
        <f aca="false">SUM(Y108:Y110)</f>
        <v>0</v>
      </c>
      <c r="Z111" s="603" t="n">
        <f aca="false">SUM(Z108:Z110)</f>
        <v>0</v>
      </c>
      <c r="AA111" s="603" t="n">
        <f aca="false">SUM(AA108:AA110)</f>
        <v>0</v>
      </c>
      <c r="AB111" s="603" t="n">
        <f aca="false">SUM(AB108:AB110)</f>
        <v>0</v>
      </c>
      <c r="AC111" s="603" t="n">
        <f aca="false">SUM(AC108:AC110)</f>
        <v>0</v>
      </c>
      <c r="AD111" s="603" t="n">
        <f aca="false">SUM(AD108:AD110)</f>
        <v>0</v>
      </c>
      <c r="AE111" s="603" t="n">
        <f aca="false">SUM(AE108:AE110)</f>
        <v>0</v>
      </c>
      <c r="AF111" s="603" t="n">
        <f aca="false">SUM(AF108:AF110)</f>
        <v>0</v>
      </c>
      <c r="AG111" s="603" t="n">
        <f aca="false">SUM(AG108:AG110)</f>
        <v>0</v>
      </c>
      <c r="AH111" s="603" t="n">
        <f aca="false">SUM(AH108:AH110)</f>
        <v>0</v>
      </c>
      <c r="AI111" s="603" t="n">
        <f aca="false">SUM(AI108:AI110)</f>
        <v>0</v>
      </c>
      <c r="AJ111" s="603" t="n">
        <f aca="false">SUM(AJ108:AJ110)</f>
        <v>0</v>
      </c>
      <c r="AK111" s="603" t="n">
        <f aca="false">SUM(AK108:AK110)</f>
        <v>0</v>
      </c>
      <c r="AL111" s="603" t="n">
        <f aca="false">SUM(AL108:AL110)</f>
        <v>0</v>
      </c>
      <c r="AM111" s="603" t="n">
        <f aca="false">SUM(AM108:AM110)</f>
        <v>0</v>
      </c>
      <c r="AN111" s="603" t="n">
        <f aca="false">SUM(AN108:AN110)</f>
        <v>0</v>
      </c>
      <c r="AO111" s="603" t="n">
        <f aca="false">SUM(AO108:AO110)</f>
        <v>0</v>
      </c>
      <c r="AP111" s="603" t="n">
        <f aca="false">SUM(AP108:AP110)</f>
        <v>0</v>
      </c>
      <c r="AQ111" s="603" t="n">
        <f aca="false">SUM(AQ108:AQ110)</f>
        <v>0</v>
      </c>
      <c r="AR111" s="603" t="n">
        <f aca="false">SUM(AR108:AR110)</f>
        <v>0</v>
      </c>
      <c r="AS111" s="603" t="n">
        <f aca="false">SUM(AS108:AS110)</f>
        <v>0</v>
      </c>
      <c r="AT111" s="603" t="n">
        <f aca="false">SUM(AT108:AT110)</f>
        <v>0</v>
      </c>
      <c r="AU111" s="603" t="n">
        <f aca="false">SUM(AU108:AU110)</f>
        <v>0</v>
      </c>
      <c r="AV111" s="603" t="n">
        <f aca="false">SUM(AV108:AV110)</f>
        <v>0</v>
      </c>
      <c r="AW111" s="603" t="n">
        <f aca="false">SUM(AW108:AW110)</f>
        <v>0</v>
      </c>
      <c r="AX111" s="603" t="n">
        <f aca="false">SUM(AX108:AX110)</f>
        <v>0</v>
      </c>
      <c r="AY111" s="603" t="n">
        <f aca="false">SUM(AY108:AY110)</f>
        <v>0</v>
      </c>
      <c r="AZ111" s="603" t="n">
        <f aca="false">SUM(AZ108:AZ110)</f>
        <v>0</v>
      </c>
      <c r="BA111" s="603" t="n">
        <f aca="false">SUM(BA108:BA110)</f>
        <v>0</v>
      </c>
      <c r="BB111" s="603" t="n">
        <f aca="false">SUM(BB108:BB110)</f>
        <v>0</v>
      </c>
      <c r="BC111" s="603" t="n">
        <f aca="false">SUM(BC108:BC110)</f>
        <v>0</v>
      </c>
      <c r="BD111" s="603" t="n">
        <f aca="false">SUM(BD108:BD110)</f>
        <v>0</v>
      </c>
      <c r="BE111" s="603" t="n">
        <f aca="false">SUM(BE108:BE110)</f>
        <v>0</v>
      </c>
      <c r="BF111" s="603" t="n">
        <f aca="false">SUM(BF108:BF110)</f>
        <v>0</v>
      </c>
      <c r="BG111" s="603" t="n">
        <f aca="false">SUM(BG108:BG110)</f>
        <v>0</v>
      </c>
      <c r="BH111" s="603" t="n">
        <f aca="false">SUM(BH108:BH110)</f>
        <v>0</v>
      </c>
      <c r="BI111" s="603" t="n">
        <f aca="false">SUM(BI108:BI110)</f>
        <v>0</v>
      </c>
      <c r="BJ111" s="603" t="n">
        <f aca="false">SUM(BJ108:BJ110)</f>
        <v>0</v>
      </c>
      <c r="BK111" s="603" t="n">
        <f aca="false">SUM(BK108:BK110)</f>
        <v>0</v>
      </c>
      <c r="BL111" s="603" t="n">
        <f aca="false">SUM(BL108:BL110)</f>
        <v>0</v>
      </c>
      <c r="BM111" s="603" t="n">
        <f aca="false">SUM(BM108:BM110)</f>
        <v>0</v>
      </c>
      <c r="BN111" s="603" t="n">
        <f aca="false">SUM(BN108:BN110)</f>
        <v>0</v>
      </c>
      <c r="BO111" s="603" t="n">
        <f aca="false">SUM(BO108:BO110)</f>
        <v>0</v>
      </c>
      <c r="BP111" s="603" t="n">
        <f aca="false">SUM(BP108:BP110)</f>
        <v>0</v>
      </c>
      <c r="BQ111" s="603" t="n">
        <f aca="false">SUM(BQ108:BQ110)</f>
        <v>0</v>
      </c>
      <c r="BR111" s="603" t="n">
        <f aca="false">SUM(BR108:BR110)</f>
        <v>0</v>
      </c>
      <c r="BS111" s="603" t="n">
        <f aca="false">SUM(BS108:BS110)</f>
        <v>0</v>
      </c>
      <c r="BT111" s="603" t="n">
        <f aca="false">SUM(BT108:BT110)</f>
        <v>0</v>
      </c>
      <c r="BU111" s="603" t="n">
        <f aca="false">SUM(BU108:BU110)</f>
        <v>0</v>
      </c>
      <c r="BV111" s="603" t="n">
        <f aca="false">SUM(BV108:BV110)</f>
        <v>0</v>
      </c>
      <c r="BW111" s="603" t="n">
        <f aca="false">SUM(BW108:BW110)</f>
        <v>0</v>
      </c>
      <c r="BX111" s="603" t="n">
        <f aca="false">SUM(BX108:BX110)</f>
        <v>0</v>
      </c>
      <c r="BY111" s="603" t="n">
        <f aca="false">SUM(BY108:BY110)</f>
        <v>0</v>
      </c>
      <c r="BZ111" s="603" t="n">
        <f aca="false">SUM(BZ108:BZ110)</f>
        <v>0</v>
      </c>
      <c r="CA111" s="603" t="n">
        <f aca="false">SUM(CA108:CA110)</f>
        <v>0</v>
      </c>
      <c r="CB111" s="603" t="n">
        <f aca="false">SUM(CB108:CB110)</f>
        <v>0</v>
      </c>
      <c r="CC111" s="603" t="n">
        <f aca="false">SUM(CC108:CC110)</f>
        <v>0</v>
      </c>
      <c r="CD111" s="603" t="n">
        <f aca="false">SUM(CD108:CD110)</f>
        <v>0</v>
      </c>
      <c r="CE111" s="603" t="n">
        <f aca="false">SUM(CE108:CE110)</f>
        <v>0</v>
      </c>
      <c r="CF111" s="603" t="n">
        <f aca="false">SUM(CF108:CF110)</f>
        <v>0</v>
      </c>
      <c r="CG111" s="603" t="n">
        <f aca="false">SUM(CG108:CG110)</f>
        <v>0</v>
      </c>
      <c r="CH111" s="603" t="n">
        <f aca="false">SUM(CH108:CH110)</f>
        <v>0</v>
      </c>
      <c r="CI111" s="603" t="n">
        <f aca="false">SUM(CI108:CI110)</f>
        <v>0</v>
      </c>
      <c r="CJ111" s="603" t="n">
        <f aca="false">SUM(CJ108:CJ110)</f>
        <v>0</v>
      </c>
      <c r="CK111" s="603" t="n">
        <f aca="false">SUM(CK108:CK110)</f>
        <v>0</v>
      </c>
      <c r="CL111" s="603" t="n">
        <f aca="false">SUM(CL108:CL110)</f>
        <v>0</v>
      </c>
      <c r="CM111" s="603" t="n">
        <f aca="false">SUM(CM108:CM110)</f>
        <v>0</v>
      </c>
      <c r="CN111" s="603" t="n">
        <f aca="false">SUM(CN108:CN110)</f>
        <v>0</v>
      </c>
      <c r="CO111" s="603" t="n">
        <f aca="false">SUM(CO108:CO110)</f>
        <v>0</v>
      </c>
      <c r="CP111" s="603" t="n">
        <f aca="false">SUM(CP108:CP110)</f>
        <v>0</v>
      </c>
      <c r="CQ111" s="603" t="n">
        <f aca="false">SUM(CQ108:CQ110)</f>
        <v>0</v>
      </c>
      <c r="CR111" s="603" t="n">
        <f aca="false">SUM(CR108:CR110)</f>
        <v>0</v>
      </c>
      <c r="CS111" s="603" t="n">
        <f aca="false">SUM(CS108:CS110)</f>
        <v>0</v>
      </c>
      <c r="CT111" s="603" t="n">
        <f aca="false">SUM(CT108:CT110)</f>
        <v>0</v>
      </c>
      <c r="CU111" s="603" t="n">
        <f aca="false">SUM(CU108:CU110)</f>
        <v>0</v>
      </c>
      <c r="CV111" s="603" t="n">
        <f aca="false">SUM(CV108:CV110)</f>
        <v>0</v>
      </c>
      <c r="CW111" s="603" t="n">
        <f aca="false">SUM(CW108:CW110)</f>
        <v>0</v>
      </c>
      <c r="CX111" s="603" t="n">
        <f aca="false">SUM(CX108:CX110)</f>
        <v>0</v>
      </c>
      <c r="CY111" s="603" t="n">
        <f aca="false">SUM(CY108:CY110)</f>
        <v>0</v>
      </c>
      <c r="CZ111" s="603" t="n">
        <f aca="false">SUM(CZ108:CZ110)</f>
        <v>0</v>
      </c>
      <c r="DA111" s="603" t="n">
        <f aca="false">SUM(DA108:DA110)</f>
        <v>0</v>
      </c>
      <c r="DB111" s="603" t="n">
        <f aca="false">SUM(DB108:DB110)</f>
        <v>0</v>
      </c>
      <c r="DC111" s="603" t="n">
        <f aca="false">SUM(DC108:DC110)</f>
        <v>0</v>
      </c>
      <c r="DD111" s="603" t="n">
        <f aca="false">SUM(DD108:DD110)</f>
        <v>0</v>
      </c>
      <c r="DE111" s="603" t="n">
        <f aca="false">SUM(DE108:DE110)</f>
        <v>0</v>
      </c>
      <c r="DF111" s="603" t="n">
        <f aca="false">SUM(DF108:DF110)</f>
        <v>0</v>
      </c>
      <c r="DG111" s="603" t="n">
        <f aca="false">SUM(DG108:DG110)</f>
        <v>0</v>
      </c>
      <c r="DH111" s="603" t="n">
        <f aca="false">SUM(DH108:DH110)</f>
        <v>0</v>
      </c>
      <c r="DI111" s="603" t="n">
        <f aca="false">SUM(DI108:DI110)</f>
        <v>0</v>
      </c>
      <c r="DJ111" s="603" t="n">
        <f aca="false">SUM(DJ108:DJ110)</f>
        <v>0</v>
      </c>
      <c r="DK111" s="603" t="n">
        <f aca="false">SUM(DK108:DK110)</f>
        <v>0</v>
      </c>
      <c r="DL111" s="603" t="n">
        <f aca="false">SUM(DL108:DL110)</f>
        <v>0</v>
      </c>
      <c r="DM111" s="603" t="n">
        <f aca="false">SUM(DM108:DM110)</f>
        <v>0</v>
      </c>
      <c r="DN111" s="603" t="n">
        <f aca="false">SUM(DN108:DN110)</f>
        <v>0</v>
      </c>
      <c r="DO111" s="603" t="n">
        <f aca="false">SUM(DO108:DO110)</f>
        <v>0</v>
      </c>
      <c r="DP111" s="603" t="n">
        <f aca="false">SUM(DP108:DP110)</f>
        <v>0</v>
      </c>
      <c r="DQ111" s="603" t="n">
        <f aca="false">SUM(DQ108:DQ110)</f>
        <v>0</v>
      </c>
      <c r="DR111" s="603" t="n">
        <f aca="false">SUM(DR108:DR110)</f>
        <v>0</v>
      </c>
      <c r="DS111" s="603" t="n">
        <f aca="false">SUM(DS108:DS110)</f>
        <v>0</v>
      </c>
      <c r="DT111" s="603" t="n">
        <f aca="false">SUM(DT108:DT110)</f>
        <v>0</v>
      </c>
      <c r="DU111" s="603" t="n">
        <f aca="false">SUM(DU108:DU110)</f>
        <v>0</v>
      </c>
      <c r="DV111" s="603" t="n">
        <f aca="false">SUM(DV108:DV110)</f>
        <v>0</v>
      </c>
      <c r="DW111" s="603" t="n">
        <f aca="false">SUM(DW108:DW110)</f>
        <v>0</v>
      </c>
      <c r="DX111" s="603" t="n">
        <f aca="false">SUM(DX108:DX110)</f>
        <v>0</v>
      </c>
      <c r="DY111" s="603" t="n">
        <f aca="false">SUM(DY108:DY110)</f>
        <v>0</v>
      </c>
      <c r="DZ111" s="603" t="n">
        <f aca="false">SUM(DZ108:DZ110)</f>
        <v>0</v>
      </c>
      <c r="EA111" s="603" t="n">
        <f aca="false">SUM(EA108:EA110)</f>
        <v>0</v>
      </c>
      <c r="EB111" s="603" t="n">
        <f aca="false">SUM(EB108:EB110)</f>
        <v>0</v>
      </c>
      <c r="EC111" s="603" t="n">
        <f aca="false">SUM(EC108:EC110)</f>
        <v>0</v>
      </c>
      <c r="ED111" s="603" t="n">
        <f aca="false">SUM(ED108:ED110)</f>
        <v>0</v>
      </c>
      <c r="EE111" s="603" t="n">
        <f aca="false">SUM(EE108:EE110)</f>
        <v>0</v>
      </c>
      <c r="EF111" s="603" t="n">
        <f aca="false">SUM(EF108:EF110)</f>
        <v>0</v>
      </c>
      <c r="EG111" s="603" t="n">
        <f aca="false">SUM(EG108:EG110)</f>
        <v>0</v>
      </c>
      <c r="EH111" s="603" t="n">
        <f aca="false">SUM(EH108:EH110)</f>
        <v>0</v>
      </c>
      <c r="EI111" s="604" t="n">
        <f aca="false">SUM(EI108:EI110)</f>
        <v>0</v>
      </c>
      <c r="EK111" s="601"/>
      <c r="EL111" s="603"/>
      <c r="EM111" s="603"/>
      <c r="EN111" s="603"/>
      <c r="EO111" s="603"/>
      <c r="EP111" s="603"/>
      <c r="EQ111" s="603"/>
      <c r="ER111" s="603"/>
      <c r="ES111" s="603"/>
      <c r="ET111" s="604"/>
    </row>
    <row r="112" customFormat="false" ht="13.5" hidden="false" customHeight="true" outlineLevel="1" collapsed="false"/>
    <row r="113" s="514" customFormat="true" ht="13.5" hidden="false" customHeight="true" outlineLevel="0" collapsed="false">
      <c r="A113" s="10"/>
      <c r="B113" s="92" t="s">
        <v>609</v>
      </c>
      <c r="C113" s="605"/>
      <c r="D113" s="606"/>
      <c r="E113" s="607"/>
      <c r="F113" s="17"/>
      <c r="G113" s="608" t="n">
        <v>0</v>
      </c>
      <c r="H113" s="609" t="n">
        <f aca="false">G145-G147</f>
        <v>0</v>
      </c>
      <c r="I113" s="606" t="n">
        <f aca="false">H145-H147</f>
        <v>0</v>
      </c>
      <c r="J113" s="606" t="n">
        <f aca="false">I145-I147</f>
        <v>0</v>
      </c>
      <c r="K113" s="606" t="n">
        <f aca="false">J145-J147</f>
        <v>0</v>
      </c>
      <c r="L113" s="606" t="n">
        <f aca="false">K145-K147</f>
        <v>0</v>
      </c>
      <c r="M113" s="606" t="n">
        <f aca="false">L145-L147</f>
        <v>0</v>
      </c>
      <c r="N113" s="606" t="n">
        <f aca="false">M145-M147</f>
        <v>0</v>
      </c>
      <c r="O113" s="606" t="n">
        <f aca="false">N145-N147</f>
        <v>0</v>
      </c>
      <c r="P113" s="606" t="n">
        <f aca="false">O145-O147</f>
        <v>0</v>
      </c>
      <c r="Q113" s="606" t="n">
        <f aca="false">P145-P147</f>
        <v>0</v>
      </c>
      <c r="R113" s="606" t="n">
        <f aca="false">Q145-Q147</f>
        <v>0</v>
      </c>
      <c r="S113" s="606" t="n">
        <f aca="false">R145-R147</f>
        <v>0</v>
      </c>
      <c r="T113" s="609" t="n">
        <f aca="false">S145-S147</f>
        <v>0</v>
      </c>
      <c r="U113" s="606" t="n">
        <f aca="false">T145-T147</f>
        <v>0</v>
      </c>
      <c r="V113" s="606" t="n">
        <f aca="false">U145-U147</f>
        <v>0</v>
      </c>
      <c r="W113" s="606" t="n">
        <f aca="false">V145-V147</f>
        <v>0</v>
      </c>
      <c r="X113" s="606" t="n">
        <f aca="false">W145-W147</f>
        <v>0</v>
      </c>
      <c r="Y113" s="606" t="n">
        <f aca="false">X145-X147</f>
        <v>0</v>
      </c>
      <c r="Z113" s="606" t="n">
        <f aca="false">Y145-Y147</f>
        <v>0</v>
      </c>
      <c r="AA113" s="606" t="n">
        <f aca="false">Z145-Z147</f>
        <v>0</v>
      </c>
      <c r="AB113" s="606" t="n">
        <f aca="false">AA145-AA147</f>
        <v>0</v>
      </c>
      <c r="AC113" s="606" t="n">
        <f aca="false">AB145-AB147</f>
        <v>0</v>
      </c>
      <c r="AD113" s="606" t="n">
        <f aca="false">AC145-AC147</f>
        <v>0</v>
      </c>
      <c r="AE113" s="606" t="n">
        <f aca="false">AD145-AD147</f>
        <v>0</v>
      </c>
      <c r="AF113" s="609" t="n">
        <f aca="false">AE145-AE147</f>
        <v>0</v>
      </c>
      <c r="AG113" s="606" t="n">
        <f aca="false">AF145-AF147</f>
        <v>0</v>
      </c>
      <c r="AH113" s="606" t="n">
        <f aca="false">AG145-AG147</f>
        <v>0</v>
      </c>
      <c r="AI113" s="606" t="n">
        <f aca="false">AH145-AH147</f>
        <v>0</v>
      </c>
      <c r="AJ113" s="606" t="n">
        <f aca="false">AI145-AI147</f>
        <v>0</v>
      </c>
      <c r="AK113" s="606" t="n">
        <f aca="false">AJ145-AJ147</f>
        <v>0</v>
      </c>
      <c r="AL113" s="606" t="n">
        <f aca="false">AK145-AK147</f>
        <v>0</v>
      </c>
      <c r="AM113" s="606" t="n">
        <f aca="false">AL145-AL147</f>
        <v>0</v>
      </c>
      <c r="AN113" s="606" t="n">
        <f aca="false">AM145-AM147</f>
        <v>0</v>
      </c>
      <c r="AO113" s="606" t="n">
        <f aca="false">AN145-AN147</f>
        <v>0</v>
      </c>
      <c r="AP113" s="606" t="n">
        <f aca="false">AO145-AO147</f>
        <v>0</v>
      </c>
      <c r="AQ113" s="606" t="n">
        <f aca="false">AP145-AP147</f>
        <v>0</v>
      </c>
      <c r="AR113" s="609" t="n">
        <f aca="false">AQ145-AQ147</f>
        <v>0</v>
      </c>
      <c r="AS113" s="606" t="n">
        <f aca="false">AR145-AR147</f>
        <v>0</v>
      </c>
      <c r="AT113" s="606" t="n">
        <f aca="false">AS145-AS147</f>
        <v>0</v>
      </c>
      <c r="AU113" s="606" t="n">
        <f aca="false">AT145-AT147</f>
        <v>0</v>
      </c>
      <c r="AV113" s="606" t="n">
        <f aca="false">AU145-AU147</f>
        <v>0</v>
      </c>
      <c r="AW113" s="606" t="n">
        <f aca="false">AV145-AV147</f>
        <v>0</v>
      </c>
      <c r="AX113" s="606" t="n">
        <f aca="false">AW145-AW147</f>
        <v>0</v>
      </c>
      <c r="AY113" s="606" t="n">
        <f aca="false">AX145-AX147</f>
        <v>0</v>
      </c>
      <c r="AZ113" s="606" t="n">
        <f aca="false">AY145-AY147</f>
        <v>0</v>
      </c>
      <c r="BA113" s="606" t="n">
        <f aca="false">AZ145-AZ147</f>
        <v>0</v>
      </c>
      <c r="BB113" s="606" t="n">
        <f aca="false">BA145-BA147</f>
        <v>0</v>
      </c>
      <c r="BC113" s="606" t="n">
        <f aca="false">BB145-BB147</f>
        <v>0</v>
      </c>
      <c r="BD113" s="609" t="n">
        <f aca="false">BC145-BC147</f>
        <v>0</v>
      </c>
      <c r="BE113" s="606" t="n">
        <f aca="false">BD145-BD147</f>
        <v>0</v>
      </c>
      <c r="BF113" s="606" t="n">
        <f aca="false">BE145-BE147</f>
        <v>0</v>
      </c>
      <c r="BG113" s="606" t="n">
        <f aca="false">BF145-BF147</f>
        <v>0</v>
      </c>
      <c r="BH113" s="606" t="n">
        <f aca="false">BG145-BG147</f>
        <v>0</v>
      </c>
      <c r="BI113" s="606" t="n">
        <f aca="false">BH145-BH147</f>
        <v>0</v>
      </c>
      <c r="BJ113" s="606" t="n">
        <f aca="false">BI145-BI147</f>
        <v>0</v>
      </c>
      <c r="BK113" s="606" t="n">
        <f aca="false">BJ145-BJ147</f>
        <v>0</v>
      </c>
      <c r="BL113" s="606" t="n">
        <f aca="false">BK145-BK147</f>
        <v>0</v>
      </c>
      <c r="BM113" s="606" t="n">
        <f aca="false">BL145-BL147</f>
        <v>0</v>
      </c>
      <c r="BN113" s="606" t="n">
        <f aca="false">BM145-BM147</f>
        <v>0</v>
      </c>
      <c r="BO113" s="606" t="n">
        <f aca="false">BN145-BN147</f>
        <v>0</v>
      </c>
      <c r="BP113" s="609" t="n">
        <f aca="false">BO145-BO147</f>
        <v>0</v>
      </c>
      <c r="BQ113" s="606" t="n">
        <f aca="false">BP145-BP147</f>
        <v>0</v>
      </c>
      <c r="BR113" s="606" t="n">
        <f aca="false">BQ145-BQ147</f>
        <v>0</v>
      </c>
      <c r="BS113" s="606" t="n">
        <f aca="false">BR145-BR147</f>
        <v>0</v>
      </c>
      <c r="BT113" s="606" t="n">
        <f aca="false">BS145-BS147</f>
        <v>0</v>
      </c>
      <c r="BU113" s="606" t="n">
        <f aca="false">BT145-BT147</f>
        <v>0</v>
      </c>
      <c r="BV113" s="606" t="n">
        <f aca="false">BU145-BU147</f>
        <v>0</v>
      </c>
      <c r="BW113" s="606" t="n">
        <f aca="false">BV145-BV147</f>
        <v>0</v>
      </c>
      <c r="BX113" s="606" t="n">
        <f aca="false">BW145-BW147</f>
        <v>0</v>
      </c>
      <c r="BY113" s="606" t="n">
        <f aca="false">BX145-BX147</f>
        <v>0</v>
      </c>
      <c r="BZ113" s="606" t="n">
        <f aca="false">BY145-BY147</f>
        <v>0</v>
      </c>
      <c r="CA113" s="606" t="n">
        <f aca="false">BZ145-BZ147</f>
        <v>0</v>
      </c>
      <c r="CB113" s="609" t="n">
        <f aca="false">CA145-CA147</f>
        <v>0</v>
      </c>
      <c r="CC113" s="606" t="n">
        <f aca="false">CB145-CB147</f>
        <v>0</v>
      </c>
      <c r="CD113" s="606" t="n">
        <f aca="false">CC145-CC147</f>
        <v>0</v>
      </c>
      <c r="CE113" s="606" t="n">
        <f aca="false">CD145-CD147</f>
        <v>0</v>
      </c>
      <c r="CF113" s="606" t="n">
        <f aca="false">CE145-CE147</f>
        <v>0</v>
      </c>
      <c r="CG113" s="606" t="n">
        <f aca="false">CF145-CF147</f>
        <v>0</v>
      </c>
      <c r="CH113" s="606" t="n">
        <f aca="false">CG145-CG147</f>
        <v>0</v>
      </c>
      <c r="CI113" s="606" t="n">
        <f aca="false">CH145-CH147</f>
        <v>0</v>
      </c>
      <c r="CJ113" s="606" t="n">
        <f aca="false">CI145-CI147</f>
        <v>0</v>
      </c>
      <c r="CK113" s="606" t="n">
        <f aca="false">CJ145-CJ147</f>
        <v>0</v>
      </c>
      <c r="CL113" s="606" t="n">
        <f aca="false">CK145-CK147</f>
        <v>0</v>
      </c>
      <c r="CM113" s="606" t="n">
        <f aca="false">CL145-CL147</f>
        <v>0</v>
      </c>
      <c r="CN113" s="609" t="n">
        <f aca="false">CM145-CM147</f>
        <v>0</v>
      </c>
      <c r="CO113" s="606" t="n">
        <f aca="false">CN145-CN147</f>
        <v>0</v>
      </c>
      <c r="CP113" s="606" t="n">
        <f aca="false">CO145-CO147</f>
        <v>0</v>
      </c>
      <c r="CQ113" s="606" t="n">
        <f aca="false">CP145-CP147</f>
        <v>0</v>
      </c>
      <c r="CR113" s="606" t="n">
        <f aca="false">CQ145-CQ147</f>
        <v>0</v>
      </c>
      <c r="CS113" s="606" t="n">
        <f aca="false">CR145-CR147</f>
        <v>0</v>
      </c>
      <c r="CT113" s="606" t="n">
        <f aca="false">CS145-CS147</f>
        <v>0</v>
      </c>
      <c r="CU113" s="606" t="n">
        <f aca="false">CT145-CT147</f>
        <v>0</v>
      </c>
      <c r="CV113" s="606" t="n">
        <f aca="false">CU145-CU147</f>
        <v>0</v>
      </c>
      <c r="CW113" s="606" t="n">
        <f aca="false">CV145-CV147</f>
        <v>0</v>
      </c>
      <c r="CX113" s="606" t="n">
        <f aca="false">CW145-CW147</f>
        <v>0</v>
      </c>
      <c r="CY113" s="606" t="n">
        <f aca="false">CX145-CX147</f>
        <v>0</v>
      </c>
      <c r="CZ113" s="609" t="n">
        <f aca="false">CY145-CY147</f>
        <v>0</v>
      </c>
      <c r="DA113" s="606" t="n">
        <f aca="false">CZ145-CZ147</f>
        <v>0</v>
      </c>
      <c r="DB113" s="606" t="n">
        <f aca="false">DA145-DA147</f>
        <v>0</v>
      </c>
      <c r="DC113" s="606" t="n">
        <f aca="false">DB145-DB147</f>
        <v>0</v>
      </c>
      <c r="DD113" s="606" t="n">
        <f aca="false">DC145-DC147</f>
        <v>0</v>
      </c>
      <c r="DE113" s="606" t="n">
        <f aca="false">DD145-DD147</f>
        <v>0</v>
      </c>
      <c r="DF113" s="606" t="n">
        <f aca="false">DE145-DE147</f>
        <v>0</v>
      </c>
      <c r="DG113" s="606" t="n">
        <f aca="false">DF145-DF147</f>
        <v>0</v>
      </c>
      <c r="DH113" s="606" t="n">
        <f aca="false">DG145-DG147</f>
        <v>0</v>
      </c>
      <c r="DI113" s="606" t="n">
        <f aca="false">DH145-DH147</f>
        <v>0</v>
      </c>
      <c r="DJ113" s="606" t="n">
        <f aca="false">DI145-DI147</f>
        <v>0</v>
      </c>
      <c r="DK113" s="606" t="n">
        <f aca="false">DJ145-DJ147</f>
        <v>0</v>
      </c>
      <c r="DL113" s="609" t="n">
        <f aca="false">DK145-DK147</f>
        <v>0</v>
      </c>
      <c r="DM113" s="606" t="n">
        <f aca="false">DL145-DL147</f>
        <v>0</v>
      </c>
      <c r="DN113" s="606" t="n">
        <f aca="false">DM145-DM147</f>
        <v>0</v>
      </c>
      <c r="DO113" s="606" t="n">
        <f aca="false">DN145-DN147</f>
        <v>0</v>
      </c>
      <c r="DP113" s="606" t="n">
        <f aca="false">DO145-DO147</f>
        <v>0</v>
      </c>
      <c r="DQ113" s="606" t="n">
        <f aca="false">DP145-DP147</f>
        <v>0</v>
      </c>
      <c r="DR113" s="606" t="n">
        <f aca="false">DQ145-DQ147</f>
        <v>0</v>
      </c>
      <c r="DS113" s="606" t="n">
        <f aca="false">DR145-DR147</f>
        <v>0</v>
      </c>
      <c r="DT113" s="606" t="n">
        <f aca="false">DS145-DS147</f>
        <v>0</v>
      </c>
      <c r="DU113" s="606" t="n">
        <f aca="false">DT145-DT147</f>
        <v>0</v>
      </c>
      <c r="DV113" s="606" t="n">
        <f aca="false">DU145-DU147</f>
        <v>0</v>
      </c>
      <c r="DW113" s="606" t="n">
        <f aca="false">DV145-DV147</f>
        <v>0</v>
      </c>
      <c r="DX113" s="606" t="n">
        <f aca="false">DW145-DW147</f>
        <v>0</v>
      </c>
      <c r="DY113" s="606" t="n">
        <f aca="false">DX145-DX147</f>
        <v>0</v>
      </c>
      <c r="DZ113" s="606" t="n">
        <f aca="false">DY145-DY147</f>
        <v>0</v>
      </c>
      <c r="EA113" s="606" t="n">
        <f aca="false">DZ145-DZ147</f>
        <v>0</v>
      </c>
      <c r="EB113" s="606" t="n">
        <f aca="false">EA145-EA147</f>
        <v>0</v>
      </c>
      <c r="EC113" s="606" t="n">
        <f aca="false">EB145-EB147</f>
        <v>0</v>
      </c>
      <c r="ED113" s="606" t="n">
        <f aca="false">EC145-EC147</f>
        <v>0</v>
      </c>
      <c r="EE113" s="606" t="n">
        <f aca="false">ED145-ED147</f>
        <v>0</v>
      </c>
      <c r="EF113" s="606" t="n">
        <f aca="false">EE145-EE147</f>
        <v>0</v>
      </c>
      <c r="EG113" s="606" t="n">
        <f aca="false">EF145-EF147</f>
        <v>0</v>
      </c>
      <c r="EH113" s="606" t="n">
        <f aca="false">EG145-EG147</f>
        <v>0</v>
      </c>
      <c r="EI113" s="607" t="n">
        <f aca="false">EH145-EH147</f>
        <v>0</v>
      </c>
    </row>
    <row r="114" s="514" customFormat="true" ht="13.5" hidden="false" customHeight="true" outlineLevel="0" collapsed="false">
      <c r="A114" s="10"/>
      <c r="B114" s="16"/>
      <c r="C114" s="29"/>
      <c r="D114" s="421"/>
      <c r="E114" s="472"/>
      <c r="F114" s="17"/>
      <c r="G114" s="610"/>
      <c r="H114" s="513"/>
      <c r="I114" s="421"/>
      <c r="J114" s="421"/>
      <c r="K114" s="421"/>
      <c r="L114" s="421"/>
      <c r="M114" s="421"/>
      <c r="N114" s="421"/>
      <c r="O114" s="421"/>
      <c r="P114" s="421"/>
      <c r="Q114" s="421"/>
      <c r="R114" s="421"/>
      <c r="S114" s="421"/>
      <c r="T114" s="513"/>
      <c r="U114" s="421"/>
      <c r="V114" s="421"/>
      <c r="W114" s="421"/>
      <c r="X114" s="421"/>
      <c r="Y114" s="421"/>
      <c r="Z114" s="421"/>
      <c r="AA114" s="421"/>
      <c r="AB114" s="421"/>
      <c r="AC114" s="421"/>
      <c r="AD114" s="421"/>
      <c r="AE114" s="421"/>
      <c r="AF114" s="513"/>
      <c r="AG114" s="421"/>
      <c r="AH114" s="421"/>
      <c r="AI114" s="421"/>
      <c r="AJ114" s="421"/>
      <c r="AK114" s="421"/>
      <c r="AL114" s="421"/>
      <c r="AM114" s="421"/>
      <c r="AN114" s="421"/>
      <c r="AO114" s="421"/>
      <c r="AP114" s="421"/>
      <c r="AQ114" s="421"/>
      <c r="AR114" s="513"/>
      <c r="AS114" s="421"/>
      <c r="AT114" s="421"/>
      <c r="AU114" s="421"/>
      <c r="AV114" s="421"/>
      <c r="AW114" s="421"/>
      <c r="AX114" s="421"/>
      <c r="AY114" s="421"/>
      <c r="AZ114" s="421"/>
      <c r="BA114" s="421"/>
      <c r="BB114" s="421"/>
      <c r="BC114" s="421"/>
      <c r="BD114" s="513"/>
      <c r="BE114" s="421"/>
      <c r="BF114" s="421"/>
      <c r="BG114" s="421"/>
      <c r="BH114" s="421"/>
      <c r="BI114" s="421"/>
      <c r="BJ114" s="421"/>
      <c r="BK114" s="421"/>
      <c r="BL114" s="421"/>
      <c r="BM114" s="421"/>
      <c r="BN114" s="421"/>
      <c r="BO114" s="421"/>
      <c r="BP114" s="513"/>
      <c r="BQ114" s="421"/>
      <c r="BR114" s="421"/>
      <c r="BS114" s="421"/>
      <c r="BT114" s="421"/>
      <c r="BU114" s="421"/>
      <c r="BV114" s="421"/>
      <c r="BW114" s="421"/>
      <c r="BX114" s="421"/>
      <c r="BY114" s="421"/>
      <c r="BZ114" s="421"/>
      <c r="CA114" s="421"/>
      <c r="CB114" s="513"/>
      <c r="CC114" s="421"/>
      <c r="CD114" s="421"/>
      <c r="CE114" s="421"/>
      <c r="CF114" s="421"/>
      <c r="CG114" s="421"/>
      <c r="CH114" s="421"/>
      <c r="CI114" s="421"/>
      <c r="CJ114" s="421"/>
      <c r="CK114" s="421"/>
      <c r="CL114" s="421"/>
      <c r="CM114" s="421"/>
      <c r="CN114" s="513"/>
      <c r="CO114" s="421"/>
      <c r="CP114" s="421"/>
      <c r="CQ114" s="421"/>
      <c r="CR114" s="421"/>
      <c r="CS114" s="421"/>
      <c r="CT114" s="421"/>
      <c r="CU114" s="421"/>
      <c r="CV114" s="421"/>
      <c r="CW114" s="421"/>
      <c r="CX114" s="421"/>
      <c r="CY114" s="421"/>
      <c r="CZ114" s="513"/>
      <c r="DA114" s="421"/>
      <c r="DB114" s="421"/>
      <c r="DC114" s="421"/>
      <c r="DD114" s="421"/>
      <c r="DE114" s="421"/>
      <c r="DF114" s="421"/>
      <c r="DG114" s="421"/>
      <c r="DH114" s="421"/>
      <c r="DI114" s="421"/>
      <c r="DJ114" s="421"/>
      <c r="DK114" s="421"/>
      <c r="DL114" s="513"/>
      <c r="DM114" s="421"/>
      <c r="DN114" s="421"/>
      <c r="DO114" s="421"/>
      <c r="DP114" s="421"/>
      <c r="DQ114" s="421"/>
      <c r="DR114" s="421"/>
      <c r="DS114" s="421"/>
      <c r="DT114" s="421"/>
      <c r="DU114" s="421"/>
      <c r="DV114" s="421"/>
      <c r="DW114" s="421"/>
      <c r="DX114" s="421"/>
      <c r="DY114" s="421"/>
      <c r="DZ114" s="421"/>
      <c r="EA114" s="421"/>
      <c r="EB114" s="421"/>
      <c r="EC114" s="421"/>
      <c r="ED114" s="421"/>
      <c r="EE114" s="421"/>
      <c r="EF114" s="421"/>
      <c r="EG114" s="421"/>
      <c r="EH114" s="421"/>
      <c r="EI114" s="472"/>
    </row>
    <row r="115" s="514" customFormat="true" ht="13.5" hidden="false" customHeight="true" outlineLevel="0" collapsed="false">
      <c r="A115" s="10"/>
      <c r="B115" s="20" t="s">
        <v>100</v>
      </c>
      <c r="C115" s="611"/>
      <c r="D115" s="612" t="s">
        <v>610</v>
      </c>
      <c r="E115" s="612" t="s">
        <v>369</v>
      </c>
      <c r="F115" s="17"/>
      <c r="G115" s="610"/>
      <c r="H115" s="513"/>
      <c r="I115" s="421"/>
      <c r="J115" s="421"/>
      <c r="K115" s="421"/>
      <c r="L115" s="421"/>
      <c r="M115" s="421"/>
      <c r="N115" s="421"/>
      <c r="O115" s="421"/>
      <c r="P115" s="421"/>
      <c r="Q115" s="421"/>
      <c r="R115" s="421"/>
      <c r="S115" s="421"/>
      <c r="T115" s="513"/>
      <c r="U115" s="421"/>
      <c r="V115" s="421"/>
      <c r="W115" s="421"/>
      <c r="X115" s="421"/>
      <c r="Y115" s="421"/>
      <c r="Z115" s="421"/>
      <c r="AA115" s="421"/>
      <c r="AB115" s="421"/>
      <c r="AC115" s="421"/>
      <c r="AD115" s="421"/>
      <c r="AE115" s="421"/>
      <c r="AF115" s="513"/>
      <c r="AG115" s="421"/>
      <c r="AH115" s="421"/>
      <c r="AI115" s="421"/>
      <c r="AJ115" s="421"/>
      <c r="AK115" s="421"/>
      <c r="AL115" s="421"/>
      <c r="AM115" s="421"/>
      <c r="AN115" s="421"/>
      <c r="AO115" s="421"/>
      <c r="AP115" s="421"/>
      <c r="AQ115" s="421"/>
      <c r="AR115" s="513"/>
      <c r="AS115" s="421"/>
      <c r="AT115" s="421"/>
      <c r="AU115" s="421"/>
      <c r="AV115" s="421"/>
      <c r="AW115" s="421"/>
      <c r="AX115" s="421"/>
      <c r="AY115" s="421"/>
      <c r="AZ115" s="421"/>
      <c r="BA115" s="421"/>
      <c r="BB115" s="421"/>
      <c r="BC115" s="421"/>
      <c r="BD115" s="513"/>
      <c r="BE115" s="421"/>
      <c r="BF115" s="421"/>
      <c r="BG115" s="421"/>
      <c r="BH115" s="421"/>
      <c r="BI115" s="421"/>
      <c r="BJ115" s="421"/>
      <c r="BK115" s="421"/>
      <c r="BL115" s="421"/>
      <c r="BM115" s="421"/>
      <c r="BN115" s="421"/>
      <c r="BO115" s="421"/>
      <c r="BP115" s="513"/>
      <c r="BQ115" s="421"/>
      <c r="BR115" s="421"/>
      <c r="BS115" s="421"/>
      <c r="BT115" s="421"/>
      <c r="BU115" s="421"/>
      <c r="BV115" s="421"/>
      <c r="BW115" s="421"/>
      <c r="BX115" s="421"/>
      <c r="BY115" s="421"/>
      <c r="BZ115" s="421"/>
      <c r="CA115" s="421"/>
      <c r="CB115" s="513"/>
      <c r="CC115" s="421"/>
      <c r="CD115" s="421"/>
      <c r="CE115" s="421"/>
      <c r="CF115" s="421"/>
      <c r="CG115" s="421"/>
      <c r="CH115" s="421"/>
      <c r="CI115" s="421"/>
      <c r="CJ115" s="421"/>
      <c r="CK115" s="421"/>
      <c r="CL115" s="421"/>
      <c r="CM115" s="421"/>
      <c r="CN115" s="513"/>
      <c r="CO115" s="421"/>
      <c r="CP115" s="421"/>
      <c r="CQ115" s="421"/>
      <c r="CR115" s="421"/>
      <c r="CS115" s="421"/>
      <c r="CT115" s="421"/>
      <c r="CU115" s="421"/>
      <c r="CV115" s="421"/>
      <c r="CW115" s="421"/>
      <c r="CX115" s="421"/>
      <c r="CY115" s="421"/>
      <c r="CZ115" s="513"/>
      <c r="DA115" s="421"/>
      <c r="DB115" s="421"/>
      <c r="DC115" s="421"/>
      <c r="DD115" s="421"/>
      <c r="DE115" s="421"/>
      <c r="DF115" s="421"/>
      <c r="DG115" s="421"/>
      <c r="DH115" s="421"/>
      <c r="DI115" s="421"/>
      <c r="DJ115" s="421"/>
      <c r="DK115" s="421"/>
      <c r="DL115" s="513"/>
      <c r="DM115" s="421"/>
      <c r="DN115" s="421"/>
      <c r="DO115" s="421"/>
      <c r="DP115" s="421"/>
      <c r="DQ115" s="421"/>
      <c r="DR115" s="421"/>
      <c r="DS115" s="421"/>
      <c r="DT115" s="421"/>
      <c r="DU115" s="421"/>
      <c r="DV115" s="421"/>
      <c r="DW115" s="421"/>
      <c r="DX115" s="421"/>
      <c r="DY115" s="421"/>
      <c r="DZ115" s="421"/>
      <c r="EA115" s="421"/>
      <c r="EB115" s="421"/>
      <c r="EC115" s="421"/>
      <c r="ED115" s="421"/>
      <c r="EE115" s="421"/>
      <c r="EF115" s="421"/>
      <c r="EG115" s="421"/>
      <c r="EH115" s="421"/>
      <c r="EI115" s="472"/>
    </row>
    <row r="116" s="514" customFormat="true" ht="13.5" hidden="false" customHeight="true" outlineLevel="0" collapsed="false">
      <c r="A116" s="10"/>
      <c r="B116" s="16" t="s">
        <v>611</v>
      </c>
      <c r="C116" s="613"/>
      <c r="D116" s="610" t="n">
        <f aca="false">'Executive Summary'!P7</f>
        <v>2082179</v>
      </c>
      <c r="E116" s="610" t="n">
        <f aca="false">SUM(G116:EI116)</f>
        <v>2082179</v>
      </c>
      <c r="F116" s="17"/>
      <c r="G116" s="614" t="n">
        <f aca="false">D116</f>
        <v>2082179</v>
      </c>
      <c r="H116" s="615" t="n">
        <v>0</v>
      </c>
      <c r="I116" s="484" t="n">
        <v>0</v>
      </c>
      <c r="J116" s="484" t="n">
        <v>0</v>
      </c>
      <c r="K116" s="421" t="n">
        <v>0</v>
      </c>
      <c r="L116" s="421" t="n">
        <v>0</v>
      </c>
      <c r="M116" s="421" t="n">
        <v>0</v>
      </c>
      <c r="N116" s="421" t="n">
        <v>0</v>
      </c>
      <c r="O116" s="421" t="n">
        <v>0</v>
      </c>
      <c r="P116" s="421" t="n">
        <v>0</v>
      </c>
      <c r="Q116" s="421" t="n">
        <v>0</v>
      </c>
      <c r="R116" s="421" t="n">
        <v>0</v>
      </c>
      <c r="S116" s="421" t="n">
        <v>0</v>
      </c>
      <c r="T116" s="513" t="n">
        <v>0</v>
      </c>
      <c r="U116" s="421" t="n">
        <v>0</v>
      </c>
      <c r="V116" s="421" t="n">
        <v>0</v>
      </c>
      <c r="W116" s="421" t="n">
        <v>0</v>
      </c>
      <c r="X116" s="421" t="n">
        <v>0</v>
      </c>
      <c r="Y116" s="421" t="n">
        <v>0</v>
      </c>
      <c r="Z116" s="421" t="n">
        <v>0</v>
      </c>
      <c r="AA116" s="421" t="n">
        <v>0</v>
      </c>
      <c r="AB116" s="421" t="n">
        <v>0</v>
      </c>
      <c r="AC116" s="421" t="n">
        <v>0</v>
      </c>
      <c r="AD116" s="421" t="n">
        <v>0</v>
      </c>
      <c r="AE116" s="421" t="n">
        <v>0</v>
      </c>
      <c r="AF116" s="513" t="n">
        <v>0</v>
      </c>
      <c r="AG116" s="421" t="n">
        <v>0</v>
      </c>
      <c r="AH116" s="421" t="n">
        <v>0</v>
      </c>
      <c r="AI116" s="421" t="n">
        <v>0</v>
      </c>
      <c r="AJ116" s="421" t="n">
        <v>0</v>
      </c>
      <c r="AK116" s="421" t="n">
        <v>0</v>
      </c>
      <c r="AL116" s="421" t="n">
        <v>0</v>
      </c>
      <c r="AM116" s="421" t="n">
        <v>0</v>
      </c>
      <c r="AN116" s="421" t="n">
        <v>0</v>
      </c>
      <c r="AO116" s="421" t="n">
        <v>0</v>
      </c>
      <c r="AP116" s="421" t="n">
        <v>0</v>
      </c>
      <c r="AQ116" s="421" t="n">
        <v>0</v>
      </c>
      <c r="AR116" s="513" t="n">
        <v>0</v>
      </c>
      <c r="AS116" s="421" t="n">
        <v>0</v>
      </c>
      <c r="AT116" s="421" t="n">
        <v>0</v>
      </c>
      <c r="AU116" s="421" t="n">
        <v>0</v>
      </c>
      <c r="AV116" s="421" t="n">
        <v>0</v>
      </c>
      <c r="AW116" s="421" t="n">
        <v>0</v>
      </c>
      <c r="AX116" s="421" t="n">
        <v>0</v>
      </c>
      <c r="AY116" s="421" t="n">
        <v>0</v>
      </c>
      <c r="AZ116" s="421" t="n">
        <v>0</v>
      </c>
      <c r="BA116" s="421" t="n">
        <v>0</v>
      </c>
      <c r="BB116" s="421" t="n">
        <v>0</v>
      </c>
      <c r="BC116" s="421" t="n">
        <v>0</v>
      </c>
      <c r="BD116" s="513" t="n">
        <v>0</v>
      </c>
      <c r="BE116" s="421" t="n">
        <v>0</v>
      </c>
      <c r="BF116" s="421" t="n">
        <v>0</v>
      </c>
      <c r="BG116" s="421" t="n">
        <v>0</v>
      </c>
      <c r="BH116" s="421" t="n">
        <v>0</v>
      </c>
      <c r="BI116" s="421" t="n">
        <v>0</v>
      </c>
      <c r="BJ116" s="421" t="n">
        <v>0</v>
      </c>
      <c r="BK116" s="421" t="n">
        <v>0</v>
      </c>
      <c r="BL116" s="421" t="n">
        <v>0</v>
      </c>
      <c r="BM116" s="421" t="n">
        <v>0</v>
      </c>
      <c r="BN116" s="421" t="n">
        <v>0</v>
      </c>
      <c r="BO116" s="421" t="n">
        <v>0</v>
      </c>
      <c r="BP116" s="513" t="n">
        <v>0</v>
      </c>
      <c r="BQ116" s="421" t="n">
        <v>0</v>
      </c>
      <c r="BR116" s="421" t="n">
        <v>0</v>
      </c>
      <c r="BS116" s="421" t="n">
        <v>0</v>
      </c>
      <c r="BT116" s="421" t="n">
        <v>0</v>
      </c>
      <c r="BU116" s="421" t="n">
        <v>0</v>
      </c>
      <c r="BV116" s="421" t="n">
        <v>0</v>
      </c>
      <c r="BW116" s="421" t="n">
        <v>0</v>
      </c>
      <c r="BX116" s="421" t="n">
        <v>0</v>
      </c>
      <c r="BY116" s="421" t="n">
        <v>0</v>
      </c>
      <c r="BZ116" s="421" t="n">
        <v>0</v>
      </c>
      <c r="CA116" s="421" t="n">
        <v>0</v>
      </c>
      <c r="CB116" s="513" t="n">
        <v>0</v>
      </c>
      <c r="CC116" s="421" t="n">
        <v>0</v>
      </c>
      <c r="CD116" s="421" t="n">
        <v>0</v>
      </c>
      <c r="CE116" s="421" t="n">
        <v>0</v>
      </c>
      <c r="CF116" s="421" t="n">
        <v>0</v>
      </c>
      <c r="CG116" s="421" t="n">
        <v>0</v>
      </c>
      <c r="CH116" s="421" t="n">
        <v>0</v>
      </c>
      <c r="CI116" s="421" t="n">
        <v>0</v>
      </c>
      <c r="CJ116" s="421" t="n">
        <v>0</v>
      </c>
      <c r="CK116" s="421" t="n">
        <v>0</v>
      </c>
      <c r="CL116" s="421" t="n">
        <v>0</v>
      </c>
      <c r="CM116" s="421" t="n">
        <v>0</v>
      </c>
      <c r="CN116" s="513" t="n">
        <v>0</v>
      </c>
      <c r="CO116" s="421" t="n">
        <v>0</v>
      </c>
      <c r="CP116" s="421" t="n">
        <v>0</v>
      </c>
      <c r="CQ116" s="421" t="n">
        <v>0</v>
      </c>
      <c r="CR116" s="421" t="n">
        <v>0</v>
      </c>
      <c r="CS116" s="421" t="n">
        <v>0</v>
      </c>
      <c r="CT116" s="421" t="n">
        <v>0</v>
      </c>
      <c r="CU116" s="421" t="n">
        <v>0</v>
      </c>
      <c r="CV116" s="421" t="n">
        <v>0</v>
      </c>
      <c r="CW116" s="421" t="n">
        <v>0</v>
      </c>
      <c r="CX116" s="421" t="n">
        <v>0</v>
      </c>
      <c r="CY116" s="421" t="n">
        <v>0</v>
      </c>
      <c r="CZ116" s="513" t="n">
        <v>0</v>
      </c>
      <c r="DA116" s="421" t="n">
        <v>0</v>
      </c>
      <c r="DB116" s="421" t="n">
        <v>0</v>
      </c>
      <c r="DC116" s="421" t="n">
        <v>0</v>
      </c>
      <c r="DD116" s="421" t="n">
        <v>0</v>
      </c>
      <c r="DE116" s="421" t="n">
        <v>0</v>
      </c>
      <c r="DF116" s="421" t="n">
        <v>0</v>
      </c>
      <c r="DG116" s="421" t="n">
        <v>0</v>
      </c>
      <c r="DH116" s="421" t="n">
        <v>0</v>
      </c>
      <c r="DI116" s="421" t="n">
        <v>0</v>
      </c>
      <c r="DJ116" s="421" t="n">
        <v>0</v>
      </c>
      <c r="DK116" s="421" t="n">
        <v>0</v>
      </c>
      <c r="DL116" s="513" t="n">
        <v>0</v>
      </c>
      <c r="DM116" s="421" t="n">
        <v>0</v>
      </c>
      <c r="DN116" s="421" t="n">
        <v>0</v>
      </c>
      <c r="DO116" s="421" t="n">
        <v>0</v>
      </c>
      <c r="DP116" s="421" t="n">
        <v>0</v>
      </c>
      <c r="DQ116" s="421" t="n">
        <v>0</v>
      </c>
      <c r="DR116" s="421" t="n">
        <v>0</v>
      </c>
      <c r="DS116" s="421" t="n">
        <v>0</v>
      </c>
      <c r="DT116" s="421" t="n">
        <v>0</v>
      </c>
      <c r="DU116" s="421" t="n">
        <v>0</v>
      </c>
      <c r="DV116" s="421" t="n">
        <v>0</v>
      </c>
      <c r="DW116" s="421" t="n">
        <v>0</v>
      </c>
      <c r="DX116" s="421" t="n">
        <v>0</v>
      </c>
      <c r="DY116" s="421" t="n">
        <v>0</v>
      </c>
      <c r="DZ116" s="421" t="n">
        <v>0</v>
      </c>
      <c r="EA116" s="421" t="n">
        <v>0</v>
      </c>
      <c r="EB116" s="421" t="n">
        <v>0</v>
      </c>
      <c r="EC116" s="421" t="n">
        <v>0</v>
      </c>
      <c r="ED116" s="421" t="n">
        <v>0</v>
      </c>
      <c r="EE116" s="421" t="n">
        <v>0</v>
      </c>
      <c r="EF116" s="421" t="n">
        <v>0</v>
      </c>
      <c r="EG116" s="421" t="n">
        <v>0</v>
      </c>
      <c r="EH116" s="421" t="n">
        <v>0</v>
      </c>
      <c r="EI116" s="472" t="n">
        <v>0</v>
      </c>
    </row>
    <row r="117" s="514" customFormat="true" ht="13.5" hidden="false" customHeight="true" outlineLevel="0" collapsed="false">
      <c r="A117" s="10"/>
      <c r="B117" s="16" t="s">
        <v>612</v>
      </c>
      <c r="C117" s="613"/>
      <c r="D117" s="610" t="n">
        <f aca="false">'Executive Summary'!C24</f>
        <v>5200000</v>
      </c>
      <c r="E117" s="610" t="n">
        <f aca="false">SUM(G117:EI117)</f>
        <v>5200000</v>
      </c>
      <c r="F117" s="17"/>
      <c r="G117" s="610" t="n">
        <f aca="false">D117</f>
        <v>5200000</v>
      </c>
      <c r="H117" s="513" t="n">
        <v>0</v>
      </c>
      <c r="I117" s="421" t="n">
        <v>0</v>
      </c>
      <c r="J117" s="421" t="n">
        <v>0</v>
      </c>
      <c r="K117" s="421" t="n">
        <v>0</v>
      </c>
      <c r="L117" s="421" t="n">
        <v>0</v>
      </c>
      <c r="M117" s="421" t="n">
        <v>0</v>
      </c>
      <c r="N117" s="421" t="n">
        <v>0</v>
      </c>
      <c r="O117" s="421" t="n">
        <v>0</v>
      </c>
      <c r="P117" s="421" t="n">
        <v>0</v>
      </c>
      <c r="Q117" s="421" t="n">
        <v>0</v>
      </c>
      <c r="R117" s="421" t="n">
        <v>0</v>
      </c>
      <c r="S117" s="421" t="n">
        <v>0</v>
      </c>
      <c r="T117" s="513" t="n">
        <v>0</v>
      </c>
      <c r="U117" s="421" t="n">
        <v>0</v>
      </c>
      <c r="V117" s="421" t="n">
        <v>0</v>
      </c>
      <c r="W117" s="421" t="n">
        <v>0</v>
      </c>
      <c r="X117" s="421" t="n">
        <v>0</v>
      </c>
      <c r="Y117" s="421" t="n">
        <v>0</v>
      </c>
      <c r="Z117" s="421" t="n">
        <v>0</v>
      </c>
      <c r="AA117" s="421" t="n">
        <v>0</v>
      </c>
      <c r="AB117" s="421" t="n">
        <v>0</v>
      </c>
      <c r="AC117" s="421" t="n">
        <v>0</v>
      </c>
      <c r="AD117" s="421" t="n">
        <v>0</v>
      </c>
      <c r="AE117" s="421" t="n">
        <v>0</v>
      </c>
      <c r="AF117" s="513" t="n">
        <v>0</v>
      </c>
      <c r="AG117" s="421" t="n">
        <v>0</v>
      </c>
      <c r="AH117" s="421" t="n">
        <v>0</v>
      </c>
      <c r="AI117" s="421" t="n">
        <v>0</v>
      </c>
      <c r="AJ117" s="421" t="n">
        <v>0</v>
      </c>
      <c r="AK117" s="421" t="n">
        <v>0</v>
      </c>
      <c r="AL117" s="421" t="n">
        <v>0</v>
      </c>
      <c r="AM117" s="421" t="n">
        <v>0</v>
      </c>
      <c r="AN117" s="421" t="n">
        <v>0</v>
      </c>
      <c r="AO117" s="421" t="n">
        <v>0</v>
      </c>
      <c r="AP117" s="421" t="n">
        <v>0</v>
      </c>
      <c r="AQ117" s="421" t="n">
        <v>0</v>
      </c>
      <c r="AR117" s="513" t="n">
        <v>0</v>
      </c>
      <c r="AS117" s="421" t="n">
        <v>0</v>
      </c>
      <c r="AT117" s="421" t="n">
        <v>0</v>
      </c>
      <c r="AU117" s="421" t="n">
        <v>0</v>
      </c>
      <c r="AV117" s="421" t="n">
        <v>0</v>
      </c>
      <c r="AW117" s="421" t="n">
        <v>0</v>
      </c>
      <c r="AX117" s="421" t="n">
        <v>0</v>
      </c>
      <c r="AY117" s="421" t="n">
        <v>0</v>
      </c>
      <c r="AZ117" s="421" t="n">
        <v>0</v>
      </c>
      <c r="BA117" s="421" t="n">
        <v>0</v>
      </c>
      <c r="BB117" s="421" t="n">
        <v>0</v>
      </c>
      <c r="BC117" s="421" t="n">
        <v>0</v>
      </c>
      <c r="BD117" s="513" t="n">
        <v>0</v>
      </c>
      <c r="BE117" s="421" t="n">
        <v>0</v>
      </c>
      <c r="BF117" s="421" t="n">
        <v>0</v>
      </c>
      <c r="BG117" s="421" t="n">
        <v>0</v>
      </c>
      <c r="BH117" s="421" t="n">
        <v>0</v>
      </c>
      <c r="BI117" s="421" t="n">
        <v>0</v>
      </c>
      <c r="BJ117" s="421" t="n">
        <v>0</v>
      </c>
      <c r="BK117" s="421" t="n">
        <v>0</v>
      </c>
      <c r="BL117" s="421" t="n">
        <v>0</v>
      </c>
      <c r="BM117" s="421" t="n">
        <v>0</v>
      </c>
      <c r="BN117" s="421" t="n">
        <v>0</v>
      </c>
      <c r="BO117" s="421" t="n">
        <v>0</v>
      </c>
      <c r="BP117" s="513" t="n">
        <v>0</v>
      </c>
      <c r="BQ117" s="421" t="n">
        <v>0</v>
      </c>
      <c r="BR117" s="421" t="n">
        <v>0</v>
      </c>
      <c r="BS117" s="421" t="n">
        <v>0</v>
      </c>
      <c r="BT117" s="421" t="n">
        <v>0</v>
      </c>
      <c r="BU117" s="421" t="n">
        <v>0</v>
      </c>
      <c r="BV117" s="421" t="n">
        <v>0</v>
      </c>
      <c r="BW117" s="421" t="n">
        <v>0</v>
      </c>
      <c r="BX117" s="421" t="n">
        <v>0</v>
      </c>
      <c r="BY117" s="421" t="n">
        <v>0</v>
      </c>
      <c r="BZ117" s="421" t="n">
        <v>0</v>
      </c>
      <c r="CA117" s="421" t="n">
        <v>0</v>
      </c>
      <c r="CB117" s="513" t="n">
        <v>0</v>
      </c>
      <c r="CC117" s="421" t="n">
        <v>0</v>
      </c>
      <c r="CD117" s="421" t="n">
        <v>0</v>
      </c>
      <c r="CE117" s="421" t="n">
        <v>0</v>
      </c>
      <c r="CF117" s="421" t="n">
        <v>0</v>
      </c>
      <c r="CG117" s="421" t="n">
        <v>0</v>
      </c>
      <c r="CH117" s="421" t="n">
        <v>0</v>
      </c>
      <c r="CI117" s="421" t="n">
        <v>0</v>
      </c>
      <c r="CJ117" s="421" t="n">
        <v>0</v>
      </c>
      <c r="CK117" s="421" t="n">
        <v>0</v>
      </c>
      <c r="CL117" s="421" t="n">
        <v>0</v>
      </c>
      <c r="CM117" s="421" t="n">
        <v>0</v>
      </c>
      <c r="CN117" s="513" t="n">
        <v>0</v>
      </c>
      <c r="CO117" s="421" t="n">
        <v>0</v>
      </c>
      <c r="CP117" s="421" t="n">
        <v>0</v>
      </c>
      <c r="CQ117" s="421" t="n">
        <v>0</v>
      </c>
      <c r="CR117" s="421" t="n">
        <v>0</v>
      </c>
      <c r="CS117" s="421" t="n">
        <v>0</v>
      </c>
      <c r="CT117" s="421" t="n">
        <v>0</v>
      </c>
      <c r="CU117" s="421" t="n">
        <v>0</v>
      </c>
      <c r="CV117" s="421" t="n">
        <v>0</v>
      </c>
      <c r="CW117" s="421" t="n">
        <v>0</v>
      </c>
      <c r="CX117" s="421" t="n">
        <v>0</v>
      </c>
      <c r="CY117" s="421" t="n">
        <v>0</v>
      </c>
      <c r="CZ117" s="513" t="n">
        <v>0</v>
      </c>
      <c r="DA117" s="421" t="n">
        <v>0</v>
      </c>
      <c r="DB117" s="421" t="n">
        <v>0</v>
      </c>
      <c r="DC117" s="421" t="n">
        <v>0</v>
      </c>
      <c r="DD117" s="421" t="n">
        <v>0</v>
      </c>
      <c r="DE117" s="421" t="n">
        <v>0</v>
      </c>
      <c r="DF117" s="421" t="n">
        <v>0</v>
      </c>
      <c r="DG117" s="421" t="n">
        <v>0</v>
      </c>
      <c r="DH117" s="421" t="n">
        <v>0</v>
      </c>
      <c r="DI117" s="421" t="n">
        <v>0</v>
      </c>
      <c r="DJ117" s="421" t="n">
        <v>0</v>
      </c>
      <c r="DK117" s="421" t="n">
        <v>0</v>
      </c>
      <c r="DL117" s="513" t="n">
        <v>0</v>
      </c>
      <c r="DM117" s="421" t="n">
        <v>0</v>
      </c>
      <c r="DN117" s="421" t="n">
        <v>0</v>
      </c>
      <c r="DO117" s="421" t="n">
        <v>0</v>
      </c>
      <c r="DP117" s="421" t="n">
        <v>0</v>
      </c>
      <c r="DQ117" s="421" t="n">
        <v>0</v>
      </c>
      <c r="DR117" s="421" t="n">
        <v>0</v>
      </c>
      <c r="DS117" s="421" t="n">
        <v>0</v>
      </c>
      <c r="DT117" s="421" t="n">
        <v>0</v>
      </c>
      <c r="DU117" s="421" t="n">
        <v>0</v>
      </c>
      <c r="DV117" s="421" t="n">
        <v>0</v>
      </c>
      <c r="DW117" s="421" t="n">
        <v>0</v>
      </c>
      <c r="DX117" s="421" t="n">
        <v>0</v>
      </c>
      <c r="DY117" s="421" t="n">
        <v>0</v>
      </c>
      <c r="DZ117" s="421" t="n">
        <v>0</v>
      </c>
      <c r="EA117" s="421" t="n">
        <v>0</v>
      </c>
      <c r="EB117" s="421" t="n">
        <v>0</v>
      </c>
      <c r="EC117" s="421" t="n">
        <v>0</v>
      </c>
      <c r="ED117" s="421" t="n">
        <v>0</v>
      </c>
      <c r="EE117" s="421" t="n">
        <v>0</v>
      </c>
      <c r="EF117" s="421" t="n">
        <v>0</v>
      </c>
      <c r="EG117" s="421" t="n">
        <v>0</v>
      </c>
      <c r="EH117" s="421" t="n">
        <v>0</v>
      </c>
      <c r="EI117" s="472" t="n">
        <v>0</v>
      </c>
    </row>
    <row r="118" s="514" customFormat="true" ht="13.5" hidden="false" customHeight="true" outlineLevel="0" collapsed="false">
      <c r="A118" s="10"/>
      <c r="B118" s="58" t="s">
        <v>613</v>
      </c>
      <c r="C118" s="616"/>
      <c r="D118" s="617"/>
      <c r="E118" s="617" t="n">
        <f aca="false">SUM(G118:EI118)</f>
        <v>0</v>
      </c>
      <c r="F118" s="10"/>
      <c r="G118" s="617" t="n">
        <f aca="false">G93</f>
        <v>0</v>
      </c>
      <c r="H118" s="559" t="n">
        <f aca="false">H93</f>
        <v>0</v>
      </c>
      <c r="I118" s="522" t="n">
        <f aca="false">I93</f>
        <v>0</v>
      </c>
      <c r="J118" s="522" t="n">
        <f aca="false">J93</f>
        <v>0</v>
      </c>
      <c r="K118" s="522" t="n">
        <f aca="false">K93</f>
        <v>0</v>
      </c>
      <c r="L118" s="522" t="n">
        <f aca="false">L93</f>
        <v>0</v>
      </c>
      <c r="M118" s="522" t="n">
        <f aca="false">M93</f>
        <v>0</v>
      </c>
      <c r="N118" s="522" t="n">
        <f aca="false">N93</f>
        <v>0</v>
      </c>
      <c r="O118" s="522" t="n">
        <f aca="false">O93</f>
        <v>0</v>
      </c>
      <c r="P118" s="522" t="n">
        <f aca="false">P93</f>
        <v>0</v>
      </c>
      <c r="Q118" s="522" t="n">
        <f aca="false">Q93</f>
        <v>0</v>
      </c>
      <c r="R118" s="522" t="n">
        <f aca="false">R93</f>
        <v>0</v>
      </c>
      <c r="S118" s="522" t="n">
        <f aca="false">S93</f>
        <v>0</v>
      </c>
      <c r="T118" s="559" t="n">
        <f aca="false">T93</f>
        <v>0</v>
      </c>
      <c r="U118" s="522" t="n">
        <f aca="false">U93</f>
        <v>0</v>
      </c>
      <c r="V118" s="522" t="n">
        <f aca="false">V93</f>
        <v>0</v>
      </c>
      <c r="W118" s="522" t="n">
        <f aca="false">W93</f>
        <v>0</v>
      </c>
      <c r="X118" s="522" t="n">
        <f aca="false">X93</f>
        <v>0</v>
      </c>
      <c r="Y118" s="522" t="n">
        <f aca="false">Y93</f>
        <v>0</v>
      </c>
      <c r="Z118" s="522" t="n">
        <f aca="false">Z93</f>
        <v>0</v>
      </c>
      <c r="AA118" s="522" t="n">
        <f aca="false">AA93</f>
        <v>0</v>
      </c>
      <c r="AB118" s="522" t="n">
        <f aca="false">AB93</f>
        <v>0</v>
      </c>
      <c r="AC118" s="522" t="n">
        <f aca="false">AC93</f>
        <v>0</v>
      </c>
      <c r="AD118" s="522" t="n">
        <f aca="false">AD93</f>
        <v>0</v>
      </c>
      <c r="AE118" s="522" t="n">
        <f aca="false">AE93</f>
        <v>0</v>
      </c>
      <c r="AF118" s="559" t="n">
        <f aca="false">AF93</f>
        <v>0</v>
      </c>
      <c r="AG118" s="522" t="n">
        <f aca="false">AG93</f>
        <v>0</v>
      </c>
      <c r="AH118" s="522" t="n">
        <f aca="false">AH93</f>
        <v>0</v>
      </c>
      <c r="AI118" s="522" t="n">
        <f aca="false">AI93</f>
        <v>0</v>
      </c>
      <c r="AJ118" s="522" t="n">
        <f aca="false">AJ93</f>
        <v>0</v>
      </c>
      <c r="AK118" s="522" t="n">
        <f aca="false">AK93</f>
        <v>0</v>
      </c>
      <c r="AL118" s="522" t="n">
        <f aca="false">AL93</f>
        <v>0</v>
      </c>
      <c r="AM118" s="522" t="n">
        <f aca="false">AM93</f>
        <v>0</v>
      </c>
      <c r="AN118" s="522" t="n">
        <f aca="false">AN93</f>
        <v>0</v>
      </c>
      <c r="AO118" s="522" t="n">
        <f aca="false">AO93</f>
        <v>0</v>
      </c>
      <c r="AP118" s="522" t="n">
        <f aca="false">AP93</f>
        <v>0</v>
      </c>
      <c r="AQ118" s="522" t="n">
        <f aca="false">AQ93</f>
        <v>0</v>
      </c>
      <c r="AR118" s="559" t="n">
        <f aca="false">AR93</f>
        <v>0</v>
      </c>
      <c r="AS118" s="522" t="n">
        <f aca="false">AS93</f>
        <v>0</v>
      </c>
      <c r="AT118" s="522" t="n">
        <f aca="false">AT93</f>
        <v>0</v>
      </c>
      <c r="AU118" s="522" t="n">
        <f aca="false">AU93</f>
        <v>0</v>
      </c>
      <c r="AV118" s="522" t="n">
        <f aca="false">AV93</f>
        <v>0</v>
      </c>
      <c r="AW118" s="522" t="n">
        <f aca="false">AW93</f>
        <v>0</v>
      </c>
      <c r="AX118" s="522" t="n">
        <f aca="false">AX93</f>
        <v>0</v>
      </c>
      <c r="AY118" s="522" t="n">
        <f aca="false">AY93</f>
        <v>0</v>
      </c>
      <c r="AZ118" s="522" t="n">
        <f aca="false">AZ93</f>
        <v>0</v>
      </c>
      <c r="BA118" s="522" t="n">
        <f aca="false">BA93</f>
        <v>0</v>
      </c>
      <c r="BB118" s="522" t="n">
        <f aca="false">BB93</f>
        <v>0</v>
      </c>
      <c r="BC118" s="522" t="n">
        <f aca="false">BC93</f>
        <v>0</v>
      </c>
      <c r="BD118" s="559" t="n">
        <f aca="false">BD93</f>
        <v>0</v>
      </c>
      <c r="BE118" s="522" t="n">
        <f aca="false">BE93</f>
        <v>0</v>
      </c>
      <c r="BF118" s="522" t="n">
        <f aca="false">BF93</f>
        <v>0</v>
      </c>
      <c r="BG118" s="522" t="n">
        <f aca="false">BG93</f>
        <v>0</v>
      </c>
      <c r="BH118" s="522" t="n">
        <f aca="false">BH93</f>
        <v>0</v>
      </c>
      <c r="BI118" s="522" t="n">
        <f aca="false">BI93</f>
        <v>0</v>
      </c>
      <c r="BJ118" s="522" t="n">
        <f aca="false">BJ93</f>
        <v>0</v>
      </c>
      <c r="BK118" s="522" t="n">
        <f aca="false">BK93</f>
        <v>0</v>
      </c>
      <c r="BL118" s="522" t="n">
        <f aca="false">BL93</f>
        <v>0</v>
      </c>
      <c r="BM118" s="522" t="n">
        <f aca="false">BM93</f>
        <v>0</v>
      </c>
      <c r="BN118" s="522" t="n">
        <f aca="false">BN93</f>
        <v>0</v>
      </c>
      <c r="BO118" s="522" t="n">
        <f aca="false">BO93</f>
        <v>0</v>
      </c>
      <c r="BP118" s="559" t="n">
        <f aca="false">BP93</f>
        <v>0</v>
      </c>
      <c r="BQ118" s="522" t="n">
        <f aca="false">BQ93</f>
        <v>0</v>
      </c>
      <c r="BR118" s="522" t="n">
        <f aca="false">BR93</f>
        <v>0</v>
      </c>
      <c r="BS118" s="522" t="n">
        <f aca="false">BS93</f>
        <v>0</v>
      </c>
      <c r="BT118" s="522" t="n">
        <f aca="false">BT93</f>
        <v>0</v>
      </c>
      <c r="BU118" s="522" t="n">
        <f aca="false">BU93</f>
        <v>0</v>
      </c>
      <c r="BV118" s="522" t="n">
        <f aca="false">BV93</f>
        <v>0</v>
      </c>
      <c r="BW118" s="522" t="n">
        <f aca="false">BW93</f>
        <v>0</v>
      </c>
      <c r="BX118" s="522" t="n">
        <f aca="false">BX93</f>
        <v>0</v>
      </c>
      <c r="BY118" s="522" t="n">
        <f aca="false">BY93</f>
        <v>0</v>
      </c>
      <c r="BZ118" s="522" t="n">
        <f aca="false">BZ93</f>
        <v>0</v>
      </c>
      <c r="CA118" s="522" t="n">
        <f aca="false">CA93</f>
        <v>0</v>
      </c>
      <c r="CB118" s="559" t="n">
        <f aca="false">CB93</f>
        <v>0</v>
      </c>
      <c r="CC118" s="522" t="n">
        <f aca="false">CC93</f>
        <v>0</v>
      </c>
      <c r="CD118" s="522" t="n">
        <f aca="false">CD93</f>
        <v>0</v>
      </c>
      <c r="CE118" s="522" t="n">
        <f aca="false">CE93</f>
        <v>0</v>
      </c>
      <c r="CF118" s="522" t="n">
        <f aca="false">CF93</f>
        <v>0</v>
      </c>
      <c r="CG118" s="522" t="n">
        <f aca="false">CG93</f>
        <v>0</v>
      </c>
      <c r="CH118" s="522" t="n">
        <f aca="false">CH93</f>
        <v>0</v>
      </c>
      <c r="CI118" s="522" t="n">
        <f aca="false">CI93</f>
        <v>0</v>
      </c>
      <c r="CJ118" s="522" t="n">
        <f aca="false">CJ93</f>
        <v>0</v>
      </c>
      <c r="CK118" s="522" t="n">
        <f aca="false">CK93</f>
        <v>0</v>
      </c>
      <c r="CL118" s="522" t="n">
        <f aca="false">CL93</f>
        <v>0</v>
      </c>
      <c r="CM118" s="522" t="n">
        <f aca="false">CM93</f>
        <v>0</v>
      </c>
      <c r="CN118" s="559" t="n">
        <f aca="false">CN93</f>
        <v>0</v>
      </c>
      <c r="CO118" s="522" t="n">
        <f aca="false">CO93</f>
        <v>0</v>
      </c>
      <c r="CP118" s="522" t="n">
        <f aca="false">CP93</f>
        <v>0</v>
      </c>
      <c r="CQ118" s="522" t="n">
        <f aca="false">CQ93</f>
        <v>0</v>
      </c>
      <c r="CR118" s="522" t="n">
        <f aca="false">CR93</f>
        <v>0</v>
      </c>
      <c r="CS118" s="522" t="n">
        <f aca="false">CS93</f>
        <v>0</v>
      </c>
      <c r="CT118" s="522" t="n">
        <f aca="false">CT93</f>
        <v>0</v>
      </c>
      <c r="CU118" s="522" t="n">
        <f aca="false">CU93</f>
        <v>0</v>
      </c>
      <c r="CV118" s="522" t="n">
        <f aca="false">CV93</f>
        <v>0</v>
      </c>
      <c r="CW118" s="522" t="n">
        <f aca="false">CW93</f>
        <v>0</v>
      </c>
      <c r="CX118" s="522" t="n">
        <f aca="false">CX93</f>
        <v>0</v>
      </c>
      <c r="CY118" s="522" t="n">
        <f aca="false">CY93</f>
        <v>0</v>
      </c>
      <c r="CZ118" s="559" t="n">
        <f aca="false">CZ93</f>
        <v>0</v>
      </c>
      <c r="DA118" s="522" t="n">
        <f aca="false">DA93</f>
        <v>0</v>
      </c>
      <c r="DB118" s="522" t="n">
        <f aca="false">DB93</f>
        <v>0</v>
      </c>
      <c r="DC118" s="522" t="n">
        <f aca="false">DC93</f>
        <v>0</v>
      </c>
      <c r="DD118" s="522" t="n">
        <f aca="false">DD93</f>
        <v>0</v>
      </c>
      <c r="DE118" s="522" t="n">
        <f aca="false">DE93</f>
        <v>0</v>
      </c>
      <c r="DF118" s="522" t="n">
        <f aca="false">DF93</f>
        <v>0</v>
      </c>
      <c r="DG118" s="522" t="n">
        <f aca="false">DG93</f>
        <v>0</v>
      </c>
      <c r="DH118" s="522" t="n">
        <f aca="false">DH93</f>
        <v>0</v>
      </c>
      <c r="DI118" s="522" t="n">
        <f aca="false">DI93</f>
        <v>0</v>
      </c>
      <c r="DJ118" s="522" t="n">
        <f aca="false">DJ93</f>
        <v>0</v>
      </c>
      <c r="DK118" s="522" t="n">
        <f aca="false">DK93</f>
        <v>0</v>
      </c>
      <c r="DL118" s="559" t="n">
        <f aca="false">DL93</f>
        <v>0</v>
      </c>
      <c r="DM118" s="522" t="n">
        <f aca="false">DM93</f>
        <v>0</v>
      </c>
      <c r="DN118" s="522" t="n">
        <f aca="false">DN93</f>
        <v>0</v>
      </c>
      <c r="DO118" s="522" t="n">
        <f aca="false">DO93</f>
        <v>0</v>
      </c>
      <c r="DP118" s="522" t="n">
        <f aca="false">DP93</f>
        <v>0</v>
      </c>
      <c r="DQ118" s="522" t="n">
        <f aca="false">DQ93</f>
        <v>0</v>
      </c>
      <c r="DR118" s="522" t="n">
        <f aca="false">DR93</f>
        <v>0</v>
      </c>
      <c r="DS118" s="522" t="n">
        <f aca="false">DS93</f>
        <v>0</v>
      </c>
      <c r="DT118" s="522" t="n">
        <f aca="false">DT93</f>
        <v>0</v>
      </c>
      <c r="DU118" s="522" t="n">
        <f aca="false">DU93</f>
        <v>0</v>
      </c>
      <c r="DV118" s="522" t="n">
        <f aca="false">DV93</f>
        <v>0</v>
      </c>
      <c r="DW118" s="522" t="n">
        <f aca="false">DW93</f>
        <v>0</v>
      </c>
      <c r="DX118" s="522" t="n">
        <f aca="false">DX93</f>
        <v>0</v>
      </c>
      <c r="DY118" s="522" t="n">
        <f aca="false">DY93</f>
        <v>0</v>
      </c>
      <c r="DZ118" s="522" t="n">
        <f aca="false">DZ93</f>
        <v>0</v>
      </c>
      <c r="EA118" s="522" t="n">
        <f aca="false">EA93</f>
        <v>0</v>
      </c>
      <c r="EB118" s="522" t="n">
        <f aca="false">EB93</f>
        <v>0</v>
      </c>
      <c r="EC118" s="522" t="n">
        <f aca="false">EC93</f>
        <v>0</v>
      </c>
      <c r="ED118" s="522" t="n">
        <f aca="false">ED93</f>
        <v>0</v>
      </c>
      <c r="EE118" s="522" t="n">
        <f aca="false">EE93</f>
        <v>0</v>
      </c>
      <c r="EF118" s="522" t="n">
        <f aca="false">EF93</f>
        <v>0</v>
      </c>
      <c r="EG118" s="522" t="n">
        <f aca="false">EG93</f>
        <v>0</v>
      </c>
      <c r="EH118" s="522" t="n">
        <f aca="false">EH93</f>
        <v>0</v>
      </c>
      <c r="EI118" s="558" t="n">
        <f aca="false">EI93</f>
        <v>0</v>
      </c>
    </row>
    <row r="119" s="514" customFormat="true" ht="13.5" hidden="false" customHeight="true" outlineLevel="0" collapsed="false">
      <c r="A119" s="10"/>
      <c r="B119" s="16" t="s">
        <v>580</v>
      </c>
      <c r="C119" s="613"/>
      <c r="D119" s="610"/>
      <c r="E119" s="610" t="n">
        <f aca="false">SUM(G119:EI119)</f>
        <v>2393865.62929534</v>
      </c>
      <c r="F119" s="17"/>
      <c r="G119" s="610" t="n">
        <v>0</v>
      </c>
      <c r="H119" s="513" t="n">
        <f aca="false">IF(H$4&lt;='Executive Summary'!$I$13,H68,0)</f>
        <v>33566.9675677262</v>
      </c>
      <c r="I119" s="421" t="n">
        <f aca="false">IF(I$4&lt;='Executive Summary'!$I$13,I68,0)</f>
        <v>33881.3324795458</v>
      </c>
      <c r="J119" s="421" t="n">
        <f aca="false">IF(J$4&lt;='Executive Summary'!$I$13,J68,0)</f>
        <v>34293.6189069643</v>
      </c>
      <c r="K119" s="421" t="n">
        <f aca="false">IF(K$4&lt;='Executive Summary'!$I$13,K68,0)</f>
        <v>34612.5307386409</v>
      </c>
      <c r="L119" s="421" t="n">
        <f aca="false">IF(L$4&lt;='Executive Summary'!$I$13,L68,0)</f>
        <v>35030.2636871266</v>
      </c>
      <c r="M119" s="421" t="n">
        <f aca="false">IF(M$4&lt;='Executive Summary'!$I$13,M68,0)</f>
        <v>35354.5194852039</v>
      </c>
      <c r="N119" s="421" t="n">
        <f aca="false">IF(N$4&lt;='Executive Summary'!$I$13,N68,0)</f>
        <v>35777.7046814451</v>
      </c>
      <c r="O119" s="421" t="n">
        <f aca="false">IF(O$4&lt;='Executive Summary'!$I$13,O68,0)</f>
        <v>36107.3100597005</v>
      </c>
      <c r="P119" s="421" t="n">
        <f aca="false">IF(P$4&lt;='Executive Summary'!$I$13,P68,0)</f>
        <v>36535.9532358474</v>
      </c>
      <c r="Q119" s="421" t="n">
        <f aca="false">IF(Q$4&lt;='Executive Summary'!$I$13,Q68,0)</f>
        <v>36870.9138133953</v>
      </c>
      <c r="R119" s="421" t="n">
        <f aca="false">IF(R$4&lt;='Executive Summary'!$I$13,R68,0)</f>
        <v>37305.0207070635</v>
      </c>
      <c r="S119" s="421" t="n">
        <f aca="false">IF(S$4&lt;='Executive Summary'!$I$13,S68,0)</f>
        <v>37645.3421083579</v>
      </c>
      <c r="T119" s="513" t="n">
        <f aca="false">IF(T$4&lt;='Executive Summary'!$I$13,T68,0)</f>
        <v>37400.0370720445</v>
      </c>
      <c r="U119" s="421" t="n">
        <f aca="false">IF(U$4&lt;='Executive Summary'!$I$13,U68,0)</f>
        <v>37586.9895832961</v>
      </c>
      <c r="V119" s="421" t="n">
        <f aca="false">IF(V$4&lt;='Executive Summary'!$I$13,V68,0)</f>
        <v>37689.0102387643</v>
      </c>
      <c r="W119" s="421" t="n">
        <f aca="false">IF(W$4&lt;='Executive Summary'!$I$13,W68,0)</f>
        <v>37898.2235958018</v>
      </c>
      <c r="X119" s="421" t="n">
        <f aca="false">IF(X$4&lt;='Executive Summary'!$I$13,X68,0)</f>
        <v>38022.47104903</v>
      </c>
      <c r="Y119" s="421" t="n">
        <f aca="false">IF(Y$4&lt;='Executive Summary'!$I$13,Y68,0)</f>
        <v>38254.0880723647</v>
      </c>
      <c r="Z119" s="421" t="n">
        <f aca="false">IF(Z$4&lt;='Executive Summary'!$I$13,Z68,0)</f>
        <v>38400.7054237251</v>
      </c>
      <c r="AA119" s="421" t="n">
        <f aca="false">IF(AA$4&lt;='Executive Summary'!$I$13,AA68,0)</f>
        <v>38654.8697258128</v>
      </c>
      <c r="AB119" s="421" t="n">
        <f aca="false">IF(AB$4&lt;='Executive Summary'!$I$13,AB68,0)</f>
        <v>38824.0008696311</v>
      </c>
      <c r="AC119" s="421" t="n">
        <f aca="false">IF(AC$4&lt;='Executive Summary'!$I$13,AC68,0)</f>
        <v>39100.8568591485</v>
      </c>
      <c r="AD119" s="421" t="n">
        <f aca="false">IF(AD$4&lt;='Executive Summary'!$I$13,AD68,0)</f>
        <v>39292.6464879907</v>
      </c>
      <c r="AE119" s="421" t="n">
        <f aca="false">IF(AE$4&lt;='Executive Summary'!$I$13,AE68,0)</f>
        <v>39592.3393741345</v>
      </c>
      <c r="AF119" s="513" t="n">
        <f aca="false">IF(AF$4&lt;='Executive Summary'!$I$13,AF68,0)</f>
        <v>39670.076142706</v>
      </c>
      <c r="AG119" s="421" t="n">
        <f aca="false">IF(AG$4&lt;='Executive Summary'!$I$13,AG68,0)</f>
        <v>39801.0003946463</v>
      </c>
      <c r="AH119" s="421" t="n">
        <f aca="false">IF(AH$4&lt;='Executive Summary'!$I$13,AH68,0)</f>
        <v>39931.1835461155</v>
      </c>
      <c r="AI119" s="421" t="n">
        <f aca="false">IF(AI$4&lt;='Executive Summary'!$I$13,AI68,0)</f>
        <v>40060.6208910402</v>
      </c>
      <c r="AJ119" s="421" t="n">
        <f aca="false">IF(AJ$4&lt;='Executive Summary'!$I$13,AJ68,0)</f>
        <v>40189.3077039859</v>
      </c>
      <c r="AK119" s="421" t="n">
        <f aca="false">IF(AK$4&lt;='Executive Summary'!$I$13,AK68,0)</f>
        <v>40317.2392400883</v>
      </c>
      <c r="AL119" s="421" t="n">
        <f aca="false">IF(AL$4&lt;='Executive Summary'!$I$13,AL68,0)</f>
        <v>40444.4107349846</v>
      </c>
      <c r="AM119" s="421" t="n">
        <f aca="false">IF(AM$4&lt;='Executive Summary'!$I$13,AM68,0)</f>
        <v>40570.8174047442</v>
      </c>
      <c r="AN119" s="421" t="n">
        <f aca="false">IF(AN$4&lt;='Executive Summary'!$I$13,AN68,0)</f>
        <v>40696.4544457999</v>
      </c>
      <c r="AO119" s="421" t="n">
        <f aca="false">IF(AO$4&lt;='Executive Summary'!$I$13,AO68,0)</f>
        <v>40827.9277788097</v>
      </c>
      <c r="AP119" s="421" t="n">
        <f aca="false">IF(AP$4&lt;='Executive Summary'!$I$13,AP68,0)</f>
        <v>40945.4003289288</v>
      </c>
      <c r="AQ119" s="421" t="n">
        <f aca="false">IF(AQ$4&lt;='Executive Summary'!$I$13,AQ68,0)</f>
        <v>41068.6994650564</v>
      </c>
      <c r="AR119" s="513" t="n">
        <f aca="false">IF(AR$4&lt;='Executive Summary'!$I$13,AR68,0)</f>
        <v>41140.7592109464</v>
      </c>
      <c r="AS119" s="421" t="n">
        <f aca="false">IF(AS$4&lt;='Executive Summary'!$I$13,AS68,0)</f>
        <v>41264.7271089206</v>
      </c>
      <c r="AT119" s="421" t="n">
        <f aca="false">IF(AT$4&lt;='Executive Summary'!$I$13,AT68,0)</f>
        <v>41389.0306994113</v>
      </c>
      <c r="AU119" s="421" t="n">
        <f aca="false">IF(AU$4&lt;='Executive Summary'!$I$13,AU68,0)</f>
        <v>41513.6708597988</v>
      </c>
      <c r="AV119" s="421" t="n">
        <f aca="false">IF(AV$4&lt;='Executive Summary'!$I$13,AV68,0)</f>
        <v>41638.6484697087</v>
      </c>
      <c r="AW119" s="421" t="n">
        <f aca="false">IF(AW$4&lt;='Executive Summary'!$I$13,AW68,0)</f>
        <v>41763.964411018</v>
      </c>
      <c r="AX119" s="421" t="n">
        <f aca="false">IF(AX$4&lt;='Executive Summary'!$I$13,AX68,0)</f>
        <v>41889.6195678607</v>
      </c>
      <c r="AY119" s="421" t="n">
        <f aca="false">IF(AY$4&lt;='Executive Summary'!$I$13,AY68,0)</f>
        <v>42015.6148266331</v>
      </c>
      <c r="AZ119" s="421" t="n">
        <f aca="false">IF(AZ$4&lt;='Executive Summary'!$I$13,AZ68,0)</f>
        <v>42141.9510760002</v>
      </c>
      <c r="BA119" s="421" t="n">
        <f aca="false">IF(BA$4&lt;='Executive Summary'!$I$13,BA68,0)</f>
        <v>42268.6292069009</v>
      </c>
      <c r="BB119" s="421" t="n">
        <f aca="false">IF(BB$4&lt;='Executive Summary'!$I$13,BB68,0)</f>
        <v>42395.6501125539</v>
      </c>
      <c r="BC119" s="421" t="n">
        <f aca="false">IF(BC$4&lt;='Executive Summary'!$I$13,BC68,0)</f>
        <v>42523.0146884636</v>
      </c>
      <c r="BD119" s="513" t="n">
        <f aca="false">IF(BD$4&lt;='Executive Summary'!$I$13,BD68,0)</f>
        <v>42597.6032976765</v>
      </c>
      <c r="BE119" s="421" t="n">
        <f aca="false">IF(BE$4&lt;='Executive Summary'!$I$13,BE68,0)</f>
        <v>42725.6579097835</v>
      </c>
      <c r="BF119" s="421" t="n">
        <f aca="false">IF(BF$4&lt;='Executive Summary'!$I$13,BF68,0)</f>
        <v>42854.0588924315</v>
      </c>
      <c r="BG119" s="421" t="n">
        <f aca="false">IF(BG$4&lt;='Executive Summary'!$I$13,BG68,0)</f>
        <v>42982.8071503247</v>
      </c>
      <c r="BH119" s="421" t="n">
        <f aca="false">IF(BH$4&lt;='Executive Summary'!$I$13,BH68,0)</f>
        <v>43111.9035904823</v>
      </c>
      <c r="BI119" s="421" t="n">
        <f aca="false">IF(BI$4&lt;='Executive Summary'!$I$13,BI68,0)</f>
        <v>43241.3491222438</v>
      </c>
      <c r="BJ119" s="421" t="n">
        <f aca="false">IF(BJ$4&lt;='Executive Summary'!$I$13,BJ68,0)</f>
        <v>43371.1446572751</v>
      </c>
      <c r="BK119" s="421" t="n">
        <f aca="false">IF(BK$4&lt;='Executive Summary'!$I$13,BK68,0)</f>
        <v>43501.291109574</v>
      </c>
      <c r="BL119" s="421" t="n">
        <f aca="false">IF(BL$4&lt;='Executive Summary'!$I$13,BL68,0)</f>
        <v>43631.7893954767</v>
      </c>
      <c r="BM119" s="421" t="n">
        <f aca="false">IF(BM$4&lt;='Executive Summary'!$I$13,BM68,0)</f>
        <v>43762.640433663</v>
      </c>
      <c r="BN119" s="421" t="n">
        <f aca="false">IF(BN$4&lt;='Executive Summary'!$I$13,BN68,0)</f>
        <v>43893.8451451629</v>
      </c>
      <c r="BO119" s="421" t="n">
        <f aca="false">IF(BO$4&lt;='Executive Summary'!$I$13,BO68,0)</f>
        <v>44025.4044533621</v>
      </c>
      <c r="BP119" s="513" t="n">
        <f aca="false">IF(BP$4&lt;='Executive Summary'!$I$13,BP68,0)</f>
        <v>0</v>
      </c>
      <c r="BQ119" s="421" t="n">
        <f aca="false">IF(BQ$4&lt;='Executive Summary'!$I$13,BQ68,0)</f>
        <v>0</v>
      </c>
      <c r="BR119" s="421" t="n">
        <f aca="false">IF(BR$4&lt;='Executive Summary'!$I$13,BR68,0)</f>
        <v>0</v>
      </c>
      <c r="BS119" s="421" t="n">
        <f aca="false">IF(BS$4&lt;='Executive Summary'!$I$13,BS68,0)</f>
        <v>0</v>
      </c>
      <c r="BT119" s="421" t="n">
        <f aca="false">IF(BT$4&lt;='Executive Summary'!$I$13,BT68,0)</f>
        <v>0</v>
      </c>
      <c r="BU119" s="421" t="n">
        <f aca="false">IF(BU$4&lt;='Executive Summary'!$I$13,BU68,0)</f>
        <v>0</v>
      </c>
      <c r="BV119" s="421" t="n">
        <f aca="false">IF(BV$4&lt;='Executive Summary'!$I$13,BV68,0)</f>
        <v>0</v>
      </c>
      <c r="BW119" s="421" t="n">
        <f aca="false">IF(BW$4&lt;='Executive Summary'!$I$13,BW68,0)</f>
        <v>0</v>
      </c>
      <c r="BX119" s="421" t="n">
        <f aca="false">IF(BX$4&lt;='Executive Summary'!$I$13,BX68,0)</f>
        <v>0</v>
      </c>
      <c r="BY119" s="421" t="n">
        <f aca="false">IF(BY$4&lt;='Executive Summary'!$I$13,BY68,0)</f>
        <v>0</v>
      </c>
      <c r="BZ119" s="421" t="n">
        <f aca="false">IF(BZ$4&lt;='Executive Summary'!$I$13,BZ68,0)</f>
        <v>0</v>
      </c>
      <c r="CA119" s="421" t="n">
        <f aca="false">IF(CA$4&lt;='Executive Summary'!$I$13,CA68,0)</f>
        <v>0</v>
      </c>
      <c r="CB119" s="513" t="n">
        <f aca="false">IF(CB$4&lt;='Executive Summary'!$I$13,CB68,0)</f>
        <v>0</v>
      </c>
      <c r="CC119" s="421" t="n">
        <f aca="false">IF(CC$4&lt;='Executive Summary'!$I$13,CC68,0)</f>
        <v>0</v>
      </c>
      <c r="CD119" s="421" t="n">
        <f aca="false">IF(CD$4&lt;='Executive Summary'!$I$13,CD68,0)</f>
        <v>0</v>
      </c>
      <c r="CE119" s="421" t="n">
        <f aca="false">IF(CE$4&lt;='Executive Summary'!$I$13,CE68,0)</f>
        <v>0</v>
      </c>
      <c r="CF119" s="421" t="n">
        <f aca="false">IF(CF$4&lt;='Executive Summary'!$I$13,CF68,0)</f>
        <v>0</v>
      </c>
      <c r="CG119" s="421" t="n">
        <f aca="false">IF(CG$4&lt;='Executive Summary'!$I$13,CG68,0)</f>
        <v>0</v>
      </c>
      <c r="CH119" s="421" t="n">
        <f aca="false">IF(CH$4&lt;='Executive Summary'!$I$13,CH68,0)</f>
        <v>0</v>
      </c>
      <c r="CI119" s="421" t="n">
        <f aca="false">IF(CI$4&lt;='Executive Summary'!$I$13,CI68,0)</f>
        <v>0</v>
      </c>
      <c r="CJ119" s="421" t="n">
        <f aca="false">IF(CJ$4&lt;='Executive Summary'!$I$13,CJ68,0)</f>
        <v>0</v>
      </c>
      <c r="CK119" s="421" t="n">
        <f aca="false">IF(CK$4&lt;='Executive Summary'!$I$13,CK68,0)</f>
        <v>0</v>
      </c>
      <c r="CL119" s="421" t="n">
        <f aca="false">IF(CL$4&lt;='Executive Summary'!$I$13,CL68,0)</f>
        <v>0</v>
      </c>
      <c r="CM119" s="421" t="n">
        <f aca="false">IF(CM$4&lt;='Executive Summary'!$I$13,CM68,0)</f>
        <v>0</v>
      </c>
      <c r="CN119" s="513" t="n">
        <f aca="false">IF(CN$4&lt;='Executive Summary'!$I$13,CN68,0)</f>
        <v>0</v>
      </c>
      <c r="CO119" s="421" t="n">
        <f aca="false">IF(CO$4&lt;='Executive Summary'!$I$13,CO68,0)</f>
        <v>0</v>
      </c>
      <c r="CP119" s="421" t="n">
        <f aca="false">IF(CP$4&lt;='Executive Summary'!$I$13,CP68,0)</f>
        <v>0</v>
      </c>
      <c r="CQ119" s="421" t="n">
        <f aca="false">IF(CQ$4&lt;='Executive Summary'!$I$13,CQ68,0)</f>
        <v>0</v>
      </c>
      <c r="CR119" s="421" t="n">
        <f aca="false">IF(CR$4&lt;='Executive Summary'!$I$13,CR68,0)</f>
        <v>0</v>
      </c>
      <c r="CS119" s="421" t="n">
        <f aca="false">IF(CS$4&lt;='Executive Summary'!$I$13,CS68,0)</f>
        <v>0</v>
      </c>
      <c r="CT119" s="421" t="n">
        <f aca="false">IF(CT$4&lt;='Executive Summary'!$I$13,CT68,0)</f>
        <v>0</v>
      </c>
      <c r="CU119" s="421" t="n">
        <f aca="false">IF(CU$4&lt;='Executive Summary'!$I$13,CU68,0)</f>
        <v>0</v>
      </c>
      <c r="CV119" s="421" t="n">
        <f aca="false">IF(CV$4&lt;='Executive Summary'!$I$13,CV68,0)</f>
        <v>0</v>
      </c>
      <c r="CW119" s="421" t="n">
        <f aca="false">IF(CW$4&lt;='Executive Summary'!$I$13,CW68,0)</f>
        <v>0</v>
      </c>
      <c r="CX119" s="421" t="n">
        <f aca="false">IF(CX$4&lt;='Executive Summary'!$I$13,CX68,0)</f>
        <v>0</v>
      </c>
      <c r="CY119" s="421" t="n">
        <f aca="false">IF(CY$4&lt;='Executive Summary'!$I$13,CY68,0)</f>
        <v>0</v>
      </c>
      <c r="CZ119" s="513" t="n">
        <f aca="false">IF(CZ$4&lt;='Executive Summary'!$I$13,CZ68,0)</f>
        <v>0</v>
      </c>
      <c r="DA119" s="421" t="n">
        <f aca="false">IF(DA$4&lt;='Executive Summary'!$I$13,DA68,0)</f>
        <v>0</v>
      </c>
      <c r="DB119" s="421" t="n">
        <f aca="false">IF(DB$4&lt;='Executive Summary'!$I$13,DB68,0)</f>
        <v>0</v>
      </c>
      <c r="DC119" s="421" t="n">
        <f aca="false">IF(DC$4&lt;='Executive Summary'!$I$13,DC68,0)</f>
        <v>0</v>
      </c>
      <c r="DD119" s="421" t="n">
        <f aca="false">IF(DD$4&lt;='Executive Summary'!$I$13,DD68,0)</f>
        <v>0</v>
      </c>
      <c r="DE119" s="421" t="n">
        <f aca="false">IF(DE$4&lt;='Executive Summary'!$I$13,DE68,0)</f>
        <v>0</v>
      </c>
      <c r="DF119" s="421" t="n">
        <f aca="false">IF(DF$4&lt;='Executive Summary'!$I$13,DF68,0)</f>
        <v>0</v>
      </c>
      <c r="DG119" s="421" t="n">
        <f aca="false">IF(DG$4&lt;='Executive Summary'!$I$13,DG68,0)</f>
        <v>0</v>
      </c>
      <c r="DH119" s="421" t="n">
        <f aca="false">IF(DH$4&lt;='Executive Summary'!$I$13,DH68,0)</f>
        <v>0</v>
      </c>
      <c r="DI119" s="421" t="n">
        <f aca="false">IF(DI$4&lt;='Executive Summary'!$I$13,DI68,0)</f>
        <v>0</v>
      </c>
      <c r="DJ119" s="421" t="n">
        <f aca="false">IF(DJ$4&lt;='Executive Summary'!$I$13,DJ68,0)</f>
        <v>0</v>
      </c>
      <c r="DK119" s="421" t="n">
        <f aca="false">IF(DK$4&lt;='Executive Summary'!$I$13,DK68,0)</f>
        <v>0</v>
      </c>
      <c r="DL119" s="513" t="n">
        <f aca="false">IF(DL$4&lt;='Executive Summary'!$I$13,DL68,0)</f>
        <v>0</v>
      </c>
      <c r="DM119" s="421" t="n">
        <f aca="false">IF(DM$4&lt;='Executive Summary'!$I$13,DM68,0)</f>
        <v>0</v>
      </c>
      <c r="DN119" s="421" t="n">
        <f aca="false">IF(DN$4&lt;='Executive Summary'!$I$13,DN68,0)</f>
        <v>0</v>
      </c>
      <c r="DO119" s="421" t="n">
        <f aca="false">IF(DO$4&lt;='Executive Summary'!$I$13,DO68,0)</f>
        <v>0</v>
      </c>
      <c r="DP119" s="421" t="n">
        <f aca="false">IF(DP$4&lt;='Executive Summary'!$I$13,DP68,0)</f>
        <v>0</v>
      </c>
      <c r="DQ119" s="421" t="n">
        <f aca="false">IF(DQ$4&lt;='Executive Summary'!$I$13,DQ68,0)</f>
        <v>0</v>
      </c>
      <c r="DR119" s="421" t="n">
        <f aca="false">IF(DR$4&lt;='Executive Summary'!$I$13,DR68,0)</f>
        <v>0</v>
      </c>
      <c r="DS119" s="421" t="n">
        <f aca="false">IF(DS$4&lt;='Executive Summary'!$I$13,DS68,0)</f>
        <v>0</v>
      </c>
      <c r="DT119" s="421" t="n">
        <f aca="false">IF(DT$4&lt;='Executive Summary'!$I$13,DT68,0)</f>
        <v>0</v>
      </c>
      <c r="DU119" s="421" t="n">
        <f aca="false">IF(DU$4&lt;='Executive Summary'!$I$13,DU68,0)</f>
        <v>0</v>
      </c>
      <c r="DV119" s="421" t="n">
        <f aca="false">IF(DV$4&lt;='Executive Summary'!$I$13,DV68,0)</f>
        <v>0</v>
      </c>
      <c r="DW119" s="421" t="n">
        <f aca="false">IF(DW$4&lt;='Executive Summary'!$I$13,DW68,0)</f>
        <v>0</v>
      </c>
      <c r="DX119" s="421" t="n">
        <f aca="false">IF(DX$4&lt;='Executive Summary'!$I$13,DX68,0)</f>
        <v>0</v>
      </c>
      <c r="DY119" s="421" t="n">
        <f aca="false">IF(DY$4&lt;='Executive Summary'!$I$13,DY68,0)</f>
        <v>0</v>
      </c>
      <c r="DZ119" s="421" t="n">
        <f aca="false">IF(DZ$4&lt;='Executive Summary'!$I$13,DZ68,0)</f>
        <v>0</v>
      </c>
      <c r="EA119" s="421" t="n">
        <f aca="false">IF(EA$4&lt;='Executive Summary'!$I$13,EA68,0)</f>
        <v>0</v>
      </c>
      <c r="EB119" s="421" t="n">
        <f aca="false">IF(EB$4&lt;='Executive Summary'!$I$13,EB68,0)</f>
        <v>0</v>
      </c>
      <c r="EC119" s="421" t="n">
        <f aca="false">IF(EC$4&lt;='Executive Summary'!$I$13,EC68,0)</f>
        <v>0</v>
      </c>
      <c r="ED119" s="421" t="n">
        <f aca="false">IF(ED$4&lt;='Executive Summary'!$I$13,ED68,0)</f>
        <v>0</v>
      </c>
      <c r="EE119" s="421" t="n">
        <f aca="false">IF(EE$4&lt;='Executive Summary'!$I$13,EE68,0)</f>
        <v>0</v>
      </c>
      <c r="EF119" s="421" t="n">
        <f aca="false">IF(EF$4&lt;='Executive Summary'!$I$13,EF68,0)</f>
        <v>0</v>
      </c>
      <c r="EG119" s="421" t="n">
        <f aca="false">IF(EG$4&lt;='Executive Summary'!$I$13,EG68,0)</f>
        <v>0</v>
      </c>
      <c r="EH119" s="421" t="n">
        <f aca="false">IF(EH$4&lt;='Executive Summary'!$I$13,EH68,0)</f>
        <v>0</v>
      </c>
      <c r="EI119" s="472" t="n">
        <f aca="false">IF(EI$4&lt;='Executive Summary'!$I$13,EI68,0)</f>
        <v>0</v>
      </c>
    </row>
    <row r="120" s="514" customFormat="true" ht="13.5" hidden="false" customHeight="true" outlineLevel="0" collapsed="false">
      <c r="A120" s="10"/>
      <c r="B120" s="16" t="s">
        <v>72</v>
      </c>
      <c r="C120" s="521"/>
      <c r="D120" s="610"/>
      <c r="E120" s="610" t="n">
        <f aca="false">SUM(G120:EI120)</f>
        <v>8958541.51718959</v>
      </c>
      <c r="F120" s="17"/>
      <c r="G120" s="610" t="n">
        <f aca="false">G59/'Executive Summary'!$I$15</f>
        <v>0</v>
      </c>
      <c r="H120" s="513" t="n">
        <f aca="false">H59/'Executive Summary'!$I$15</f>
        <v>0</v>
      </c>
      <c r="I120" s="421" t="n">
        <f aca="false">I59/'Executive Summary'!$I$15</f>
        <v>0</v>
      </c>
      <c r="J120" s="421" t="n">
        <f aca="false">J59/'Executive Summary'!$I$15</f>
        <v>0</v>
      </c>
      <c r="K120" s="421" t="n">
        <f aca="false">K59/'Executive Summary'!$I$15</f>
        <v>0</v>
      </c>
      <c r="L120" s="421" t="n">
        <f aca="false">L59/'Executive Summary'!$I$15</f>
        <v>0</v>
      </c>
      <c r="M120" s="421" t="n">
        <f aca="false">M59/'Executive Summary'!$I$15</f>
        <v>0</v>
      </c>
      <c r="N120" s="421" t="n">
        <f aca="false">N59/'Executive Summary'!$I$15</f>
        <v>0</v>
      </c>
      <c r="O120" s="421" t="n">
        <f aca="false">O59/'Executive Summary'!$I$15</f>
        <v>0</v>
      </c>
      <c r="P120" s="421" t="n">
        <f aca="false">P59/'Executive Summary'!$I$15</f>
        <v>0</v>
      </c>
      <c r="Q120" s="421" t="n">
        <f aca="false">Q59/'Executive Summary'!$I$15</f>
        <v>0</v>
      </c>
      <c r="R120" s="421" t="n">
        <f aca="false">R59/'Executive Summary'!$I$15</f>
        <v>0</v>
      </c>
      <c r="S120" s="421" t="n">
        <f aca="false">S59/'Executive Summary'!$I$15</f>
        <v>0</v>
      </c>
      <c r="T120" s="513" t="n">
        <f aca="false">T59/'Executive Summary'!$I$15</f>
        <v>0</v>
      </c>
      <c r="U120" s="421" t="n">
        <f aca="false">U59/'Executive Summary'!$I$15</f>
        <v>0</v>
      </c>
      <c r="V120" s="421" t="n">
        <f aca="false">V59/'Executive Summary'!$I$15</f>
        <v>0</v>
      </c>
      <c r="W120" s="421" t="n">
        <f aca="false">W59/'Executive Summary'!$I$15</f>
        <v>0</v>
      </c>
      <c r="X120" s="421" t="n">
        <f aca="false">X59/'Executive Summary'!$I$15</f>
        <v>0</v>
      </c>
      <c r="Y120" s="421" t="n">
        <f aca="false">Y59/'Executive Summary'!$I$15</f>
        <v>0</v>
      </c>
      <c r="Z120" s="421" t="n">
        <f aca="false">Z59/'Executive Summary'!$I$15</f>
        <v>0</v>
      </c>
      <c r="AA120" s="421" t="n">
        <f aca="false">AA59/'Executive Summary'!$I$15</f>
        <v>0</v>
      </c>
      <c r="AB120" s="421" t="n">
        <f aca="false">AB59/'Executive Summary'!$I$15</f>
        <v>0</v>
      </c>
      <c r="AC120" s="421" t="n">
        <f aca="false">AC59/'Executive Summary'!$I$15</f>
        <v>0</v>
      </c>
      <c r="AD120" s="421" t="n">
        <f aca="false">AD59/'Executive Summary'!$I$15</f>
        <v>0</v>
      </c>
      <c r="AE120" s="421" t="n">
        <f aca="false">AE59/'Executive Summary'!$I$15</f>
        <v>0</v>
      </c>
      <c r="AF120" s="513" t="n">
        <f aca="false">AF59/'Executive Summary'!$I$15</f>
        <v>0</v>
      </c>
      <c r="AG120" s="421" t="n">
        <f aca="false">AG59/'Executive Summary'!$I$15</f>
        <v>0</v>
      </c>
      <c r="AH120" s="421" t="n">
        <f aca="false">AH59/'Executive Summary'!$I$15</f>
        <v>0</v>
      </c>
      <c r="AI120" s="421" t="n">
        <f aca="false">AI59/'Executive Summary'!$I$15</f>
        <v>0</v>
      </c>
      <c r="AJ120" s="421" t="n">
        <f aca="false">AJ59/'Executive Summary'!$I$15</f>
        <v>0</v>
      </c>
      <c r="AK120" s="421" t="n">
        <f aca="false">AK59/'Executive Summary'!$I$15</f>
        <v>0</v>
      </c>
      <c r="AL120" s="421" t="n">
        <f aca="false">AL59/'Executive Summary'!$I$15</f>
        <v>0</v>
      </c>
      <c r="AM120" s="421" t="n">
        <f aca="false">AM59/'Executive Summary'!$I$15</f>
        <v>0</v>
      </c>
      <c r="AN120" s="421" t="n">
        <f aca="false">AN59/'Executive Summary'!$I$15</f>
        <v>0</v>
      </c>
      <c r="AO120" s="421" t="n">
        <f aca="false">AO59/'Executive Summary'!$I$15</f>
        <v>0</v>
      </c>
      <c r="AP120" s="421" t="n">
        <f aca="false">AP59/'Executive Summary'!$I$15</f>
        <v>0</v>
      </c>
      <c r="AQ120" s="421" t="n">
        <f aca="false">AQ59/'Executive Summary'!$I$15</f>
        <v>0</v>
      </c>
      <c r="AR120" s="513" t="n">
        <f aca="false">AR59/'Executive Summary'!$I$15</f>
        <v>0</v>
      </c>
      <c r="AS120" s="421" t="n">
        <f aca="false">AS59/'Executive Summary'!$I$15</f>
        <v>0</v>
      </c>
      <c r="AT120" s="421" t="n">
        <f aca="false">AT59/'Executive Summary'!$I$15</f>
        <v>0</v>
      </c>
      <c r="AU120" s="421" t="n">
        <f aca="false">AU59/'Executive Summary'!$I$15</f>
        <v>0</v>
      </c>
      <c r="AV120" s="421" t="n">
        <f aca="false">AV59/'Executive Summary'!$I$15</f>
        <v>0</v>
      </c>
      <c r="AW120" s="421" t="n">
        <f aca="false">AW59/'Executive Summary'!$I$15</f>
        <v>0</v>
      </c>
      <c r="AX120" s="421" t="n">
        <f aca="false">AX59/'Executive Summary'!$I$15</f>
        <v>0</v>
      </c>
      <c r="AY120" s="421" t="n">
        <f aca="false">AY59/'Executive Summary'!$I$15</f>
        <v>0</v>
      </c>
      <c r="AZ120" s="421" t="n">
        <f aca="false">AZ59/'Executive Summary'!$I$15</f>
        <v>0</v>
      </c>
      <c r="BA120" s="421" t="n">
        <f aca="false">BA59/'Executive Summary'!$I$15</f>
        <v>0</v>
      </c>
      <c r="BB120" s="421" t="n">
        <f aca="false">BB59/'Executive Summary'!$I$15</f>
        <v>0</v>
      </c>
      <c r="BC120" s="421" t="n">
        <f aca="false">BC59/'Executive Summary'!$I$15</f>
        <v>0</v>
      </c>
      <c r="BD120" s="513" t="n">
        <f aca="false">BD59/'Executive Summary'!$I$15</f>
        <v>0</v>
      </c>
      <c r="BE120" s="421" t="n">
        <f aca="false">BE59/'Executive Summary'!$I$15</f>
        <v>0</v>
      </c>
      <c r="BF120" s="421" t="n">
        <f aca="false">BF59/'Executive Summary'!$I$15</f>
        <v>0</v>
      </c>
      <c r="BG120" s="421" t="n">
        <f aca="false">BG59/'Executive Summary'!$I$15</f>
        <v>0</v>
      </c>
      <c r="BH120" s="421" t="n">
        <f aca="false">BH59/'Executive Summary'!$I$15</f>
        <v>0</v>
      </c>
      <c r="BI120" s="421" t="n">
        <f aca="false">BI59/'Executive Summary'!$I$15</f>
        <v>0</v>
      </c>
      <c r="BJ120" s="421" t="n">
        <f aca="false">BJ59/'Executive Summary'!$I$15</f>
        <v>0</v>
      </c>
      <c r="BK120" s="421" t="n">
        <f aca="false">BK59/'Executive Summary'!$I$15</f>
        <v>0</v>
      </c>
      <c r="BL120" s="421" t="n">
        <f aca="false">BL59/'Executive Summary'!$I$15</f>
        <v>0</v>
      </c>
      <c r="BM120" s="421" t="n">
        <f aca="false">BM59/'Executive Summary'!$I$15</f>
        <v>0</v>
      </c>
      <c r="BN120" s="421" t="n">
        <f aca="false">BN59/'Executive Summary'!$I$15</f>
        <v>0</v>
      </c>
      <c r="BO120" s="421" t="n">
        <f aca="false">BO59/'Executive Summary'!$I$15</f>
        <v>8958541.51718959</v>
      </c>
      <c r="BP120" s="513" t="n">
        <f aca="false">BP59/'Executive Summary'!$I$15</f>
        <v>0</v>
      </c>
      <c r="BQ120" s="421" t="n">
        <f aca="false">BQ59/'Executive Summary'!$I$15</f>
        <v>0</v>
      </c>
      <c r="BR120" s="421" t="n">
        <f aca="false">BR59/'Executive Summary'!$I$15</f>
        <v>0</v>
      </c>
      <c r="BS120" s="421" t="n">
        <f aca="false">BS59/'Executive Summary'!$I$15</f>
        <v>0</v>
      </c>
      <c r="BT120" s="421" t="n">
        <f aca="false">BT59/'Executive Summary'!$I$15</f>
        <v>0</v>
      </c>
      <c r="BU120" s="421" t="n">
        <f aca="false">BU59/'Executive Summary'!$I$15</f>
        <v>0</v>
      </c>
      <c r="BV120" s="421" t="n">
        <f aca="false">BV59/'Executive Summary'!$I$15</f>
        <v>0</v>
      </c>
      <c r="BW120" s="421" t="n">
        <f aca="false">BW59/'Executive Summary'!$I$15</f>
        <v>0</v>
      </c>
      <c r="BX120" s="421" t="n">
        <f aca="false">BX59/'Executive Summary'!$I$15</f>
        <v>0</v>
      </c>
      <c r="BY120" s="421" t="n">
        <f aca="false">BY59/'Executive Summary'!$I$15</f>
        <v>0</v>
      </c>
      <c r="BZ120" s="421" t="n">
        <f aca="false">BZ59/'Executive Summary'!$I$15</f>
        <v>0</v>
      </c>
      <c r="CA120" s="421" t="n">
        <f aca="false">CA59/'Executive Summary'!$I$15</f>
        <v>0</v>
      </c>
      <c r="CB120" s="513" t="n">
        <f aca="false">CB59/'Executive Summary'!$I$15</f>
        <v>0</v>
      </c>
      <c r="CC120" s="421" t="n">
        <f aca="false">CC59/'Executive Summary'!$I$15</f>
        <v>0</v>
      </c>
      <c r="CD120" s="421" t="n">
        <f aca="false">CD59/'Executive Summary'!$I$15</f>
        <v>0</v>
      </c>
      <c r="CE120" s="421" t="n">
        <f aca="false">CE59/'Executive Summary'!$I$15</f>
        <v>0</v>
      </c>
      <c r="CF120" s="421" t="n">
        <f aca="false">CF59/'Executive Summary'!$I$15</f>
        <v>0</v>
      </c>
      <c r="CG120" s="421" t="n">
        <f aca="false">CG59/'Executive Summary'!$I$15</f>
        <v>0</v>
      </c>
      <c r="CH120" s="421" t="n">
        <f aca="false">CH59/'Executive Summary'!$I$15</f>
        <v>0</v>
      </c>
      <c r="CI120" s="421" t="n">
        <f aca="false">CI59/'Executive Summary'!$I$15</f>
        <v>0</v>
      </c>
      <c r="CJ120" s="421" t="n">
        <f aca="false">CJ59/'Executive Summary'!$I$15</f>
        <v>0</v>
      </c>
      <c r="CK120" s="421" t="n">
        <f aca="false">CK59/'Executive Summary'!$I$15</f>
        <v>0</v>
      </c>
      <c r="CL120" s="421" t="n">
        <f aca="false">CL59/'Executive Summary'!$I$15</f>
        <v>0</v>
      </c>
      <c r="CM120" s="421" t="n">
        <f aca="false">CM59/'Executive Summary'!$I$15</f>
        <v>0</v>
      </c>
      <c r="CN120" s="513" t="n">
        <f aca="false">CN59/'Executive Summary'!$I$15</f>
        <v>0</v>
      </c>
      <c r="CO120" s="421" t="n">
        <f aca="false">CO59/'Executive Summary'!$I$15</f>
        <v>0</v>
      </c>
      <c r="CP120" s="421" t="n">
        <f aca="false">CP59/'Executive Summary'!$I$15</f>
        <v>0</v>
      </c>
      <c r="CQ120" s="421" t="n">
        <f aca="false">CQ59/'Executive Summary'!$I$15</f>
        <v>0</v>
      </c>
      <c r="CR120" s="421" t="n">
        <f aca="false">CR59/'Executive Summary'!$I$15</f>
        <v>0</v>
      </c>
      <c r="CS120" s="421" t="n">
        <f aca="false">CS59/'Executive Summary'!$I$15</f>
        <v>0</v>
      </c>
      <c r="CT120" s="421" t="n">
        <f aca="false">CT59/'Executive Summary'!$I$15</f>
        <v>0</v>
      </c>
      <c r="CU120" s="421" t="n">
        <f aca="false">CU59/'Executive Summary'!$I$15</f>
        <v>0</v>
      </c>
      <c r="CV120" s="421" t="n">
        <f aca="false">CV59/'Executive Summary'!$I$15</f>
        <v>0</v>
      </c>
      <c r="CW120" s="421" t="n">
        <f aca="false">CW59/'Executive Summary'!$I$15</f>
        <v>0</v>
      </c>
      <c r="CX120" s="421" t="n">
        <f aca="false">CX59/'Executive Summary'!$I$15</f>
        <v>0</v>
      </c>
      <c r="CY120" s="421" t="n">
        <f aca="false">CY59/'Executive Summary'!$I$15</f>
        <v>0</v>
      </c>
      <c r="CZ120" s="513" t="n">
        <f aca="false">CZ59/'Executive Summary'!$I$15</f>
        <v>0</v>
      </c>
      <c r="DA120" s="421" t="n">
        <f aca="false">DA59/'Executive Summary'!$I$15</f>
        <v>0</v>
      </c>
      <c r="DB120" s="421" t="n">
        <f aca="false">DB59/'Executive Summary'!$I$15</f>
        <v>0</v>
      </c>
      <c r="DC120" s="421" t="n">
        <f aca="false">DC59/'Executive Summary'!$I$15</f>
        <v>0</v>
      </c>
      <c r="DD120" s="421" t="n">
        <f aca="false">DD59/'Executive Summary'!$I$15</f>
        <v>0</v>
      </c>
      <c r="DE120" s="421" t="n">
        <f aca="false">DE59/'Executive Summary'!$I$15</f>
        <v>0</v>
      </c>
      <c r="DF120" s="421" t="n">
        <f aca="false">DF59/'Executive Summary'!$I$15</f>
        <v>0</v>
      </c>
      <c r="DG120" s="421" t="n">
        <f aca="false">DG59/'Executive Summary'!$I$15</f>
        <v>0</v>
      </c>
      <c r="DH120" s="421" t="n">
        <f aca="false">DH59/'Executive Summary'!$I$15</f>
        <v>0</v>
      </c>
      <c r="DI120" s="421" t="n">
        <f aca="false">DI59/'Executive Summary'!$I$15</f>
        <v>0</v>
      </c>
      <c r="DJ120" s="421" t="n">
        <f aca="false">DJ59/'Executive Summary'!$I$15</f>
        <v>0</v>
      </c>
      <c r="DK120" s="421" t="n">
        <f aca="false">DK59/'Executive Summary'!$I$15</f>
        <v>0</v>
      </c>
      <c r="DL120" s="513" t="n">
        <f aca="false">DL59/'Executive Summary'!$I$15</f>
        <v>0</v>
      </c>
      <c r="DM120" s="421" t="n">
        <f aca="false">DM59/'Executive Summary'!$I$15</f>
        <v>0</v>
      </c>
      <c r="DN120" s="421" t="n">
        <f aca="false">DN59/'Executive Summary'!$I$15</f>
        <v>0</v>
      </c>
      <c r="DO120" s="421" t="n">
        <f aca="false">DO59/'Executive Summary'!$I$15</f>
        <v>0</v>
      </c>
      <c r="DP120" s="421" t="n">
        <f aca="false">DP59/'Executive Summary'!$I$15</f>
        <v>0</v>
      </c>
      <c r="DQ120" s="421" t="n">
        <f aca="false">DQ59/'Executive Summary'!$I$15</f>
        <v>0</v>
      </c>
      <c r="DR120" s="421" t="n">
        <f aca="false">DR59/'Executive Summary'!$I$15</f>
        <v>0</v>
      </c>
      <c r="DS120" s="421" t="n">
        <f aca="false">DS59/'Executive Summary'!$I$15</f>
        <v>0</v>
      </c>
      <c r="DT120" s="421" t="n">
        <f aca="false">DT59/'Executive Summary'!$I$15</f>
        <v>0</v>
      </c>
      <c r="DU120" s="421" t="n">
        <f aca="false">DU59/'Executive Summary'!$I$15</f>
        <v>0</v>
      </c>
      <c r="DV120" s="421" t="n">
        <f aca="false">DV59/'Executive Summary'!$I$15</f>
        <v>0</v>
      </c>
      <c r="DW120" s="421" t="n">
        <f aca="false">DW59/'Executive Summary'!$I$15</f>
        <v>0</v>
      </c>
      <c r="DX120" s="421" t="n">
        <f aca="false">DX59/'Executive Summary'!$I$15</f>
        <v>0</v>
      </c>
      <c r="DY120" s="421" t="n">
        <f aca="false">DY59/'Executive Summary'!$I$15</f>
        <v>0</v>
      </c>
      <c r="DZ120" s="421" t="n">
        <f aca="false">DZ59/'Executive Summary'!$I$15</f>
        <v>0</v>
      </c>
      <c r="EA120" s="421" t="n">
        <f aca="false">EA59/'Executive Summary'!$I$15</f>
        <v>0</v>
      </c>
      <c r="EB120" s="421" t="n">
        <f aca="false">EB59/'Executive Summary'!$I$15</f>
        <v>0</v>
      </c>
      <c r="EC120" s="421" t="n">
        <f aca="false">EC59/'Executive Summary'!$I$15</f>
        <v>0</v>
      </c>
      <c r="ED120" s="421" t="n">
        <f aca="false">ED59/'Executive Summary'!$I$15</f>
        <v>0</v>
      </c>
      <c r="EE120" s="421" t="n">
        <f aca="false">EE59/'Executive Summary'!$I$15</f>
        <v>0</v>
      </c>
      <c r="EF120" s="421" t="n">
        <f aca="false">EF59/'Executive Summary'!$I$15</f>
        <v>0</v>
      </c>
      <c r="EG120" s="421" t="n">
        <f aca="false">EG59/'Executive Summary'!$I$15</f>
        <v>0</v>
      </c>
      <c r="EH120" s="421" t="n">
        <f aca="false">EH59/'Executive Summary'!$I$15</f>
        <v>0</v>
      </c>
      <c r="EI120" s="472" t="n">
        <f aca="false">EI59/'Executive Summary'!$I$15</f>
        <v>0</v>
      </c>
    </row>
    <row r="121" s="514" customFormat="true" ht="13.5" hidden="false" customHeight="true" outlineLevel="0" collapsed="false">
      <c r="A121" s="10"/>
      <c r="B121" s="618" t="s">
        <v>135</v>
      </c>
      <c r="C121" s="521" t="n">
        <f aca="false">'Executive Summary'!I17</f>
        <v>0.02</v>
      </c>
      <c r="D121" s="610"/>
      <c r="E121" s="610" t="n">
        <f aca="false">SUM(G121:EI121)</f>
        <v>-179170.830343792</v>
      </c>
      <c r="F121" s="17"/>
      <c r="G121" s="610" t="n">
        <f aca="false">-$C$121*G120</f>
        <v>-0</v>
      </c>
      <c r="H121" s="513" t="n">
        <f aca="false">-$C$121*H120</f>
        <v>-0</v>
      </c>
      <c r="I121" s="421" t="n">
        <f aca="false">-$C$121*I120</f>
        <v>-0</v>
      </c>
      <c r="J121" s="421" t="n">
        <f aca="false">-$C$121*J120</f>
        <v>-0</v>
      </c>
      <c r="K121" s="421" t="n">
        <f aca="false">-$C$121*K120</f>
        <v>-0</v>
      </c>
      <c r="L121" s="421" t="n">
        <f aca="false">-$C$121*L120</f>
        <v>-0</v>
      </c>
      <c r="M121" s="421" t="n">
        <f aca="false">-$C$121*M120</f>
        <v>-0</v>
      </c>
      <c r="N121" s="421" t="n">
        <f aca="false">-$C$121*N120</f>
        <v>-0</v>
      </c>
      <c r="O121" s="421" t="n">
        <f aca="false">-$C$121*O120</f>
        <v>-0</v>
      </c>
      <c r="P121" s="421" t="n">
        <f aca="false">-$C$121*P120</f>
        <v>-0</v>
      </c>
      <c r="Q121" s="421" t="n">
        <f aca="false">-$C$121*Q120</f>
        <v>-0</v>
      </c>
      <c r="R121" s="421" t="n">
        <f aca="false">-$C$121*R120</f>
        <v>-0</v>
      </c>
      <c r="S121" s="421" t="n">
        <f aca="false">-$C$121*S120</f>
        <v>-0</v>
      </c>
      <c r="T121" s="513" t="n">
        <f aca="false">-$C$121*T120</f>
        <v>-0</v>
      </c>
      <c r="U121" s="421" t="n">
        <f aca="false">-$C$121*U120</f>
        <v>-0</v>
      </c>
      <c r="V121" s="421" t="n">
        <f aca="false">-$C$121*V120</f>
        <v>-0</v>
      </c>
      <c r="W121" s="421" t="n">
        <f aca="false">-$C$121*W120</f>
        <v>-0</v>
      </c>
      <c r="X121" s="421" t="n">
        <f aca="false">-$C$121*X120</f>
        <v>-0</v>
      </c>
      <c r="Y121" s="421" t="n">
        <f aca="false">-$C$121*Y120</f>
        <v>-0</v>
      </c>
      <c r="Z121" s="421" t="n">
        <f aca="false">-$C$121*Z120</f>
        <v>-0</v>
      </c>
      <c r="AA121" s="421" t="n">
        <f aca="false">-$C$121*AA120</f>
        <v>-0</v>
      </c>
      <c r="AB121" s="421" t="n">
        <f aca="false">-$C$121*AB120</f>
        <v>-0</v>
      </c>
      <c r="AC121" s="421" t="n">
        <f aca="false">-$C$121*AC120</f>
        <v>-0</v>
      </c>
      <c r="AD121" s="421" t="n">
        <f aca="false">-$C$121*AD120</f>
        <v>-0</v>
      </c>
      <c r="AE121" s="421" t="n">
        <f aca="false">-$C$121*AE120</f>
        <v>-0</v>
      </c>
      <c r="AF121" s="513" t="n">
        <f aca="false">-$C$121*AF120</f>
        <v>-0</v>
      </c>
      <c r="AG121" s="421" t="n">
        <f aca="false">-$C$121*AG120</f>
        <v>-0</v>
      </c>
      <c r="AH121" s="421" t="n">
        <f aca="false">-$C$121*AH120</f>
        <v>-0</v>
      </c>
      <c r="AI121" s="421" t="n">
        <f aca="false">-$C$121*AI120</f>
        <v>-0</v>
      </c>
      <c r="AJ121" s="421" t="n">
        <f aca="false">-$C$121*AJ120</f>
        <v>-0</v>
      </c>
      <c r="AK121" s="421" t="n">
        <f aca="false">-$C$121*AK120</f>
        <v>-0</v>
      </c>
      <c r="AL121" s="421" t="n">
        <f aca="false">-$C$121*AL120</f>
        <v>-0</v>
      </c>
      <c r="AM121" s="421" t="n">
        <f aca="false">-$C$121*AM120</f>
        <v>-0</v>
      </c>
      <c r="AN121" s="421" t="n">
        <f aca="false">-$C$121*AN120</f>
        <v>-0</v>
      </c>
      <c r="AO121" s="421" t="n">
        <f aca="false">-$C$121*AO120</f>
        <v>-0</v>
      </c>
      <c r="AP121" s="421" t="n">
        <f aca="false">-$C$121*AP120</f>
        <v>-0</v>
      </c>
      <c r="AQ121" s="421" t="n">
        <f aca="false">-$C$121*AQ120</f>
        <v>-0</v>
      </c>
      <c r="AR121" s="513" t="n">
        <f aca="false">-$C$121*AR120</f>
        <v>-0</v>
      </c>
      <c r="AS121" s="421" t="n">
        <f aca="false">-$C$121*AS120</f>
        <v>-0</v>
      </c>
      <c r="AT121" s="421" t="n">
        <f aca="false">-$C$121*AT120</f>
        <v>-0</v>
      </c>
      <c r="AU121" s="421" t="n">
        <f aca="false">-$C$121*AU120</f>
        <v>-0</v>
      </c>
      <c r="AV121" s="421" t="n">
        <f aca="false">-$C$121*AV120</f>
        <v>-0</v>
      </c>
      <c r="AW121" s="421" t="n">
        <f aca="false">-$C$121*AW120</f>
        <v>-0</v>
      </c>
      <c r="AX121" s="421" t="n">
        <f aca="false">-$C$121*AX120</f>
        <v>-0</v>
      </c>
      <c r="AY121" s="421" t="n">
        <f aca="false">-$C$121*AY120</f>
        <v>-0</v>
      </c>
      <c r="AZ121" s="421" t="n">
        <f aca="false">-$C$121*AZ120</f>
        <v>-0</v>
      </c>
      <c r="BA121" s="421" t="n">
        <f aca="false">-$C$121*BA120</f>
        <v>-0</v>
      </c>
      <c r="BB121" s="421" t="n">
        <f aca="false">-$C$121*BB120</f>
        <v>-0</v>
      </c>
      <c r="BC121" s="421" t="n">
        <f aca="false">-$C$121*BC120</f>
        <v>-0</v>
      </c>
      <c r="BD121" s="513" t="n">
        <f aca="false">-$C$121*BD120</f>
        <v>-0</v>
      </c>
      <c r="BE121" s="421" t="n">
        <f aca="false">-$C$121*BE120</f>
        <v>-0</v>
      </c>
      <c r="BF121" s="421" t="n">
        <f aca="false">-$C$121*BF120</f>
        <v>-0</v>
      </c>
      <c r="BG121" s="421" t="n">
        <f aca="false">-$C$121*BG120</f>
        <v>-0</v>
      </c>
      <c r="BH121" s="421" t="n">
        <f aca="false">-$C$121*BH120</f>
        <v>-0</v>
      </c>
      <c r="BI121" s="421" t="n">
        <f aca="false">-$C$121*BI120</f>
        <v>-0</v>
      </c>
      <c r="BJ121" s="421" t="n">
        <f aca="false">-$C$121*BJ120</f>
        <v>-0</v>
      </c>
      <c r="BK121" s="421" t="n">
        <f aca="false">-$C$121*BK120</f>
        <v>-0</v>
      </c>
      <c r="BL121" s="421" t="n">
        <f aca="false">-$C$121*BL120</f>
        <v>-0</v>
      </c>
      <c r="BM121" s="421" t="n">
        <f aca="false">-$C$121*BM120</f>
        <v>-0</v>
      </c>
      <c r="BN121" s="421" t="n">
        <f aca="false">-$C$121*BN120</f>
        <v>-0</v>
      </c>
      <c r="BO121" s="421" t="n">
        <f aca="false">-$C$121*BO120</f>
        <v>-179170.830343792</v>
      </c>
      <c r="BP121" s="513" t="n">
        <f aca="false">-$C$121*BP120</f>
        <v>-0</v>
      </c>
      <c r="BQ121" s="421" t="n">
        <f aca="false">-$C$121*BQ120</f>
        <v>-0</v>
      </c>
      <c r="BR121" s="421" t="n">
        <f aca="false">-$C$121*BR120</f>
        <v>-0</v>
      </c>
      <c r="BS121" s="421" t="n">
        <f aca="false">-$C$121*BS120</f>
        <v>-0</v>
      </c>
      <c r="BT121" s="421" t="n">
        <f aca="false">-$C$121*BT120</f>
        <v>-0</v>
      </c>
      <c r="BU121" s="421" t="n">
        <f aca="false">-$C$121*BU120</f>
        <v>-0</v>
      </c>
      <c r="BV121" s="421" t="n">
        <f aca="false">-$C$121*BV120</f>
        <v>-0</v>
      </c>
      <c r="BW121" s="421" t="n">
        <f aca="false">-$C$121*BW120</f>
        <v>-0</v>
      </c>
      <c r="BX121" s="421" t="n">
        <f aca="false">-$C$121*BX120</f>
        <v>-0</v>
      </c>
      <c r="BY121" s="421" t="n">
        <f aca="false">-$C$121*BY120</f>
        <v>-0</v>
      </c>
      <c r="BZ121" s="421" t="n">
        <f aca="false">-$C$121*BZ120</f>
        <v>-0</v>
      </c>
      <c r="CA121" s="421" t="n">
        <f aca="false">-$C$121*CA120</f>
        <v>-0</v>
      </c>
      <c r="CB121" s="513" t="n">
        <f aca="false">-$C$121*CB120</f>
        <v>-0</v>
      </c>
      <c r="CC121" s="421" t="n">
        <f aca="false">-$C$121*CC120</f>
        <v>-0</v>
      </c>
      <c r="CD121" s="421" t="n">
        <f aca="false">-$C$121*CD120</f>
        <v>-0</v>
      </c>
      <c r="CE121" s="421" t="n">
        <f aca="false">-$C$121*CE120</f>
        <v>-0</v>
      </c>
      <c r="CF121" s="421" t="n">
        <f aca="false">-$C$121*CF120</f>
        <v>-0</v>
      </c>
      <c r="CG121" s="421" t="n">
        <f aca="false">-$C$121*CG120</f>
        <v>-0</v>
      </c>
      <c r="CH121" s="421" t="n">
        <f aca="false">-$C$121*CH120</f>
        <v>-0</v>
      </c>
      <c r="CI121" s="421" t="n">
        <f aca="false">-$C$121*CI120</f>
        <v>-0</v>
      </c>
      <c r="CJ121" s="421" t="n">
        <f aca="false">-$C$121*CJ120</f>
        <v>-0</v>
      </c>
      <c r="CK121" s="421" t="n">
        <f aca="false">-$C$121*CK120</f>
        <v>-0</v>
      </c>
      <c r="CL121" s="421" t="n">
        <f aca="false">-$C$121*CL120</f>
        <v>-0</v>
      </c>
      <c r="CM121" s="421" t="n">
        <f aca="false">-$C$121*CM120</f>
        <v>-0</v>
      </c>
      <c r="CN121" s="513" t="n">
        <f aca="false">-$C$121*CN120</f>
        <v>-0</v>
      </c>
      <c r="CO121" s="421" t="n">
        <f aca="false">-$C$121*CO120</f>
        <v>-0</v>
      </c>
      <c r="CP121" s="421" t="n">
        <f aca="false">-$C$121*CP120</f>
        <v>-0</v>
      </c>
      <c r="CQ121" s="421" t="n">
        <f aca="false">-$C$121*CQ120</f>
        <v>-0</v>
      </c>
      <c r="CR121" s="421" t="n">
        <f aca="false">-$C$121*CR120</f>
        <v>-0</v>
      </c>
      <c r="CS121" s="421" t="n">
        <f aca="false">-$C$121*CS120</f>
        <v>-0</v>
      </c>
      <c r="CT121" s="421" t="n">
        <f aca="false">-$C$121*CT120</f>
        <v>-0</v>
      </c>
      <c r="CU121" s="421" t="n">
        <f aca="false">-$C$121*CU120</f>
        <v>-0</v>
      </c>
      <c r="CV121" s="421" t="n">
        <f aca="false">-$C$121*CV120</f>
        <v>-0</v>
      </c>
      <c r="CW121" s="421" t="n">
        <f aca="false">-$C$121*CW120</f>
        <v>-0</v>
      </c>
      <c r="CX121" s="421" t="n">
        <f aca="false">-$C$121*CX120</f>
        <v>-0</v>
      </c>
      <c r="CY121" s="421" t="n">
        <f aca="false">-$C$121*CY120</f>
        <v>-0</v>
      </c>
      <c r="CZ121" s="513" t="n">
        <f aca="false">-$C$121*CZ120</f>
        <v>-0</v>
      </c>
      <c r="DA121" s="421" t="n">
        <f aca="false">-$C$121*DA120</f>
        <v>-0</v>
      </c>
      <c r="DB121" s="421" t="n">
        <f aca="false">-$C$121*DB120</f>
        <v>-0</v>
      </c>
      <c r="DC121" s="421" t="n">
        <f aca="false">-$C$121*DC120</f>
        <v>-0</v>
      </c>
      <c r="DD121" s="421" t="n">
        <f aca="false">-$C$121*DD120</f>
        <v>-0</v>
      </c>
      <c r="DE121" s="421" t="n">
        <f aca="false">-$C$121*DE120</f>
        <v>-0</v>
      </c>
      <c r="DF121" s="421" t="n">
        <f aca="false">-$C$121*DF120</f>
        <v>-0</v>
      </c>
      <c r="DG121" s="421" t="n">
        <f aca="false">-$C$121*DG120</f>
        <v>-0</v>
      </c>
      <c r="DH121" s="421" t="n">
        <f aca="false">-$C$121*DH120</f>
        <v>-0</v>
      </c>
      <c r="DI121" s="421" t="n">
        <f aca="false">-$C$121*DI120</f>
        <v>-0</v>
      </c>
      <c r="DJ121" s="421" t="n">
        <f aca="false">-$C$121*DJ120</f>
        <v>-0</v>
      </c>
      <c r="DK121" s="421" t="n">
        <f aca="false">-$C$121*DK120</f>
        <v>-0</v>
      </c>
      <c r="DL121" s="513" t="n">
        <f aca="false">-$C$121*DL120</f>
        <v>-0</v>
      </c>
      <c r="DM121" s="421" t="n">
        <f aca="false">-$C$121*DM120</f>
        <v>-0</v>
      </c>
      <c r="DN121" s="421" t="n">
        <f aca="false">-$C$121*DN120</f>
        <v>-0</v>
      </c>
      <c r="DO121" s="421" t="n">
        <f aca="false">-$C$121*DO120</f>
        <v>-0</v>
      </c>
      <c r="DP121" s="421" t="n">
        <f aca="false">-$C$121*DP120</f>
        <v>-0</v>
      </c>
      <c r="DQ121" s="421" t="n">
        <f aca="false">-$C$121*DQ120</f>
        <v>-0</v>
      </c>
      <c r="DR121" s="421" t="n">
        <f aca="false">-$C$121*DR120</f>
        <v>-0</v>
      </c>
      <c r="DS121" s="421" t="n">
        <f aca="false">-$C$121*DS120</f>
        <v>-0</v>
      </c>
      <c r="DT121" s="421" t="n">
        <f aca="false">-$C$121*DT120</f>
        <v>-0</v>
      </c>
      <c r="DU121" s="421" t="n">
        <f aca="false">-$C$121*DU120</f>
        <v>-0</v>
      </c>
      <c r="DV121" s="421" t="n">
        <f aca="false">-$C$121*DV120</f>
        <v>-0</v>
      </c>
      <c r="DW121" s="421" t="n">
        <f aca="false">-$C$121*DW120</f>
        <v>-0</v>
      </c>
      <c r="DX121" s="421" t="n">
        <f aca="false">-$C$121*DX120</f>
        <v>-0</v>
      </c>
      <c r="DY121" s="421" t="n">
        <f aca="false">-$C$121*DY120</f>
        <v>-0</v>
      </c>
      <c r="DZ121" s="421" t="n">
        <f aca="false">-$C$121*DZ120</f>
        <v>-0</v>
      </c>
      <c r="EA121" s="421" t="n">
        <f aca="false">-$C$121*EA120</f>
        <v>-0</v>
      </c>
      <c r="EB121" s="421" t="n">
        <f aca="false">-$C$121*EB120</f>
        <v>-0</v>
      </c>
      <c r="EC121" s="421" t="n">
        <f aca="false">-$C$121*EC120</f>
        <v>-0</v>
      </c>
      <c r="ED121" s="421" t="n">
        <f aca="false">-$C$121*ED120</f>
        <v>-0</v>
      </c>
      <c r="EE121" s="421" t="n">
        <f aca="false">-$C$121*EE120</f>
        <v>-0</v>
      </c>
      <c r="EF121" s="421" t="n">
        <f aca="false">-$C$121*EF120</f>
        <v>-0</v>
      </c>
      <c r="EG121" s="421" t="n">
        <f aca="false">-$C$121*EG120</f>
        <v>-0</v>
      </c>
      <c r="EH121" s="421" t="n">
        <f aca="false">-$C$121*EH120</f>
        <v>-0</v>
      </c>
      <c r="EI121" s="472" t="n">
        <f aca="false">-$C$121*EI120</f>
        <v>-0</v>
      </c>
    </row>
    <row r="122" s="514" customFormat="true" ht="13.5" hidden="false" customHeight="true" outlineLevel="0" collapsed="false">
      <c r="A122" s="10"/>
      <c r="B122" s="619" t="s">
        <v>61</v>
      </c>
      <c r="C122" s="620" t="n">
        <f aca="false">'Executive Summary'!O13</f>
        <v>0</v>
      </c>
      <c r="D122" s="621"/>
      <c r="E122" s="621" t="n">
        <f aca="false">SUM(G122:EI122)</f>
        <v>0</v>
      </c>
      <c r="F122" s="17"/>
      <c r="G122" s="621" t="n">
        <f aca="false">-$C$122*G120</f>
        <v>-0</v>
      </c>
      <c r="H122" s="549" t="n">
        <f aca="false">-$C$122*H120</f>
        <v>-0</v>
      </c>
      <c r="I122" s="478" t="n">
        <f aca="false">-$C$122*I120</f>
        <v>-0</v>
      </c>
      <c r="J122" s="478" t="n">
        <f aca="false">-$C$122*J120</f>
        <v>-0</v>
      </c>
      <c r="K122" s="478" t="n">
        <f aca="false">-$C$122*K120</f>
        <v>-0</v>
      </c>
      <c r="L122" s="478" t="n">
        <f aca="false">-$C$122*L120</f>
        <v>-0</v>
      </c>
      <c r="M122" s="478" t="n">
        <f aca="false">-$C$122*M120</f>
        <v>-0</v>
      </c>
      <c r="N122" s="478" t="n">
        <f aca="false">-$C$122*N120</f>
        <v>-0</v>
      </c>
      <c r="O122" s="478" t="n">
        <f aca="false">-$C$122*O120</f>
        <v>-0</v>
      </c>
      <c r="P122" s="478" t="n">
        <f aca="false">-$C$122*P120</f>
        <v>-0</v>
      </c>
      <c r="Q122" s="478" t="n">
        <f aca="false">-$C$122*Q120</f>
        <v>-0</v>
      </c>
      <c r="R122" s="478" t="n">
        <f aca="false">-$C$122*R120</f>
        <v>-0</v>
      </c>
      <c r="S122" s="478" t="n">
        <f aca="false">-$C$122*S120</f>
        <v>-0</v>
      </c>
      <c r="T122" s="549" t="n">
        <f aca="false">-$C$122*T120</f>
        <v>-0</v>
      </c>
      <c r="U122" s="478" t="n">
        <f aca="false">-$C$122*U120</f>
        <v>-0</v>
      </c>
      <c r="V122" s="478" t="n">
        <f aca="false">-$C$122*V120</f>
        <v>-0</v>
      </c>
      <c r="W122" s="478" t="n">
        <f aca="false">-$C$122*W120</f>
        <v>-0</v>
      </c>
      <c r="X122" s="478" t="n">
        <f aca="false">-$C$122*X120</f>
        <v>-0</v>
      </c>
      <c r="Y122" s="478" t="n">
        <f aca="false">-$C$122*Y120</f>
        <v>-0</v>
      </c>
      <c r="Z122" s="478" t="n">
        <f aca="false">-$C$122*Z120</f>
        <v>-0</v>
      </c>
      <c r="AA122" s="478" t="n">
        <f aca="false">-$C$122*AA120</f>
        <v>-0</v>
      </c>
      <c r="AB122" s="478" t="n">
        <f aca="false">-$C$122*AB120</f>
        <v>-0</v>
      </c>
      <c r="AC122" s="478" t="n">
        <f aca="false">-$C$122*AC120</f>
        <v>-0</v>
      </c>
      <c r="AD122" s="478" t="n">
        <f aca="false">-$C$122*AD120</f>
        <v>-0</v>
      </c>
      <c r="AE122" s="478" t="n">
        <f aca="false">-$C$122*AE120</f>
        <v>-0</v>
      </c>
      <c r="AF122" s="549" t="n">
        <f aca="false">-$C$122*AF120</f>
        <v>-0</v>
      </c>
      <c r="AG122" s="478" t="n">
        <f aca="false">-$C$122*AG120</f>
        <v>-0</v>
      </c>
      <c r="AH122" s="478" t="n">
        <f aca="false">-$C$122*AH120</f>
        <v>-0</v>
      </c>
      <c r="AI122" s="478" t="n">
        <f aca="false">-$C$122*AI120</f>
        <v>-0</v>
      </c>
      <c r="AJ122" s="478" t="n">
        <f aca="false">-$C$122*AJ120</f>
        <v>-0</v>
      </c>
      <c r="AK122" s="478" t="n">
        <f aca="false">-$C$122*AK120</f>
        <v>-0</v>
      </c>
      <c r="AL122" s="478" t="n">
        <f aca="false">-$C$122*AL120</f>
        <v>-0</v>
      </c>
      <c r="AM122" s="478" t="n">
        <f aca="false">-$C$122*AM120</f>
        <v>-0</v>
      </c>
      <c r="AN122" s="478" t="n">
        <f aca="false">-$C$122*AN120</f>
        <v>-0</v>
      </c>
      <c r="AO122" s="478" t="n">
        <f aca="false">-$C$122*AO120</f>
        <v>-0</v>
      </c>
      <c r="AP122" s="478" t="n">
        <f aca="false">-$C$122*AP120</f>
        <v>-0</v>
      </c>
      <c r="AQ122" s="478" t="n">
        <f aca="false">-$C$122*AQ120</f>
        <v>-0</v>
      </c>
      <c r="AR122" s="549" t="n">
        <f aca="false">-$C$122*AR120</f>
        <v>-0</v>
      </c>
      <c r="AS122" s="478" t="n">
        <f aca="false">-$C$122*AS120</f>
        <v>-0</v>
      </c>
      <c r="AT122" s="478" t="n">
        <f aca="false">-$C$122*AT120</f>
        <v>-0</v>
      </c>
      <c r="AU122" s="478" t="n">
        <f aca="false">-$C$122*AU120</f>
        <v>-0</v>
      </c>
      <c r="AV122" s="478" t="n">
        <f aca="false">-$C$122*AV120</f>
        <v>-0</v>
      </c>
      <c r="AW122" s="478" t="n">
        <f aca="false">-$C$122*AW120</f>
        <v>-0</v>
      </c>
      <c r="AX122" s="478" t="n">
        <f aca="false">-$C$122*AX120</f>
        <v>-0</v>
      </c>
      <c r="AY122" s="478" t="n">
        <f aca="false">-$C$122*AY120</f>
        <v>-0</v>
      </c>
      <c r="AZ122" s="478" t="n">
        <f aca="false">-$C$122*AZ120</f>
        <v>-0</v>
      </c>
      <c r="BA122" s="478" t="n">
        <f aca="false">-$C$122*BA120</f>
        <v>-0</v>
      </c>
      <c r="BB122" s="478" t="n">
        <f aca="false">-$C$122*BB120</f>
        <v>-0</v>
      </c>
      <c r="BC122" s="478" t="n">
        <f aca="false">-$C$122*BC120</f>
        <v>-0</v>
      </c>
      <c r="BD122" s="549" t="n">
        <f aca="false">-$C$122*BD120</f>
        <v>-0</v>
      </c>
      <c r="BE122" s="478" t="n">
        <f aca="false">-$C$122*BE120</f>
        <v>-0</v>
      </c>
      <c r="BF122" s="478" t="n">
        <f aca="false">-$C$122*BF120</f>
        <v>-0</v>
      </c>
      <c r="BG122" s="478" t="n">
        <f aca="false">-$C$122*BG120</f>
        <v>-0</v>
      </c>
      <c r="BH122" s="478" t="n">
        <f aca="false">-$C$122*BH120</f>
        <v>-0</v>
      </c>
      <c r="BI122" s="478" t="n">
        <f aca="false">-$C$122*BI120</f>
        <v>-0</v>
      </c>
      <c r="BJ122" s="478" t="n">
        <f aca="false">-$C$122*BJ120</f>
        <v>-0</v>
      </c>
      <c r="BK122" s="478" t="n">
        <f aca="false">-$C$122*BK120</f>
        <v>-0</v>
      </c>
      <c r="BL122" s="478" t="n">
        <f aca="false">-$C$122*BL120</f>
        <v>-0</v>
      </c>
      <c r="BM122" s="478" t="n">
        <f aca="false">-$C$122*BM120</f>
        <v>-0</v>
      </c>
      <c r="BN122" s="478" t="n">
        <f aca="false">-$C$122*BN120</f>
        <v>-0</v>
      </c>
      <c r="BO122" s="478" t="n">
        <f aca="false">-$C$122*BO120</f>
        <v>-0</v>
      </c>
      <c r="BP122" s="549" t="n">
        <f aca="false">-$C$122*BP120</f>
        <v>-0</v>
      </c>
      <c r="BQ122" s="478" t="n">
        <f aca="false">-$C$122*BQ120</f>
        <v>-0</v>
      </c>
      <c r="BR122" s="478" t="n">
        <f aca="false">-$C$122*BR120</f>
        <v>-0</v>
      </c>
      <c r="BS122" s="478" t="n">
        <f aca="false">-$C$122*BS120</f>
        <v>-0</v>
      </c>
      <c r="BT122" s="478" t="n">
        <f aca="false">-$C$122*BT120</f>
        <v>-0</v>
      </c>
      <c r="BU122" s="478" t="n">
        <f aca="false">-$C$122*BU120</f>
        <v>-0</v>
      </c>
      <c r="BV122" s="478" t="n">
        <f aca="false">-$C$122*BV120</f>
        <v>-0</v>
      </c>
      <c r="BW122" s="478" t="n">
        <f aca="false">-$C$122*BW120</f>
        <v>-0</v>
      </c>
      <c r="BX122" s="478" t="n">
        <f aca="false">-$C$122*BX120</f>
        <v>-0</v>
      </c>
      <c r="BY122" s="478" t="n">
        <f aca="false">-$C$122*BY120</f>
        <v>-0</v>
      </c>
      <c r="BZ122" s="478" t="n">
        <f aca="false">-$C$122*BZ120</f>
        <v>-0</v>
      </c>
      <c r="CA122" s="478" t="n">
        <f aca="false">-$C$122*CA120</f>
        <v>-0</v>
      </c>
      <c r="CB122" s="549" t="n">
        <f aca="false">-$C$122*CB120</f>
        <v>-0</v>
      </c>
      <c r="CC122" s="478" t="n">
        <f aca="false">-$C$122*CC120</f>
        <v>-0</v>
      </c>
      <c r="CD122" s="478" t="n">
        <f aca="false">-$C$122*CD120</f>
        <v>-0</v>
      </c>
      <c r="CE122" s="478" t="n">
        <f aca="false">-$C$122*CE120</f>
        <v>-0</v>
      </c>
      <c r="CF122" s="478" t="n">
        <f aca="false">-$C$122*CF120</f>
        <v>-0</v>
      </c>
      <c r="CG122" s="478" t="n">
        <f aca="false">-$C$122*CG120</f>
        <v>-0</v>
      </c>
      <c r="CH122" s="478" t="n">
        <f aca="false">-$C$122*CH120</f>
        <v>-0</v>
      </c>
      <c r="CI122" s="478" t="n">
        <f aca="false">-$C$122*CI120</f>
        <v>-0</v>
      </c>
      <c r="CJ122" s="478" t="n">
        <f aca="false">-$C$122*CJ120</f>
        <v>-0</v>
      </c>
      <c r="CK122" s="478" t="n">
        <f aca="false">-$C$122*CK120</f>
        <v>-0</v>
      </c>
      <c r="CL122" s="478" t="n">
        <f aca="false">-$C$122*CL120</f>
        <v>-0</v>
      </c>
      <c r="CM122" s="478" t="n">
        <f aca="false">-$C$122*CM120</f>
        <v>-0</v>
      </c>
      <c r="CN122" s="549" t="n">
        <f aca="false">-$C$122*CN120</f>
        <v>-0</v>
      </c>
      <c r="CO122" s="478" t="n">
        <f aca="false">-$C$122*CO120</f>
        <v>-0</v>
      </c>
      <c r="CP122" s="478" t="n">
        <f aca="false">-$C$122*CP120</f>
        <v>-0</v>
      </c>
      <c r="CQ122" s="478" t="n">
        <f aca="false">-$C$122*CQ120</f>
        <v>-0</v>
      </c>
      <c r="CR122" s="478" t="n">
        <f aca="false">-$C$122*CR120</f>
        <v>-0</v>
      </c>
      <c r="CS122" s="478" t="n">
        <f aca="false">-$C$122*CS120</f>
        <v>-0</v>
      </c>
      <c r="CT122" s="478" t="n">
        <f aca="false">-$C$122*CT120</f>
        <v>-0</v>
      </c>
      <c r="CU122" s="478" t="n">
        <f aca="false">-$C$122*CU120</f>
        <v>-0</v>
      </c>
      <c r="CV122" s="478" t="n">
        <f aca="false">-$C$122*CV120</f>
        <v>-0</v>
      </c>
      <c r="CW122" s="478" t="n">
        <f aca="false">-$C$122*CW120</f>
        <v>-0</v>
      </c>
      <c r="CX122" s="478" t="n">
        <f aca="false">-$C$122*CX120</f>
        <v>-0</v>
      </c>
      <c r="CY122" s="478" t="n">
        <f aca="false">-$C$122*CY120</f>
        <v>-0</v>
      </c>
      <c r="CZ122" s="549" t="n">
        <f aca="false">-$C$122*CZ120</f>
        <v>-0</v>
      </c>
      <c r="DA122" s="478" t="n">
        <f aca="false">-$C$122*DA120</f>
        <v>-0</v>
      </c>
      <c r="DB122" s="478" t="n">
        <f aca="false">-$C$122*DB120</f>
        <v>-0</v>
      </c>
      <c r="DC122" s="478" t="n">
        <f aca="false">-$C$122*DC120</f>
        <v>-0</v>
      </c>
      <c r="DD122" s="478" t="n">
        <f aca="false">-$C$122*DD120</f>
        <v>-0</v>
      </c>
      <c r="DE122" s="478" t="n">
        <f aca="false">-$C$122*DE120</f>
        <v>-0</v>
      </c>
      <c r="DF122" s="478" t="n">
        <f aca="false">-$C$122*DF120</f>
        <v>-0</v>
      </c>
      <c r="DG122" s="478" t="n">
        <f aca="false">-$C$122*DG120</f>
        <v>-0</v>
      </c>
      <c r="DH122" s="478" t="n">
        <f aca="false">-$C$122*DH120</f>
        <v>-0</v>
      </c>
      <c r="DI122" s="478" t="n">
        <f aca="false">-$C$122*DI120</f>
        <v>-0</v>
      </c>
      <c r="DJ122" s="478" t="n">
        <f aca="false">-$C$122*DJ120</f>
        <v>-0</v>
      </c>
      <c r="DK122" s="478" t="n">
        <f aca="false">-$C$122*DK120</f>
        <v>-0</v>
      </c>
      <c r="DL122" s="549" t="n">
        <f aca="false">-$C$122*DL120</f>
        <v>-0</v>
      </c>
      <c r="DM122" s="478" t="n">
        <f aca="false">-$C$122*DM120</f>
        <v>-0</v>
      </c>
      <c r="DN122" s="478" t="n">
        <f aca="false">-$C$122*DN120</f>
        <v>-0</v>
      </c>
      <c r="DO122" s="478" t="n">
        <f aca="false">-$C$122*DO120</f>
        <v>-0</v>
      </c>
      <c r="DP122" s="478" t="n">
        <f aca="false">-$C$122*DP120</f>
        <v>-0</v>
      </c>
      <c r="DQ122" s="478" t="n">
        <f aca="false">-$C$122*DQ120</f>
        <v>-0</v>
      </c>
      <c r="DR122" s="478" t="n">
        <f aca="false">-$C$122*DR120</f>
        <v>-0</v>
      </c>
      <c r="DS122" s="478" t="n">
        <f aca="false">-$C$122*DS120</f>
        <v>-0</v>
      </c>
      <c r="DT122" s="478" t="n">
        <f aca="false">-$C$122*DT120</f>
        <v>-0</v>
      </c>
      <c r="DU122" s="478" t="n">
        <f aca="false">-$C$122*DU120</f>
        <v>-0</v>
      </c>
      <c r="DV122" s="478" t="n">
        <f aca="false">-$C$122*DV120</f>
        <v>-0</v>
      </c>
      <c r="DW122" s="478" t="n">
        <f aca="false">-$C$122*DW120</f>
        <v>-0</v>
      </c>
      <c r="DX122" s="478" t="n">
        <f aca="false">-$C$122*DX120</f>
        <v>-0</v>
      </c>
      <c r="DY122" s="478" t="n">
        <f aca="false">-$C$122*DY120</f>
        <v>-0</v>
      </c>
      <c r="DZ122" s="478" t="n">
        <f aca="false">-$C$122*DZ120</f>
        <v>-0</v>
      </c>
      <c r="EA122" s="478" t="n">
        <f aca="false">-$C$122*EA120</f>
        <v>-0</v>
      </c>
      <c r="EB122" s="478" t="n">
        <f aca="false">-$C$122*EB120</f>
        <v>-0</v>
      </c>
      <c r="EC122" s="478" t="n">
        <f aca="false">-$C$122*EC120</f>
        <v>-0</v>
      </c>
      <c r="ED122" s="478" t="n">
        <f aca="false">-$C$122*ED120</f>
        <v>-0</v>
      </c>
      <c r="EE122" s="478" t="n">
        <f aca="false">-$C$122*EE120</f>
        <v>-0</v>
      </c>
      <c r="EF122" s="478" t="n">
        <f aca="false">-$C$122*EF120</f>
        <v>-0</v>
      </c>
      <c r="EG122" s="478" t="n">
        <f aca="false">-$C$122*EG120</f>
        <v>-0</v>
      </c>
      <c r="EH122" s="478" t="n">
        <f aca="false">-$C$122*EH120</f>
        <v>-0</v>
      </c>
      <c r="EI122" s="479" t="n">
        <f aca="false">-$C$122*EI120</f>
        <v>-0</v>
      </c>
    </row>
    <row r="123" s="514" customFormat="true" ht="13.5" hidden="false" customHeight="true" outlineLevel="0" collapsed="false">
      <c r="A123" s="10"/>
      <c r="B123" s="20" t="s">
        <v>118</v>
      </c>
      <c r="C123" s="611"/>
      <c r="D123" s="622" t="n">
        <f aca="false">SUM(D116:D122)</f>
        <v>7282179</v>
      </c>
      <c r="E123" s="622" t="n">
        <f aca="false">SUM(E116:E122)</f>
        <v>18455415.3161411</v>
      </c>
      <c r="F123" s="17"/>
      <c r="G123" s="610" t="n">
        <f aca="false">SUM(G116:G122)</f>
        <v>7282179</v>
      </c>
      <c r="H123" s="513" t="n">
        <f aca="false">SUM(H116:H122)</f>
        <v>33566.9675677262</v>
      </c>
      <c r="I123" s="421" t="n">
        <f aca="false">SUM(I116:I122)</f>
        <v>33881.3324795458</v>
      </c>
      <c r="J123" s="421" t="n">
        <f aca="false">SUM(J116:J122)</f>
        <v>34293.6189069643</v>
      </c>
      <c r="K123" s="421" t="n">
        <f aca="false">SUM(K116:K122)</f>
        <v>34612.5307386409</v>
      </c>
      <c r="L123" s="421" t="n">
        <f aca="false">SUM(L116:L122)</f>
        <v>35030.2636871266</v>
      </c>
      <c r="M123" s="421" t="n">
        <f aca="false">SUM(M116:M122)</f>
        <v>35354.5194852039</v>
      </c>
      <c r="N123" s="421" t="n">
        <f aca="false">SUM(N116:N122)</f>
        <v>35777.7046814451</v>
      </c>
      <c r="O123" s="421" t="n">
        <f aca="false">SUM(O116:O122)</f>
        <v>36107.3100597005</v>
      </c>
      <c r="P123" s="421" t="n">
        <f aca="false">SUM(P116:P122)</f>
        <v>36535.9532358474</v>
      </c>
      <c r="Q123" s="421" t="n">
        <f aca="false">SUM(Q116:Q122)</f>
        <v>36870.9138133953</v>
      </c>
      <c r="R123" s="421" t="n">
        <f aca="false">SUM(R116:R122)</f>
        <v>37305.0207070635</v>
      </c>
      <c r="S123" s="421" t="n">
        <f aca="false">SUM(S116:S122)</f>
        <v>37645.3421083579</v>
      </c>
      <c r="T123" s="513" t="n">
        <f aca="false">SUM(T116:T122)</f>
        <v>37400.0370720445</v>
      </c>
      <c r="U123" s="421" t="n">
        <f aca="false">SUM(U116:U122)</f>
        <v>37586.9895832961</v>
      </c>
      <c r="V123" s="421" t="n">
        <f aca="false">SUM(V116:V122)</f>
        <v>37689.0102387643</v>
      </c>
      <c r="W123" s="421" t="n">
        <f aca="false">SUM(W116:W122)</f>
        <v>37898.2235958018</v>
      </c>
      <c r="X123" s="421" t="n">
        <f aca="false">SUM(X116:X122)</f>
        <v>38022.47104903</v>
      </c>
      <c r="Y123" s="421" t="n">
        <f aca="false">SUM(Y116:Y122)</f>
        <v>38254.0880723647</v>
      </c>
      <c r="Z123" s="421" t="n">
        <f aca="false">SUM(Z116:Z122)</f>
        <v>38400.7054237251</v>
      </c>
      <c r="AA123" s="421" t="n">
        <f aca="false">SUM(AA116:AA122)</f>
        <v>38654.8697258128</v>
      </c>
      <c r="AB123" s="421" t="n">
        <f aca="false">SUM(AB116:AB122)</f>
        <v>38824.0008696311</v>
      </c>
      <c r="AC123" s="421" t="n">
        <f aca="false">SUM(AC116:AC122)</f>
        <v>39100.8568591485</v>
      </c>
      <c r="AD123" s="421" t="n">
        <f aca="false">SUM(AD116:AD122)</f>
        <v>39292.6464879907</v>
      </c>
      <c r="AE123" s="421" t="n">
        <f aca="false">SUM(AE116:AE122)</f>
        <v>39592.3393741345</v>
      </c>
      <c r="AF123" s="513" t="n">
        <f aca="false">SUM(AF116:AF122)</f>
        <v>39670.076142706</v>
      </c>
      <c r="AG123" s="421" t="n">
        <f aca="false">SUM(AG116:AG122)</f>
        <v>39801.0003946463</v>
      </c>
      <c r="AH123" s="421" t="n">
        <f aca="false">SUM(AH116:AH122)</f>
        <v>39931.1835461155</v>
      </c>
      <c r="AI123" s="421" t="n">
        <f aca="false">SUM(AI116:AI122)</f>
        <v>40060.6208910402</v>
      </c>
      <c r="AJ123" s="421" t="n">
        <f aca="false">SUM(AJ116:AJ122)</f>
        <v>40189.3077039859</v>
      </c>
      <c r="AK123" s="421" t="n">
        <f aca="false">SUM(AK116:AK122)</f>
        <v>40317.2392400883</v>
      </c>
      <c r="AL123" s="421" t="n">
        <f aca="false">SUM(AL116:AL122)</f>
        <v>40444.4107349846</v>
      </c>
      <c r="AM123" s="421" t="n">
        <f aca="false">SUM(AM116:AM122)</f>
        <v>40570.8174047442</v>
      </c>
      <c r="AN123" s="421" t="n">
        <f aca="false">SUM(AN116:AN122)</f>
        <v>40696.4544457999</v>
      </c>
      <c r="AO123" s="421" t="n">
        <f aca="false">SUM(AO116:AO122)</f>
        <v>40827.9277788097</v>
      </c>
      <c r="AP123" s="421" t="n">
        <f aca="false">SUM(AP116:AP122)</f>
        <v>40945.4003289288</v>
      </c>
      <c r="AQ123" s="421" t="n">
        <f aca="false">SUM(AQ116:AQ122)</f>
        <v>41068.6994650564</v>
      </c>
      <c r="AR123" s="513" t="n">
        <f aca="false">SUM(AR116:AR122)</f>
        <v>41140.7592109464</v>
      </c>
      <c r="AS123" s="421" t="n">
        <f aca="false">SUM(AS116:AS122)</f>
        <v>41264.7271089206</v>
      </c>
      <c r="AT123" s="421" t="n">
        <f aca="false">SUM(AT116:AT122)</f>
        <v>41389.0306994113</v>
      </c>
      <c r="AU123" s="421" t="n">
        <f aca="false">SUM(AU116:AU122)</f>
        <v>41513.6708597988</v>
      </c>
      <c r="AV123" s="421" t="n">
        <f aca="false">SUM(AV116:AV122)</f>
        <v>41638.6484697087</v>
      </c>
      <c r="AW123" s="421" t="n">
        <f aca="false">SUM(AW116:AW122)</f>
        <v>41763.964411018</v>
      </c>
      <c r="AX123" s="421" t="n">
        <f aca="false">SUM(AX116:AX122)</f>
        <v>41889.6195678607</v>
      </c>
      <c r="AY123" s="421" t="n">
        <f aca="false">SUM(AY116:AY122)</f>
        <v>42015.6148266331</v>
      </c>
      <c r="AZ123" s="421" t="n">
        <f aca="false">SUM(AZ116:AZ122)</f>
        <v>42141.9510760002</v>
      </c>
      <c r="BA123" s="421" t="n">
        <f aca="false">SUM(BA116:BA122)</f>
        <v>42268.6292069009</v>
      </c>
      <c r="BB123" s="421" t="n">
        <f aca="false">SUM(BB116:BB122)</f>
        <v>42395.6501125539</v>
      </c>
      <c r="BC123" s="421" t="n">
        <f aca="false">SUM(BC116:BC122)</f>
        <v>42523.0146884636</v>
      </c>
      <c r="BD123" s="513" t="n">
        <f aca="false">SUM(BD116:BD122)</f>
        <v>42597.6032976765</v>
      </c>
      <c r="BE123" s="421" t="n">
        <f aca="false">SUM(BE116:BE122)</f>
        <v>42725.6579097835</v>
      </c>
      <c r="BF123" s="421" t="n">
        <f aca="false">SUM(BF116:BF122)</f>
        <v>42854.0588924315</v>
      </c>
      <c r="BG123" s="421" t="n">
        <f aca="false">SUM(BG116:BG122)</f>
        <v>42982.8071503247</v>
      </c>
      <c r="BH123" s="421" t="n">
        <f aca="false">SUM(BH116:BH122)</f>
        <v>43111.9035904823</v>
      </c>
      <c r="BI123" s="421" t="n">
        <f aca="false">SUM(BI116:BI122)</f>
        <v>43241.3491222438</v>
      </c>
      <c r="BJ123" s="421" t="n">
        <f aca="false">SUM(BJ116:BJ122)</f>
        <v>43371.1446572751</v>
      </c>
      <c r="BK123" s="421" t="n">
        <f aca="false">SUM(BK116:BK122)</f>
        <v>43501.291109574</v>
      </c>
      <c r="BL123" s="421" t="n">
        <f aca="false">SUM(BL116:BL122)</f>
        <v>43631.7893954767</v>
      </c>
      <c r="BM123" s="421" t="n">
        <f aca="false">SUM(BM116:BM122)</f>
        <v>43762.640433663</v>
      </c>
      <c r="BN123" s="421" t="n">
        <f aca="false">SUM(BN116:BN122)</f>
        <v>43893.8451451629</v>
      </c>
      <c r="BO123" s="421" t="n">
        <f aca="false">SUM(BO116:BO122)</f>
        <v>8823396.09129916</v>
      </c>
      <c r="BP123" s="513" t="n">
        <f aca="false">SUM(BP116:BP122)</f>
        <v>0</v>
      </c>
      <c r="BQ123" s="421" t="n">
        <f aca="false">SUM(BQ116:BQ122)</f>
        <v>0</v>
      </c>
      <c r="BR123" s="421" t="n">
        <f aca="false">SUM(BR116:BR122)</f>
        <v>0</v>
      </c>
      <c r="BS123" s="421" t="n">
        <f aca="false">SUM(BS116:BS122)</f>
        <v>0</v>
      </c>
      <c r="BT123" s="421" t="n">
        <f aca="false">SUM(BT116:BT122)</f>
        <v>0</v>
      </c>
      <c r="BU123" s="421" t="n">
        <f aca="false">SUM(BU116:BU122)</f>
        <v>0</v>
      </c>
      <c r="BV123" s="421" t="n">
        <f aca="false">SUM(BV116:BV122)</f>
        <v>0</v>
      </c>
      <c r="BW123" s="421" t="n">
        <f aca="false">SUM(BW116:BW122)</f>
        <v>0</v>
      </c>
      <c r="BX123" s="421" t="n">
        <f aca="false">SUM(BX116:BX122)</f>
        <v>0</v>
      </c>
      <c r="BY123" s="421" t="n">
        <f aca="false">SUM(BY116:BY122)</f>
        <v>0</v>
      </c>
      <c r="BZ123" s="421" t="n">
        <f aca="false">SUM(BZ116:BZ122)</f>
        <v>0</v>
      </c>
      <c r="CA123" s="421" t="n">
        <f aca="false">SUM(CA116:CA122)</f>
        <v>0</v>
      </c>
      <c r="CB123" s="513" t="n">
        <f aca="false">SUM(CB116:CB122)</f>
        <v>0</v>
      </c>
      <c r="CC123" s="421" t="n">
        <f aca="false">SUM(CC116:CC122)</f>
        <v>0</v>
      </c>
      <c r="CD123" s="421" t="n">
        <f aca="false">SUM(CD116:CD122)</f>
        <v>0</v>
      </c>
      <c r="CE123" s="421" t="n">
        <f aca="false">SUM(CE116:CE122)</f>
        <v>0</v>
      </c>
      <c r="CF123" s="421" t="n">
        <f aca="false">SUM(CF116:CF122)</f>
        <v>0</v>
      </c>
      <c r="CG123" s="421" t="n">
        <f aca="false">SUM(CG116:CG122)</f>
        <v>0</v>
      </c>
      <c r="CH123" s="421" t="n">
        <f aca="false">SUM(CH116:CH122)</f>
        <v>0</v>
      </c>
      <c r="CI123" s="421" t="n">
        <f aca="false">SUM(CI116:CI122)</f>
        <v>0</v>
      </c>
      <c r="CJ123" s="421" t="n">
        <f aca="false">SUM(CJ116:CJ122)</f>
        <v>0</v>
      </c>
      <c r="CK123" s="421" t="n">
        <f aca="false">SUM(CK116:CK122)</f>
        <v>0</v>
      </c>
      <c r="CL123" s="421" t="n">
        <f aca="false">SUM(CL116:CL122)</f>
        <v>0</v>
      </c>
      <c r="CM123" s="421" t="n">
        <f aca="false">SUM(CM116:CM122)</f>
        <v>0</v>
      </c>
      <c r="CN123" s="513" t="n">
        <f aca="false">SUM(CN116:CN122)</f>
        <v>0</v>
      </c>
      <c r="CO123" s="421" t="n">
        <f aca="false">SUM(CO116:CO122)</f>
        <v>0</v>
      </c>
      <c r="CP123" s="421" t="n">
        <f aca="false">SUM(CP116:CP122)</f>
        <v>0</v>
      </c>
      <c r="CQ123" s="421" t="n">
        <f aca="false">SUM(CQ116:CQ122)</f>
        <v>0</v>
      </c>
      <c r="CR123" s="421" t="n">
        <f aca="false">SUM(CR116:CR122)</f>
        <v>0</v>
      </c>
      <c r="CS123" s="421" t="n">
        <f aca="false">SUM(CS116:CS122)</f>
        <v>0</v>
      </c>
      <c r="CT123" s="421" t="n">
        <f aca="false">SUM(CT116:CT122)</f>
        <v>0</v>
      </c>
      <c r="CU123" s="421" t="n">
        <f aca="false">SUM(CU116:CU122)</f>
        <v>0</v>
      </c>
      <c r="CV123" s="421" t="n">
        <f aca="false">SUM(CV116:CV122)</f>
        <v>0</v>
      </c>
      <c r="CW123" s="421" t="n">
        <f aca="false">SUM(CW116:CW122)</f>
        <v>0</v>
      </c>
      <c r="CX123" s="421" t="n">
        <f aca="false">SUM(CX116:CX122)</f>
        <v>0</v>
      </c>
      <c r="CY123" s="421" t="n">
        <f aca="false">SUM(CY116:CY122)</f>
        <v>0</v>
      </c>
      <c r="CZ123" s="513" t="n">
        <f aca="false">SUM(CZ116:CZ122)</f>
        <v>0</v>
      </c>
      <c r="DA123" s="421" t="n">
        <f aca="false">SUM(DA116:DA122)</f>
        <v>0</v>
      </c>
      <c r="DB123" s="421" t="n">
        <f aca="false">SUM(DB116:DB122)</f>
        <v>0</v>
      </c>
      <c r="DC123" s="421" t="n">
        <f aca="false">SUM(DC116:DC122)</f>
        <v>0</v>
      </c>
      <c r="DD123" s="421" t="n">
        <f aca="false">SUM(DD116:DD122)</f>
        <v>0</v>
      </c>
      <c r="DE123" s="421" t="n">
        <f aca="false">SUM(DE116:DE122)</f>
        <v>0</v>
      </c>
      <c r="DF123" s="421" t="n">
        <f aca="false">SUM(DF116:DF122)</f>
        <v>0</v>
      </c>
      <c r="DG123" s="421" t="n">
        <f aca="false">SUM(DG116:DG122)</f>
        <v>0</v>
      </c>
      <c r="DH123" s="421" t="n">
        <f aca="false">SUM(DH116:DH122)</f>
        <v>0</v>
      </c>
      <c r="DI123" s="421" t="n">
        <f aca="false">SUM(DI116:DI122)</f>
        <v>0</v>
      </c>
      <c r="DJ123" s="421" t="n">
        <f aca="false">SUM(DJ116:DJ122)</f>
        <v>0</v>
      </c>
      <c r="DK123" s="421" t="n">
        <f aca="false">SUM(DK116:DK122)</f>
        <v>0</v>
      </c>
      <c r="DL123" s="513" t="n">
        <f aca="false">SUM(DL116:DL122)</f>
        <v>0</v>
      </c>
      <c r="DM123" s="421" t="n">
        <f aca="false">SUM(DM116:DM122)</f>
        <v>0</v>
      </c>
      <c r="DN123" s="421" t="n">
        <f aca="false">SUM(DN116:DN122)</f>
        <v>0</v>
      </c>
      <c r="DO123" s="421" t="n">
        <f aca="false">SUM(DO116:DO122)</f>
        <v>0</v>
      </c>
      <c r="DP123" s="421" t="n">
        <f aca="false">SUM(DP116:DP122)</f>
        <v>0</v>
      </c>
      <c r="DQ123" s="421" t="n">
        <f aca="false">SUM(DQ116:DQ122)</f>
        <v>0</v>
      </c>
      <c r="DR123" s="421" t="n">
        <f aca="false">SUM(DR116:DR122)</f>
        <v>0</v>
      </c>
      <c r="DS123" s="421" t="n">
        <f aca="false">SUM(DS116:DS122)</f>
        <v>0</v>
      </c>
      <c r="DT123" s="421" t="n">
        <f aca="false">SUM(DT116:DT122)</f>
        <v>0</v>
      </c>
      <c r="DU123" s="421" t="n">
        <f aca="false">SUM(DU116:DU122)</f>
        <v>0</v>
      </c>
      <c r="DV123" s="421" t="n">
        <f aca="false">SUM(DV116:DV122)</f>
        <v>0</v>
      </c>
      <c r="DW123" s="421" t="n">
        <f aca="false">SUM(DW116:DW122)</f>
        <v>0</v>
      </c>
      <c r="DX123" s="421" t="n">
        <f aca="false">SUM(DX116:DX122)</f>
        <v>0</v>
      </c>
      <c r="DY123" s="421" t="n">
        <f aca="false">SUM(DY116:DY122)</f>
        <v>0</v>
      </c>
      <c r="DZ123" s="421" t="n">
        <f aca="false">SUM(DZ116:DZ122)</f>
        <v>0</v>
      </c>
      <c r="EA123" s="421" t="n">
        <f aca="false">SUM(EA116:EA122)</f>
        <v>0</v>
      </c>
      <c r="EB123" s="421" t="n">
        <f aca="false">SUM(EB116:EB122)</f>
        <v>0</v>
      </c>
      <c r="EC123" s="421" t="n">
        <f aca="false">SUM(EC116:EC122)</f>
        <v>0</v>
      </c>
      <c r="ED123" s="421" t="n">
        <f aca="false">SUM(ED116:ED122)</f>
        <v>0</v>
      </c>
      <c r="EE123" s="421" t="n">
        <f aca="false">SUM(EE116:EE122)</f>
        <v>0</v>
      </c>
      <c r="EF123" s="421" t="n">
        <f aca="false">SUM(EF116:EF122)</f>
        <v>0</v>
      </c>
      <c r="EG123" s="421" t="n">
        <f aca="false">SUM(EG116:EG122)</f>
        <v>0</v>
      </c>
      <c r="EH123" s="421" t="n">
        <f aca="false">SUM(EH116:EH122)</f>
        <v>0</v>
      </c>
      <c r="EI123" s="472" t="n">
        <f aca="false">SUM(EI116:EI122)</f>
        <v>0</v>
      </c>
    </row>
    <row r="124" s="514" customFormat="true" ht="13.5" hidden="false" customHeight="true" outlineLevel="0" collapsed="false">
      <c r="A124" s="10"/>
      <c r="B124" s="16"/>
      <c r="C124" s="613"/>
      <c r="D124" s="610"/>
      <c r="E124" s="610"/>
      <c r="F124" s="17"/>
      <c r="G124" s="610"/>
      <c r="H124" s="513"/>
      <c r="I124" s="421"/>
      <c r="J124" s="421"/>
      <c r="K124" s="421"/>
      <c r="L124" s="421"/>
      <c r="M124" s="421"/>
      <c r="N124" s="421"/>
      <c r="O124" s="421"/>
      <c r="P124" s="421"/>
      <c r="Q124" s="421"/>
      <c r="R124" s="421"/>
      <c r="S124" s="421"/>
      <c r="T124" s="513"/>
      <c r="U124" s="421"/>
      <c r="V124" s="421"/>
      <c r="W124" s="421"/>
      <c r="X124" s="421"/>
      <c r="Y124" s="421"/>
      <c r="Z124" s="421"/>
      <c r="AA124" s="421"/>
      <c r="AB124" s="421"/>
      <c r="AC124" s="421"/>
      <c r="AD124" s="421"/>
      <c r="AE124" s="421"/>
      <c r="AF124" s="513"/>
      <c r="AG124" s="421"/>
      <c r="AH124" s="421"/>
      <c r="AI124" s="421"/>
      <c r="AJ124" s="421"/>
      <c r="AK124" s="421"/>
      <c r="AL124" s="421"/>
      <c r="AM124" s="421"/>
      <c r="AN124" s="421"/>
      <c r="AO124" s="421"/>
      <c r="AP124" s="421"/>
      <c r="AQ124" s="421"/>
      <c r="AR124" s="513"/>
      <c r="AS124" s="421"/>
      <c r="AT124" s="421"/>
      <c r="AU124" s="421"/>
      <c r="AV124" s="421"/>
      <c r="AW124" s="421"/>
      <c r="AX124" s="421"/>
      <c r="AY124" s="421"/>
      <c r="AZ124" s="421"/>
      <c r="BA124" s="421"/>
      <c r="BB124" s="421"/>
      <c r="BC124" s="421"/>
      <c r="BD124" s="513"/>
      <c r="BE124" s="421"/>
      <c r="BF124" s="421"/>
      <c r="BG124" s="421"/>
      <c r="BH124" s="421"/>
      <c r="BI124" s="421"/>
      <c r="BJ124" s="421"/>
      <c r="BK124" s="421"/>
      <c r="BL124" s="421"/>
      <c r="BM124" s="421"/>
      <c r="BN124" s="421"/>
      <c r="BO124" s="421"/>
      <c r="BP124" s="513"/>
      <c r="BQ124" s="421"/>
      <c r="BR124" s="421"/>
      <c r="BS124" s="421"/>
      <c r="BT124" s="421"/>
      <c r="BU124" s="421"/>
      <c r="BV124" s="421"/>
      <c r="BW124" s="421"/>
      <c r="BX124" s="421"/>
      <c r="BY124" s="421"/>
      <c r="BZ124" s="421"/>
      <c r="CA124" s="421"/>
      <c r="CB124" s="513"/>
      <c r="CC124" s="421"/>
      <c r="CD124" s="421"/>
      <c r="CE124" s="421"/>
      <c r="CF124" s="421"/>
      <c r="CG124" s="421"/>
      <c r="CH124" s="421"/>
      <c r="CI124" s="421"/>
      <c r="CJ124" s="421"/>
      <c r="CK124" s="421"/>
      <c r="CL124" s="421"/>
      <c r="CM124" s="421"/>
      <c r="CN124" s="513"/>
      <c r="CO124" s="421"/>
      <c r="CP124" s="421"/>
      <c r="CQ124" s="421"/>
      <c r="CR124" s="421"/>
      <c r="CS124" s="421"/>
      <c r="CT124" s="421"/>
      <c r="CU124" s="421"/>
      <c r="CV124" s="421"/>
      <c r="CW124" s="421"/>
      <c r="CX124" s="421"/>
      <c r="CY124" s="421"/>
      <c r="CZ124" s="513"/>
      <c r="DA124" s="421"/>
      <c r="DB124" s="421"/>
      <c r="DC124" s="421"/>
      <c r="DD124" s="421"/>
      <c r="DE124" s="421"/>
      <c r="DF124" s="421"/>
      <c r="DG124" s="421"/>
      <c r="DH124" s="421"/>
      <c r="DI124" s="421"/>
      <c r="DJ124" s="421"/>
      <c r="DK124" s="421"/>
      <c r="DL124" s="513"/>
      <c r="DM124" s="421"/>
      <c r="DN124" s="421"/>
      <c r="DO124" s="421"/>
      <c r="DP124" s="421"/>
      <c r="DQ124" s="421"/>
      <c r="DR124" s="421"/>
      <c r="DS124" s="421"/>
      <c r="DT124" s="421"/>
      <c r="DU124" s="421"/>
      <c r="DV124" s="421"/>
      <c r="DW124" s="421"/>
      <c r="DX124" s="421"/>
      <c r="DY124" s="421"/>
      <c r="DZ124" s="421"/>
      <c r="EA124" s="421"/>
      <c r="EB124" s="421"/>
      <c r="EC124" s="421"/>
      <c r="ED124" s="421"/>
      <c r="EE124" s="421"/>
      <c r="EF124" s="421"/>
      <c r="EG124" s="421"/>
      <c r="EH124" s="421"/>
      <c r="EI124" s="472"/>
    </row>
    <row r="125" s="514" customFormat="true" ht="13.5" hidden="false" customHeight="true" outlineLevel="0" collapsed="false">
      <c r="A125" s="10"/>
      <c r="B125" s="114" t="s">
        <v>123</v>
      </c>
      <c r="C125" s="613"/>
      <c r="D125" s="610"/>
      <c r="E125" s="610"/>
      <c r="F125" s="17"/>
      <c r="G125" s="610"/>
      <c r="H125" s="513"/>
      <c r="I125" s="421"/>
      <c r="J125" s="421"/>
      <c r="K125" s="421"/>
      <c r="L125" s="421"/>
      <c r="M125" s="421"/>
      <c r="N125" s="421"/>
      <c r="O125" s="421"/>
      <c r="P125" s="421"/>
      <c r="Q125" s="421"/>
      <c r="R125" s="421"/>
      <c r="S125" s="421"/>
      <c r="T125" s="513"/>
      <c r="U125" s="421"/>
      <c r="V125" s="421"/>
      <c r="W125" s="421"/>
      <c r="X125" s="421"/>
      <c r="Y125" s="421"/>
      <c r="Z125" s="421"/>
      <c r="AA125" s="421"/>
      <c r="AB125" s="421"/>
      <c r="AC125" s="421"/>
      <c r="AD125" s="421"/>
      <c r="AE125" s="421"/>
      <c r="AF125" s="513"/>
      <c r="AG125" s="421"/>
      <c r="AH125" s="421"/>
      <c r="AI125" s="421"/>
      <c r="AJ125" s="421"/>
      <c r="AK125" s="421"/>
      <c r="AL125" s="421"/>
      <c r="AM125" s="421"/>
      <c r="AN125" s="421"/>
      <c r="AO125" s="421"/>
      <c r="AP125" s="421"/>
      <c r="AQ125" s="421"/>
      <c r="AR125" s="513"/>
      <c r="AS125" s="421"/>
      <c r="AT125" s="421"/>
      <c r="AU125" s="421"/>
      <c r="AV125" s="421"/>
      <c r="AW125" s="421"/>
      <c r="AX125" s="421"/>
      <c r="AY125" s="421"/>
      <c r="AZ125" s="421"/>
      <c r="BA125" s="421"/>
      <c r="BB125" s="421"/>
      <c r="BC125" s="421"/>
      <c r="BD125" s="513"/>
      <c r="BE125" s="421"/>
      <c r="BF125" s="421"/>
      <c r="BG125" s="421"/>
      <c r="BH125" s="421"/>
      <c r="BI125" s="421"/>
      <c r="BJ125" s="421"/>
      <c r="BK125" s="421"/>
      <c r="BL125" s="421"/>
      <c r="BM125" s="421"/>
      <c r="BN125" s="421"/>
      <c r="BO125" s="421"/>
      <c r="BP125" s="513"/>
      <c r="BQ125" s="421"/>
      <c r="BR125" s="421"/>
      <c r="BS125" s="421"/>
      <c r="BT125" s="421"/>
      <c r="BU125" s="421"/>
      <c r="BV125" s="421"/>
      <c r="BW125" s="421"/>
      <c r="BX125" s="421"/>
      <c r="BY125" s="421"/>
      <c r="BZ125" s="421"/>
      <c r="CA125" s="421"/>
      <c r="CB125" s="513"/>
      <c r="CC125" s="421"/>
      <c r="CD125" s="421"/>
      <c r="CE125" s="421"/>
      <c r="CF125" s="421"/>
      <c r="CG125" s="421"/>
      <c r="CH125" s="421"/>
      <c r="CI125" s="421"/>
      <c r="CJ125" s="421"/>
      <c r="CK125" s="421"/>
      <c r="CL125" s="421"/>
      <c r="CM125" s="421"/>
      <c r="CN125" s="513"/>
      <c r="CO125" s="421"/>
      <c r="CP125" s="421"/>
      <c r="CQ125" s="421"/>
      <c r="CR125" s="421"/>
      <c r="CS125" s="421"/>
      <c r="CT125" s="421"/>
      <c r="CU125" s="421"/>
      <c r="CV125" s="421"/>
      <c r="CW125" s="421"/>
      <c r="CX125" s="421"/>
      <c r="CY125" s="421"/>
      <c r="CZ125" s="513"/>
      <c r="DA125" s="421"/>
      <c r="DB125" s="421"/>
      <c r="DC125" s="421"/>
      <c r="DD125" s="421"/>
      <c r="DE125" s="421"/>
      <c r="DF125" s="421"/>
      <c r="DG125" s="421"/>
      <c r="DH125" s="421"/>
      <c r="DI125" s="421"/>
      <c r="DJ125" s="421"/>
      <c r="DK125" s="421"/>
      <c r="DL125" s="513"/>
      <c r="DM125" s="421"/>
      <c r="DN125" s="421"/>
      <c r="DO125" s="421"/>
      <c r="DP125" s="421"/>
      <c r="DQ125" s="421"/>
      <c r="DR125" s="421"/>
      <c r="DS125" s="421"/>
      <c r="DT125" s="421"/>
      <c r="DU125" s="421"/>
      <c r="DV125" s="421"/>
      <c r="DW125" s="421"/>
      <c r="DX125" s="421"/>
      <c r="DY125" s="421"/>
      <c r="DZ125" s="421"/>
      <c r="EA125" s="421"/>
      <c r="EB125" s="421"/>
      <c r="EC125" s="421"/>
      <c r="ED125" s="421"/>
      <c r="EE125" s="421"/>
      <c r="EF125" s="421"/>
      <c r="EG125" s="421"/>
      <c r="EH125" s="421"/>
      <c r="EI125" s="472"/>
    </row>
    <row r="126" s="514" customFormat="true" ht="13.5" hidden="false" customHeight="true" outlineLevel="0" collapsed="false">
      <c r="A126" s="10"/>
      <c r="B126" s="16" t="s">
        <v>127</v>
      </c>
      <c r="C126" s="613"/>
      <c r="D126" s="610" t="n">
        <f aca="false">'Executive Summary'!C30</f>
        <v>6625000</v>
      </c>
      <c r="E126" s="610" t="n">
        <f aca="false">SUM(G126:EI126)</f>
        <v>6625000</v>
      </c>
      <c r="F126" s="17"/>
      <c r="G126" s="610" t="n">
        <f aca="false">D126</f>
        <v>6625000</v>
      </c>
      <c r="H126" s="513" t="n">
        <v>0</v>
      </c>
      <c r="I126" s="421" t="n">
        <v>0</v>
      </c>
      <c r="J126" s="421" t="n">
        <v>0</v>
      </c>
      <c r="K126" s="421" t="n">
        <v>0</v>
      </c>
      <c r="L126" s="421" t="n">
        <v>0</v>
      </c>
      <c r="M126" s="421" t="n">
        <v>0</v>
      </c>
      <c r="N126" s="421" t="n">
        <v>0</v>
      </c>
      <c r="O126" s="421" t="n">
        <v>0</v>
      </c>
      <c r="P126" s="421" t="n">
        <v>0</v>
      </c>
      <c r="Q126" s="421" t="n">
        <v>0</v>
      </c>
      <c r="R126" s="421" t="n">
        <v>0</v>
      </c>
      <c r="S126" s="421" t="n">
        <v>0</v>
      </c>
      <c r="T126" s="513" t="n">
        <v>0</v>
      </c>
      <c r="U126" s="421" t="n">
        <v>0</v>
      </c>
      <c r="V126" s="421" t="n">
        <v>0</v>
      </c>
      <c r="W126" s="421" t="n">
        <v>0</v>
      </c>
      <c r="X126" s="421" t="n">
        <v>0</v>
      </c>
      <c r="Y126" s="421" t="n">
        <v>0</v>
      </c>
      <c r="Z126" s="421" t="n">
        <v>0</v>
      </c>
      <c r="AA126" s="421" t="n">
        <v>0</v>
      </c>
      <c r="AB126" s="421" t="n">
        <v>0</v>
      </c>
      <c r="AC126" s="421" t="n">
        <v>0</v>
      </c>
      <c r="AD126" s="421" t="n">
        <v>0</v>
      </c>
      <c r="AE126" s="421" t="n">
        <v>0</v>
      </c>
      <c r="AF126" s="513" t="n">
        <v>0</v>
      </c>
      <c r="AG126" s="421" t="n">
        <v>0</v>
      </c>
      <c r="AH126" s="421" t="n">
        <v>0</v>
      </c>
      <c r="AI126" s="421" t="n">
        <v>0</v>
      </c>
      <c r="AJ126" s="421" t="n">
        <v>0</v>
      </c>
      <c r="AK126" s="421" t="n">
        <v>0</v>
      </c>
      <c r="AL126" s="421" t="n">
        <v>0</v>
      </c>
      <c r="AM126" s="421" t="n">
        <v>0</v>
      </c>
      <c r="AN126" s="421" t="n">
        <v>0</v>
      </c>
      <c r="AO126" s="421" t="n">
        <v>0</v>
      </c>
      <c r="AP126" s="421" t="n">
        <v>0</v>
      </c>
      <c r="AQ126" s="421" t="n">
        <v>0</v>
      </c>
      <c r="AR126" s="513" t="n">
        <v>0</v>
      </c>
      <c r="AS126" s="421" t="n">
        <v>0</v>
      </c>
      <c r="AT126" s="421" t="n">
        <v>0</v>
      </c>
      <c r="AU126" s="421" t="n">
        <v>0</v>
      </c>
      <c r="AV126" s="421" t="n">
        <v>0</v>
      </c>
      <c r="AW126" s="421" t="n">
        <v>0</v>
      </c>
      <c r="AX126" s="421" t="n">
        <v>0</v>
      </c>
      <c r="AY126" s="421" t="n">
        <v>0</v>
      </c>
      <c r="AZ126" s="421" t="n">
        <v>0</v>
      </c>
      <c r="BA126" s="421" t="n">
        <v>0</v>
      </c>
      <c r="BB126" s="421" t="n">
        <v>0</v>
      </c>
      <c r="BC126" s="421" t="n">
        <v>0</v>
      </c>
      <c r="BD126" s="513" t="n">
        <v>0</v>
      </c>
      <c r="BE126" s="421" t="n">
        <v>0</v>
      </c>
      <c r="BF126" s="421" t="n">
        <v>0</v>
      </c>
      <c r="BG126" s="421" t="n">
        <v>0</v>
      </c>
      <c r="BH126" s="421" t="n">
        <v>0</v>
      </c>
      <c r="BI126" s="421" t="n">
        <v>0</v>
      </c>
      <c r="BJ126" s="421" t="n">
        <v>0</v>
      </c>
      <c r="BK126" s="421" t="n">
        <v>0</v>
      </c>
      <c r="BL126" s="421" t="n">
        <v>0</v>
      </c>
      <c r="BM126" s="421" t="n">
        <v>0</v>
      </c>
      <c r="BN126" s="421" t="n">
        <v>0</v>
      </c>
      <c r="BO126" s="421" t="n">
        <v>0</v>
      </c>
      <c r="BP126" s="513" t="n">
        <v>0</v>
      </c>
      <c r="BQ126" s="421" t="n">
        <v>0</v>
      </c>
      <c r="BR126" s="421" t="n">
        <v>0</v>
      </c>
      <c r="BS126" s="421" t="n">
        <v>0</v>
      </c>
      <c r="BT126" s="421" t="n">
        <v>0</v>
      </c>
      <c r="BU126" s="421" t="n">
        <v>0</v>
      </c>
      <c r="BV126" s="421" t="n">
        <v>0</v>
      </c>
      <c r="BW126" s="421" t="n">
        <v>0</v>
      </c>
      <c r="BX126" s="421" t="n">
        <v>0</v>
      </c>
      <c r="BY126" s="421" t="n">
        <v>0</v>
      </c>
      <c r="BZ126" s="421" t="n">
        <v>0</v>
      </c>
      <c r="CA126" s="421" t="n">
        <v>0</v>
      </c>
      <c r="CB126" s="513" t="n">
        <v>0</v>
      </c>
      <c r="CC126" s="421" t="n">
        <v>0</v>
      </c>
      <c r="CD126" s="421" t="n">
        <v>0</v>
      </c>
      <c r="CE126" s="421" t="n">
        <v>0</v>
      </c>
      <c r="CF126" s="421" t="n">
        <v>0</v>
      </c>
      <c r="CG126" s="421" t="n">
        <v>0</v>
      </c>
      <c r="CH126" s="421" t="n">
        <v>0</v>
      </c>
      <c r="CI126" s="421" t="n">
        <v>0</v>
      </c>
      <c r="CJ126" s="421" t="n">
        <v>0</v>
      </c>
      <c r="CK126" s="421" t="n">
        <v>0</v>
      </c>
      <c r="CL126" s="421" t="n">
        <v>0</v>
      </c>
      <c r="CM126" s="421" t="n">
        <v>0</v>
      </c>
      <c r="CN126" s="513" t="n">
        <v>0</v>
      </c>
      <c r="CO126" s="421" t="n">
        <v>0</v>
      </c>
      <c r="CP126" s="421" t="n">
        <v>0</v>
      </c>
      <c r="CQ126" s="421" t="n">
        <v>0</v>
      </c>
      <c r="CR126" s="421" t="n">
        <v>0</v>
      </c>
      <c r="CS126" s="421" t="n">
        <v>0</v>
      </c>
      <c r="CT126" s="421" t="n">
        <v>0</v>
      </c>
      <c r="CU126" s="421" t="n">
        <v>0</v>
      </c>
      <c r="CV126" s="421" t="n">
        <v>0</v>
      </c>
      <c r="CW126" s="421" t="n">
        <v>0</v>
      </c>
      <c r="CX126" s="421" t="n">
        <v>0</v>
      </c>
      <c r="CY126" s="421" t="n">
        <v>0</v>
      </c>
      <c r="CZ126" s="513" t="n">
        <v>0</v>
      </c>
      <c r="DA126" s="421" t="n">
        <v>0</v>
      </c>
      <c r="DB126" s="421" t="n">
        <v>0</v>
      </c>
      <c r="DC126" s="421" t="n">
        <v>0</v>
      </c>
      <c r="DD126" s="421" t="n">
        <v>0</v>
      </c>
      <c r="DE126" s="421" t="n">
        <v>0</v>
      </c>
      <c r="DF126" s="421" t="n">
        <v>0</v>
      </c>
      <c r="DG126" s="421" t="n">
        <v>0</v>
      </c>
      <c r="DH126" s="421" t="n">
        <v>0</v>
      </c>
      <c r="DI126" s="421" t="n">
        <v>0</v>
      </c>
      <c r="DJ126" s="421" t="n">
        <v>0</v>
      </c>
      <c r="DK126" s="421" t="n">
        <v>0</v>
      </c>
      <c r="DL126" s="513" t="n">
        <v>0</v>
      </c>
      <c r="DM126" s="421" t="n">
        <v>0</v>
      </c>
      <c r="DN126" s="421" t="n">
        <v>0</v>
      </c>
      <c r="DO126" s="421" t="n">
        <v>0</v>
      </c>
      <c r="DP126" s="421" t="n">
        <v>0</v>
      </c>
      <c r="DQ126" s="421" t="n">
        <v>0</v>
      </c>
      <c r="DR126" s="421" t="n">
        <v>0</v>
      </c>
      <c r="DS126" s="421" t="n">
        <v>0</v>
      </c>
      <c r="DT126" s="421" t="n">
        <v>0</v>
      </c>
      <c r="DU126" s="421" t="n">
        <v>0</v>
      </c>
      <c r="DV126" s="421" t="n">
        <v>0</v>
      </c>
      <c r="DW126" s="421" t="n">
        <v>0</v>
      </c>
      <c r="DX126" s="421" t="n">
        <v>0</v>
      </c>
      <c r="DY126" s="421" t="n">
        <v>0</v>
      </c>
      <c r="DZ126" s="421" t="n">
        <v>0</v>
      </c>
      <c r="EA126" s="421" t="n">
        <v>0</v>
      </c>
      <c r="EB126" s="421" t="n">
        <v>0</v>
      </c>
      <c r="EC126" s="421" t="n">
        <v>0</v>
      </c>
      <c r="ED126" s="421" t="n">
        <v>0</v>
      </c>
      <c r="EE126" s="421" t="n">
        <v>0</v>
      </c>
      <c r="EF126" s="421" t="n">
        <v>0</v>
      </c>
      <c r="EG126" s="421" t="n">
        <v>0</v>
      </c>
      <c r="EH126" s="421" t="n">
        <v>0</v>
      </c>
      <c r="EI126" s="472" t="n">
        <v>0</v>
      </c>
    </row>
    <row r="127" s="514" customFormat="true" ht="13.5" hidden="false" customHeight="true" outlineLevel="0" collapsed="false">
      <c r="A127" s="10"/>
      <c r="B127" s="618" t="s">
        <v>50</v>
      </c>
      <c r="C127" s="521" t="n">
        <f aca="false">'Executive Summary'!C37</f>
        <v>0.02</v>
      </c>
      <c r="D127" s="610" t="n">
        <f aca="false">'Executive Summary'!D37</f>
        <v>132500</v>
      </c>
      <c r="E127" s="610" t="n">
        <f aca="false">SUM(G127:EI127)</f>
        <v>132500</v>
      </c>
      <c r="F127" s="17"/>
      <c r="G127" s="614" t="n">
        <f aca="false">D127</f>
        <v>132500</v>
      </c>
      <c r="H127" s="513" t="n">
        <v>0</v>
      </c>
      <c r="I127" s="421" t="n">
        <v>0</v>
      </c>
      <c r="J127" s="421" t="n">
        <v>0</v>
      </c>
      <c r="K127" s="421" t="n">
        <v>0</v>
      </c>
      <c r="L127" s="421" t="n">
        <v>0</v>
      </c>
      <c r="M127" s="421" t="n">
        <v>0</v>
      </c>
      <c r="N127" s="421" t="n">
        <v>0</v>
      </c>
      <c r="O127" s="421" t="n">
        <v>0</v>
      </c>
      <c r="P127" s="421" t="n">
        <v>0</v>
      </c>
      <c r="Q127" s="421" t="n">
        <v>0</v>
      </c>
      <c r="R127" s="421" t="n">
        <v>0</v>
      </c>
      <c r="S127" s="421" t="n">
        <v>0</v>
      </c>
      <c r="T127" s="513" t="n">
        <v>0</v>
      </c>
      <c r="U127" s="421" t="n">
        <v>0</v>
      </c>
      <c r="V127" s="421" t="n">
        <v>0</v>
      </c>
      <c r="W127" s="421" t="n">
        <v>0</v>
      </c>
      <c r="X127" s="421" t="n">
        <v>0</v>
      </c>
      <c r="Y127" s="421" t="n">
        <v>0</v>
      </c>
      <c r="Z127" s="421" t="n">
        <v>0</v>
      </c>
      <c r="AA127" s="421" t="n">
        <v>0</v>
      </c>
      <c r="AB127" s="421" t="n">
        <v>0</v>
      </c>
      <c r="AC127" s="421" t="n">
        <v>0</v>
      </c>
      <c r="AD127" s="421" t="n">
        <v>0</v>
      </c>
      <c r="AE127" s="421" t="n">
        <v>0</v>
      </c>
      <c r="AF127" s="513" t="n">
        <v>0</v>
      </c>
      <c r="AG127" s="421" t="n">
        <v>0</v>
      </c>
      <c r="AH127" s="421" t="n">
        <v>0</v>
      </c>
      <c r="AI127" s="421" t="n">
        <v>0</v>
      </c>
      <c r="AJ127" s="421" t="n">
        <v>0</v>
      </c>
      <c r="AK127" s="421" t="n">
        <v>0</v>
      </c>
      <c r="AL127" s="421" t="n">
        <v>0</v>
      </c>
      <c r="AM127" s="421" t="n">
        <v>0</v>
      </c>
      <c r="AN127" s="421" t="n">
        <v>0</v>
      </c>
      <c r="AO127" s="421" t="n">
        <v>0</v>
      </c>
      <c r="AP127" s="421" t="n">
        <v>0</v>
      </c>
      <c r="AQ127" s="421" t="n">
        <v>0</v>
      </c>
      <c r="AR127" s="513" t="n">
        <v>0</v>
      </c>
      <c r="AS127" s="421" t="n">
        <v>0</v>
      </c>
      <c r="AT127" s="421" t="n">
        <v>0</v>
      </c>
      <c r="AU127" s="421" t="n">
        <v>0</v>
      </c>
      <c r="AV127" s="421" t="n">
        <v>0</v>
      </c>
      <c r="AW127" s="421" t="n">
        <v>0</v>
      </c>
      <c r="AX127" s="421" t="n">
        <v>0</v>
      </c>
      <c r="AY127" s="421" t="n">
        <v>0</v>
      </c>
      <c r="AZ127" s="421" t="n">
        <v>0</v>
      </c>
      <c r="BA127" s="421" t="n">
        <v>0</v>
      </c>
      <c r="BB127" s="421" t="n">
        <v>0</v>
      </c>
      <c r="BC127" s="421" t="n">
        <v>0</v>
      </c>
      <c r="BD127" s="513" t="n">
        <v>0</v>
      </c>
      <c r="BE127" s="421" t="n">
        <v>0</v>
      </c>
      <c r="BF127" s="421" t="n">
        <v>0</v>
      </c>
      <c r="BG127" s="421" t="n">
        <v>0</v>
      </c>
      <c r="BH127" s="421" t="n">
        <v>0</v>
      </c>
      <c r="BI127" s="421" t="n">
        <v>0</v>
      </c>
      <c r="BJ127" s="421" t="n">
        <v>0</v>
      </c>
      <c r="BK127" s="421" t="n">
        <v>0</v>
      </c>
      <c r="BL127" s="421" t="n">
        <v>0</v>
      </c>
      <c r="BM127" s="421" t="n">
        <v>0</v>
      </c>
      <c r="BN127" s="421" t="n">
        <v>0</v>
      </c>
      <c r="BO127" s="421" t="n">
        <v>0</v>
      </c>
      <c r="BP127" s="513" t="n">
        <v>0</v>
      </c>
      <c r="BQ127" s="421" t="n">
        <v>0</v>
      </c>
      <c r="BR127" s="421" t="n">
        <v>0</v>
      </c>
      <c r="BS127" s="421" t="n">
        <v>0</v>
      </c>
      <c r="BT127" s="421" t="n">
        <v>0</v>
      </c>
      <c r="BU127" s="421" t="n">
        <v>0</v>
      </c>
      <c r="BV127" s="421" t="n">
        <v>0</v>
      </c>
      <c r="BW127" s="421" t="n">
        <v>0</v>
      </c>
      <c r="BX127" s="421" t="n">
        <v>0</v>
      </c>
      <c r="BY127" s="421" t="n">
        <v>0</v>
      </c>
      <c r="BZ127" s="421" t="n">
        <v>0</v>
      </c>
      <c r="CA127" s="421" t="n">
        <v>0</v>
      </c>
      <c r="CB127" s="513" t="n">
        <v>0</v>
      </c>
      <c r="CC127" s="421" t="n">
        <v>0</v>
      </c>
      <c r="CD127" s="421" t="n">
        <v>0</v>
      </c>
      <c r="CE127" s="421" t="n">
        <v>0</v>
      </c>
      <c r="CF127" s="421" t="n">
        <v>0</v>
      </c>
      <c r="CG127" s="421" t="n">
        <v>0</v>
      </c>
      <c r="CH127" s="421" t="n">
        <v>0</v>
      </c>
      <c r="CI127" s="421" t="n">
        <v>0</v>
      </c>
      <c r="CJ127" s="421" t="n">
        <v>0</v>
      </c>
      <c r="CK127" s="421" t="n">
        <v>0</v>
      </c>
      <c r="CL127" s="421" t="n">
        <v>0</v>
      </c>
      <c r="CM127" s="421" t="n">
        <v>0</v>
      </c>
      <c r="CN127" s="513" t="n">
        <v>0</v>
      </c>
      <c r="CO127" s="421" t="n">
        <v>0</v>
      </c>
      <c r="CP127" s="421" t="n">
        <v>0</v>
      </c>
      <c r="CQ127" s="421" t="n">
        <v>0</v>
      </c>
      <c r="CR127" s="421" t="n">
        <v>0</v>
      </c>
      <c r="CS127" s="421" t="n">
        <v>0</v>
      </c>
      <c r="CT127" s="421" t="n">
        <v>0</v>
      </c>
      <c r="CU127" s="421" t="n">
        <v>0</v>
      </c>
      <c r="CV127" s="421" t="n">
        <v>0</v>
      </c>
      <c r="CW127" s="421" t="n">
        <v>0</v>
      </c>
      <c r="CX127" s="421" t="n">
        <v>0</v>
      </c>
      <c r="CY127" s="421" t="n">
        <v>0</v>
      </c>
      <c r="CZ127" s="513" t="n">
        <v>0</v>
      </c>
      <c r="DA127" s="421" t="n">
        <v>0</v>
      </c>
      <c r="DB127" s="421" t="n">
        <v>0</v>
      </c>
      <c r="DC127" s="421" t="n">
        <v>0</v>
      </c>
      <c r="DD127" s="421" t="n">
        <v>0</v>
      </c>
      <c r="DE127" s="421" t="n">
        <v>0</v>
      </c>
      <c r="DF127" s="421" t="n">
        <v>0</v>
      </c>
      <c r="DG127" s="421" t="n">
        <v>0</v>
      </c>
      <c r="DH127" s="421" t="n">
        <v>0</v>
      </c>
      <c r="DI127" s="421" t="n">
        <v>0</v>
      </c>
      <c r="DJ127" s="421" t="n">
        <v>0</v>
      </c>
      <c r="DK127" s="421" t="n">
        <v>0</v>
      </c>
      <c r="DL127" s="513" t="n">
        <v>0</v>
      </c>
      <c r="DM127" s="421" t="n">
        <v>0</v>
      </c>
      <c r="DN127" s="421" t="n">
        <v>0</v>
      </c>
      <c r="DO127" s="421" t="n">
        <v>0</v>
      </c>
      <c r="DP127" s="421" t="n">
        <v>0</v>
      </c>
      <c r="DQ127" s="421" t="n">
        <v>0</v>
      </c>
      <c r="DR127" s="421" t="n">
        <v>0</v>
      </c>
      <c r="DS127" s="421" t="n">
        <v>0</v>
      </c>
      <c r="DT127" s="421" t="n">
        <v>0</v>
      </c>
      <c r="DU127" s="421" t="n">
        <v>0</v>
      </c>
      <c r="DV127" s="421" t="n">
        <v>0</v>
      </c>
      <c r="DW127" s="421" t="n">
        <v>0</v>
      </c>
      <c r="DX127" s="421" t="n">
        <v>0</v>
      </c>
      <c r="DY127" s="421" t="n">
        <v>0</v>
      </c>
      <c r="DZ127" s="421" t="n">
        <v>0</v>
      </c>
      <c r="EA127" s="421" t="n">
        <v>0</v>
      </c>
      <c r="EB127" s="421" t="n">
        <v>0</v>
      </c>
      <c r="EC127" s="421" t="n">
        <v>0</v>
      </c>
      <c r="ED127" s="421" t="n">
        <v>0</v>
      </c>
      <c r="EE127" s="421" t="n">
        <v>0</v>
      </c>
      <c r="EF127" s="421" t="n">
        <v>0</v>
      </c>
      <c r="EG127" s="421" t="n">
        <v>0</v>
      </c>
      <c r="EH127" s="421" t="n">
        <v>0</v>
      </c>
      <c r="EI127" s="472" t="n">
        <v>0</v>
      </c>
    </row>
    <row r="128" s="514" customFormat="true" ht="13.5" hidden="false" customHeight="true" outlineLevel="0" collapsed="false">
      <c r="A128" s="10"/>
      <c r="B128" s="618" t="s">
        <v>53</v>
      </c>
      <c r="C128" s="521" t="n">
        <f aca="false">'Executive Summary'!C38</f>
        <v>0.02</v>
      </c>
      <c r="D128" s="610" t="n">
        <f aca="false">'Executive Summary'!D38</f>
        <v>37479.222</v>
      </c>
      <c r="E128" s="610" t="n">
        <f aca="false">SUM(G128:EI128)</f>
        <v>37479.222</v>
      </c>
      <c r="F128" s="17"/>
      <c r="G128" s="614" t="n">
        <f aca="false">D128</f>
        <v>37479.222</v>
      </c>
      <c r="H128" s="513" t="n">
        <v>0</v>
      </c>
      <c r="I128" s="421" t="n">
        <v>0</v>
      </c>
      <c r="J128" s="421" t="n">
        <v>0</v>
      </c>
      <c r="K128" s="421" t="n">
        <v>0</v>
      </c>
      <c r="L128" s="421" t="n">
        <v>0</v>
      </c>
      <c r="M128" s="421" t="n">
        <v>0</v>
      </c>
      <c r="N128" s="421" t="n">
        <v>0</v>
      </c>
      <c r="O128" s="421" t="n">
        <v>0</v>
      </c>
      <c r="P128" s="421" t="n">
        <v>0</v>
      </c>
      <c r="Q128" s="421" t="n">
        <v>0</v>
      </c>
      <c r="R128" s="421" t="n">
        <v>0</v>
      </c>
      <c r="S128" s="421" t="n">
        <v>0</v>
      </c>
      <c r="T128" s="513" t="n">
        <v>0</v>
      </c>
      <c r="U128" s="421" t="n">
        <v>0</v>
      </c>
      <c r="V128" s="421" t="n">
        <v>0</v>
      </c>
      <c r="W128" s="421" t="n">
        <v>0</v>
      </c>
      <c r="X128" s="421" t="n">
        <v>0</v>
      </c>
      <c r="Y128" s="421" t="n">
        <v>0</v>
      </c>
      <c r="Z128" s="421" t="n">
        <v>0</v>
      </c>
      <c r="AA128" s="421" t="n">
        <v>0</v>
      </c>
      <c r="AB128" s="421" t="n">
        <v>0</v>
      </c>
      <c r="AC128" s="421" t="n">
        <v>0</v>
      </c>
      <c r="AD128" s="421" t="n">
        <v>0</v>
      </c>
      <c r="AE128" s="421" t="n">
        <v>0</v>
      </c>
      <c r="AF128" s="513" t="n">
        <v>0</v>
      </c>
      <c r="AG128" s="421" t="n">
        <v>0</v>
      </c>
      <c r="AH128" s="421" t="n">
        <v>0</v>
      </c>
      <c r="AI128" s="421" t="n">
        <v>0</v>
      </c>
      <c r="AJ128" s="421" t="n">
        <v>0</v>
      </c>
      <c r="AK128" s="421" t="n">
        <v>0</v>
      </c>
      <c r="AL128" s="421" t="n">
        <v>0</v>
      </c>
      <c r="AM128" s="421" t="n">
        <v>0</v>
      </c>
      <c r="AN128" s="421" t="n">
        <v>0</v>
      </c>
      <c r="AO128" s="421" t="n">
        <v>0</v>
      </c>
      <c r="AP128" s="421" t="n">
        <v>0</v>
      </c>
      <c r="AQ128" s="421" t="n">
        <v>0</v>
      </c>
      <c r="AR128" s="513" t="n">
        <v>0</v>
      </c>
      <c r="AS128" s="421" t="n">
        <v>0</v>
      </c>
      <c r="AT128" s="421" t="n">
        <v>0</v>
      </c>
      <c r="AU128" s="421" t="n">
        <v>0</v>
      </c>
      <c r="AV128" s="421" t="n">
        <v>0</v>
      </c>
      <c r="AW128" s="421" t="n">
        <v>0</v>
      </c>
      <c r="AX128" s="421" t="n">
        <v>0</v>
      </c>
      <c r="AY128" s="421" t="n">
        <v>0</v>
      </c>
      <c r="AZ128" s="421" t="n">
        <v>0</v>
      </c>
      <c r="BA128" s="421" t="n">
        <v>0</v>
      </c>
      <c r="BB128" s="421" t="n">
        <v>0</v>
      </c>
      <c r="BC128" s="421" t="n">
        <v>0</v>
      </c>
      <c r="BD128" s="513" t="n">
        <v>0</v>
      </c>
      <c r="BE128" s="421" t="n">
        <v>0</v>
      </c>
      <c r="BF128" s="421" t="n">
        <v>0</v>
      </c>
      <c r="BG128" s="421" t="n">
        <v>0</v>
      </c>
      <c r="BH128" s="421" t="n">
        <v>0</v>
      </c>
      <c r="BI128" s="421" t="n">
        <v>0</v>
      </c>
      <c r="BJ128" s="421" t="n">
        <v>0</v>
      </c>
      <c r="BK128" s="421" t="n">
        <v>0</v>
      </c>
      <c r="BL128" s="421" t="n">
        <v>0</v>
      </c>
      <c r="BM128" s="421" t="n">
        <v>0</v>
      </c>
      <c r="BN128" s="421" t="n">
        <v>0</v>
      </c>
      <c r="BO128" s="421" t="n">
        <v>0</v>
      </c>
      <c r="BP128" s="513" t="n">
        <v>0</v>
      </c>
      <c r="BQ128" s="421" t="n">
        <v>0</v>
      </c>
      <c r="BR128" s="421" t="n">
        <v>0</v>
      </c>
      <c r="BS128" s="421" t="n">
        <v>0</v>
      </c>
      <c r="BT128" s="421" t="n">
        <v>0</v>
      </c>
      <c r="BU128" s="421" t="n">
        <v>0</v>
      </c>
      <c r="BV128" s="421" t="n">
        <v>0</v>
      </c>
      <c r="BW128" s="421" t="n">
        <v>0</v>
      </c>
      <c r="BX128" s="421" t="n">
        <v>0</v>
      </c>
      <c r="BY128" s="421" t="n">
        <v>0</v>
      </c>
      <c r="BZ128" s="421" t="n">
        <v>0</v>
      </c>
      <c r="CA128" s="421" t="n">
        <v>0</v>
      </c>
      <c r="CB128" s="513" t="n">
        <v>0</v>
      </c>
      <c r="CC128" s="421" t="n">
        <v>0</v>
      </c>
      <c r="CD128" s="421" t="n">
        <v>0</v>
      </c>
      <c r="CE128" s="421" t="n">
        <v>0</v>
      </c>
      <c r="CF128" s="421" t="n">
        <v>0</v>
      </c>
      <c r="CG128" s="421" t="n">
        <v>0</v>
      </c>
      <c r="CH128" s="421" t="n">
        <v>0</v>
      </c>
      <c r="CI128" s="421" t="n">
        <v>0</v>
      </c>
      <c r="CJ128" s="421" t="n">
        <v>0</v>
      </c>
      <c r="CK128" s="421" t="n">
        <v>0</v>
      </c>
      <c r="CL128" s="421" t="n">
        <v>0</v>
      </c>
      <c r="CM128" s="421" t="n">
        <v>0</v>
      </c>
      <c r="CN128" s="513" t="n">
        <v>0</v>
      </c>
      <c r="CO128" s="421" t="n">
        <v>0</v>
      </c>
      <c r="CP128" s="421" t="n">
        <v>0</v>
      </c>
      <c r="CQ128" s="421" t="n">
        <v>0</v>
      </c>
      <c r="CR128" s="421" t="n">
        <v>0</v>
      </c>
      <c r="CS128" s="421" t="n">
        <v>0</v>
      </c>
      <c r="CT128" s="421" t="n">
        <v>0</v>
      </c>
      <c r="CU128" s="421" t="n">
        <v>0</v>
      </c>
      <c r="CV128" s="421" t="n">
        <v>0</v>
      </c>
      <c r="CW128" s="421" t="n">
        <v>0</v>
      </c>
      <c r="CX128" s="421" t="n">
        <v>0</v>
      </c>
      <c r="CY128" s="421" t="n">
        <v>0</v>
      </c>
      <c r="CZ128" s="513" t="n">
        <v>0</v>
      </c>
      <c r="DA128" s="421" t="n">
        <v>0</v>
      </c>
      <c r="DB128" s="421" t="n">
        <v>0</v>
      </c>
      <c r="DC128" s="421" t="n">
        <v>0</v>
      </c>
      <c r="DD128" s="421" t="n">
        <v>0</v>
      </c>
      <c r="DE128" s="421" t="n">
        <v>0</v>
      </c>
      <c r="DF128" s="421" t="n">
        <v>0</v>
      </c>
      <c r="DG128" s="421" t="n">
        <v>0</v>
      </c>
      <c r="DH128" s="421" t="n">
        <v>0</v>
      </c>
      <c r="DI128" s="421" t="n">
        <v>0</v>
      </c>
      <c r="DJ128" s="421" t="n">
        <v>0</v>
      </c>
      <c r="DK128" s="421" t="n">
        <v>0</v>
      </c>
      <c r="DL128" s="513" t="n">
        <v>0</v>
      </c>
      <c r="DM128" s="421" t="n">
        <v>0</v>
      </c>
      <c r="DN128" s="421" t="n">
        <v>0</v>
      </c>
      <c r="DO128" s="421" t="n">
        <v>0</v>
      </c>
      <c r="DP128" s="421" t="n">
        <v>0</v>
      </c>
      <c r="DQ128" s="421" t="n">
        <v>0</v>
      </c>
      <c r="DR128" s="421" t="n">
        <v>0</v>
      </c>
      <c r="DS128" s="421" t="n">
        <v>0</v>
      </c>
      <c r="DT128" s="421" t="n">
        <v>0</v>
      </c>
      <c r="DU128" s="421" t="n">
        <v>0</v>
      </c>
      <c r="DV128" s="421" t="n">
        <v>0</v>
      </c>
      <c r="DW128" s="421" t="n">
        <v>0</v>
      </c>
      <c r="DX128" s="421" t="n">
        <v>0</v>
      </c>
      <c r="DY128" s="421" t="n">
        <v>0</v>
      </c>
      <c r="DZ128" s="421" t="n">
        <v>0</v>
      </c>
      <c r="EA128" s="421" t="n">
        <v>0</v>
      </c>
      <c r="EB128" s="421" t="n">
        <v>0</v>
      </c>
      <c r="EC128" s="421" t="n">
        <v>0</v>
      </c>
      <c r="ED128" s="421" t="n">
        <v>0</v>
      </c>
      <c r="EE128" s="421" t="n">
        <v>0</v>
      </c>
      <c r="EF128" s="421" t="n">
        <v>0</v>
      </c>
      <c r="EG128" s="421" t="n">
        <v>0</v>
      </c>
      <c r="EH128" s="421" t="n">
        <v>0</v>
      </c>
      <c r="EI128" s="472" t="n">
        <v>0</v>
      </c>
    </row>
    <row r="129" s="514" customFormat="true" ht="13.5" hidden="false" customHeight="true" outlineLevel="0" collapsed="false">
      <c r="A129" s="10"/>
      <c r="B129" s="16" t="s">
        <v>130</v>
      </c>
      <c r="C129" s="613"/>
      <c r="D129" s="610" t="n">
        <f aca="false">'Executive Summary'!C31</f>
        <v>383250</v>
      </c>
      <c r="E129" s="610" t="n">
        <f aca="false">SUM(G129:EI129)</f>
        <v>383250</v>
      </c>
      <c r="F129" s="17"/>
      <c r="G129" s="610" t="n">
        <f aca="false">D129</f>
        <v>383250</v>
      </c>
      <c r="H129" s="513" t="n">
        <v>0</v>
      </c>
      <c r="I129" s="421" t="n">
        <v>0</v>
      </c>
      <c r="J129" s="421" t="n">
        <v>0</v>
      </c>
      <c r="K129" s="421" t="n">
        <v>0</v>
      </c>
      <c r="L129" s="421" t="n">
        <v>0</v>
      </c>
      <c r="M129" s="421" t="n">
        <v>0</v>
      </c>
      <c r="N129" s="421" t="n">
        <v>0</v>
      </c>
      <c r="O129" s="421" t="n">
        <v>0</v>
      </c>
      <c r="P129" s="421" t="n">
        <v>0</v>
      </c>
      <c r="Q129" s="421" t="n">
        <v>0</v>
      </c>
      <c r="R129" s="421" t="n">
        <v>0</v>
      </c>
      <c r="S129" s="421" t="n">
        <v>0</v>
      </c>
      <c r="T129" s="513" t="n">
        <v>0</v>
      </c>
      <c r="U129" s="421" t="n">
        <v>0</v>
      </c>
      <c r="V129" s="421" t="n">
        <v>0</v>
      </c>
      <c r="W129" s="421" t="n">
        <v>0</v>
      </c>
      <c r="X129" s="421" t="n">
        <v>0</v>
      </c>
      <c r="Y129" s="421" t="n">
        <v>0</v>
      </c>
      <c r="Z129" s="421" t="n">
        <v>0</v>
      </c>
      <c r="AA129" s="421" t="n">
        <v>0</v>
      </c>
      <c r="AB129" s="421" t="n">
        <v>0</v>
      </c>
      <c r="AC129" s="421" t="n">
        <v>0</v>
      </c>
      <c r="AD129" s="421" t="n">
        <v>0</v>
      </c>
      <c r="AE129" s="421" t="n">
        <v>0</v>
      </c>
      <c r="AF129" s="513" t="n">
        <v>0</v>
      </c>
      <c r="AG129" s="421" t="n">
        <v>0</v>
      </c>
      <c r="AH129" s="421" t="n">
        <v>0</v>
      </c>
      <c r="AI129" s="421" t="n">
        <v>0</v>
      </c>
      <c r="AJ129" s="421" t="n">
        <v>0</v>
      </c>
      <c r="AK129" s="421" t="n">
        <v>0</v>
      </c>
      <c r="AL129" s="421" t="n">
        <v>0</v>
      </c>
      <c r="AM129" s="421" t="n">
        <v>0</v>
      </c>
      <c r="AN129" s="421" t="n">
        <v>0</v>
      </c>
      <c r="AO129" s="421" t="n">
        <v>0</v>
      </c>
      <c r="AP129" s="421" t="n">
        <v>0</v>
      </c>
      <c r="AQ129" s="421" t="n">
        <v>0</v>
      </c>
      <c r="AR129" s="513" t="n">
        <v>0</v>
      </c>
      <c r="AS129" s="421" t="n">
        <v>0</v>
      </c>
      <c r="AT129" s="421" t="n">
        <v>0</v>
      </c>
      <c r="AU129" s="421" t="n">
        <v>0</v>
      </c>
      <c r="AV129" s="421" t="n">
        <v>0</v>
      </c>
      <c r="AW129" s="421" t="n">
        <v>0</v>
      </c>
      <c r="AX129" s="421" t="n">
        <v>0</v>
      </c>
      <c r="AY129" s="421" t="n">
        <v>0</v>
      </c>
      <c r="AZ129" s="421" t="n">
        <v>0</v>
      </c>
      <c r="BA129" s="421" t="n">
        <v>0</v>
      </c>
      <c r="BB129" s="421" t="n">
        <v>0</v>
      </c>
      <c r="BC129" s="421" t="n">
        <v>0</v>
      </c>
      <c r="BD129" s="513" t="n">
        <v>0</v>
      </c>
      <c r="BE129" s="421" t="n">
        <v>0</v>
      </c>
      <c r="BF129" s="421" t="n">
        <v>0</v>
      </c>
      <c r="BG129" s="421" t="n">
        <v>0</v>
      </c>
      <c r="BH129" s="421" t="n">
        <v>0</v>
      </c>
      <c r="BI129" s="421" t="n">
        <v>0</v>
      </c>
      <c r="BJ129" s="421" t="n">
        <v>0</v>
      </c>
      <c r="BK129" s="421" t="n">
        <v>0</v>
      </c>
      <c r="BL129" s="421" t="n">
        <v>0</v>
      </c>
      <c r="BM129" s="421" t="n">
        <v>0</v>
      </c>
      <c r="BN129" s="421" t="n">
        <v>0</v>
      </c>
      <c r="BO129" s="421" t="n">
        <v>0</v>
      </c>
      <c r="BP129" s="513" t="n">
        <v>0</v>
      </c>
      <c r="BQ129" s="421" t="n">
        <v>0</v>
      </c>
      <c r="BR129" s="421" t="n">
        <v>0</v>
      </c>
      <c r="BS129" s="421" t="n">
        <v>0</v>
      </c>
      <c r="BT129" s="421" t="n">
        <v>0</v>
      </c>
      <c r="BU129" s="421" t="n">
        <v>0</v>
      </c>
      <c r="BV129" s="421" t="n">
        <v>0</v>
      </c>
      <c r="BW129" s="421" t="n">
        <v>0</v>
      </c>
      <c r="BX129" s="421" t="n">
        <v>0</v>
      </c>
      <c r="BY129" s="421" t="n">
        <v>0</v>
      </c>
      <c r="BZ129" s="421" t="n">
        <v>0</v>
      </c>
      <c r="CA129" s="421" t="n">
        <v>0</v>
      </c>
      <c r="CB129" s="513" t="n">
        <v>0</v>
      </c>
      <c r="CC129" s="421" t="n">
        <v>0</v>
      </c>
      <c r="CD129" s="421" t="n">
        <v>0</v>
      </c>
      <c r="CE129" s="421" t="n">
        <v>0</v>
      </c>
      <c r="CF129" s="421" t="n">
        <v>0</v>
      </c>
      <c r="CG129" s="421" t="n">
        <v>0</v>
      </c>
      <c r="CH129" s="421" t="n">
        <v>0</v>
      </c>
      <c r="CI129" s="421" t="n">
        <v>0</v>
      </c>
      <c r="CJ129" s="421" t="n">
        <v>0</v>
      </c>
      <c r="CK129" s="421" t="n">
        <v>0</v>
      </c>
      <c r="CL129" s="421" t="n">
        <v>0</v>
      </c>
      <c r="CM129" s="421" t="n">
        <v>0</v>
      </c>
      <c r="CN129" s="513" t="n">
        <v>0</v>
      </c>
      <c r="CO129" s="421" t="n">
        <v>0</v>
      </c>
      <c r="CP129" s="421" t="n">
        <v>0</v>
      </c>
      <c r="CQ129" s="421" t="n">
        <v>0</v>
      </c>
      <c r="CR129" s="421" t="n">
        <v>0</v>
      </c>
      <c r="CS129" s="421" t="n">
        <v>0</v>
      </c>
      <c r="CT129" s="421" t="n">
        <v>0</v>
      </c>
      <c r="CU129" s="421" t="n">
        <v>0</v>
      </c>
      <c r="CV129" s="421" t="n">
        <v>0</v>
      </c>
      <c r="CW129" s="421" t="n">
        <v>0</v>
      </c>
      <c r="CX129" s="421" t="n">
        <v>0</v>
      </c>
      <c r="CY129" s="421" t="n">
        <v>0</v>
      </c>
      <c r="CZ129" s="513" t="n">
        <v>0</v>
      </c>
      <c r="DA129" s="421" t="n">
        <v>0</v>
      </c>
      <c r="DB129" s="421" t="n">
        <v>0</v>
      </c>
      <c r="DC129" s="421" t="n">
        <v>0</v>
      </c>
      <c r="DD129" s="421" t="n">
        <v>0</v>
      </c>
      <c r="DE129" s="421" t="n">
        <v>0</v>
      </c>
      <c r="DF129" s="421" t="n">
        <v>0</v>
      </c>
      <c r="DG129" s="421" t="n">
        <v>0</v>
      </c>
      <c r="DH129" s="421" t="n">
        <v>0</v>
      </c>
      <c r="DI129" s="421" t="n">
        <v>0</v>
      </c>
      <c r="DJ129" s="421" t="n">
        <v>0</v>
      </c>
      <c r="DK129" s="421" t="n">
        <v>0</v>
      </c>
      <c r="DL129" s="513" t="n">
        <v>0</v>
      </c>
      <c r="DM129" s="421" t="n">
        <v>0</v>
      </c>
      <c r="DN129" s="421" t="n">
        <v>0</v>
      </c>
      <c r="DO129" s="421" t="n">
        <v>0</v>
      </c>
      <c r="DP129" s="421" t="n">
        <v>0</v>
      </c>
      <c r="DQ129" s="421" t="n">
        <v>0</v>
      </c>
      <c r="DR129" s="421" t="n">
        <v>0</v>
      </c>
      <c r="DS129" s="421" t="n">
        <v>0</v>
      </c>
      <c r="DT129" s="421" t="n">
        <v>0</v>
      </c>
      <c r="DU129" s="421" t="n">
        <v>0</v>
      </c>
      <c r="DV129" s="421" t="n">
        <v>0</v>
      </c>
      <c r="DW129" s="421" t="n">
        <v>0</v>
      </c>
      <c r="DX129" s="421" t="n">
        <v>0</v>
      </c>
      <c r="DY129" s="421" t="n">
        <v>0</v>
      </c>
      <c r="DZ129" s="421" t="n">
        <v>0</v>
      </c>
      <c r="EA129" s="421" t="n">
        <v>0</v>
      </c>
      <c r="EB129" s="421" t="n">
        <v>0</v>
      </c>
      <c r="EC129" s="421" t="n">
        <v>0</v>
      </c>
      <c r="ED129" s="421" t="n">
        <v>0</v>
      </c>
      <c r="EE129" s="421" t="n">
        <v>0</v>
      </c>
      <c r="EF129" s="421" t="n">
        <v>0</v>
      </c>
      <c r="EG129" s="421" t="n">
        <v>0</v>
      </c>
      <c r="EH129" s="421" t="n">
        <v>0</v>
      </c>
      <c r="EI129" s="472" t="n">
        <v>0</v>
      </c>
    </row>
    <row r="130" s="514" customFormat="true" ht="13.5" hidden="false" customHeight="true" outlineLevel="0" collapsed="false">
      <c r="A130" s="10"/>
      <c r="B130" s="16" t="s">
        <v>614</v>
      </c>
      <c r="C130" s="613"/>
      <c r="D130" s="610" t="n">
        <f aca="false">'Executive Summary'!D43</f>
        <v>16000</v>
      </c>
      <c r="E130" s="610" t="n">
        <f aca="false">SUM(G130:EI130)</f>
        <v>16000</v>
      </c>
      <c r="F130" s="17"/>
      <c r="G130" s="610" t="n">
        <f aca="false">D130</f>
        <v>16000</v>
      </c>
      <c r="H130" s="513" t="n">
        <v>0</v>
      </c>
      <c r="I130" s="421" t="n">
        <v>0</v>
      </c>
      <c r="J130" s="421" t="n">
        <v>0</v>
      </c>
      <c r="K130" s="421" t="n">
        <v>0</v>
      </c>
      <c r="L130" s="421" t="n">
        <v>0</v>
      </c>
      <c r="M130" s="421" t="n">
        <v>0</v>
      </c>
      <c r="N130" s="421" t="n">
        <v>0</v>
      </c>
      <c r="O130" s="421" t="n">
        <v>0</v>
      </c>
      <c r="P130" s="421" t="n">
        <v>0</v>
      </c>
      <c r="Q130" s="421" t="n">
        <v>0</v>
      </c>
      <c r="R130" s="421" t="n">
        <v>0</v>
      </c>
      <c r="S130" s="421" t="n">
        <v>0</v>
      </c>
      <c r="T130" s="513" t="n">
        <v>0</v>
      </c>
      <c r="U130" s="421" t="n">
        <v>0</v>
      </c>
      <c r="V130" s="421" t="n">
        <v>0</v>
      </c>
      <c r="W130" s="421" t="n">
        <v>0</v>
      </c>
      <c r="X130" s="421" t="n">
        <v>0</v>
      </c>
      <c r="Y130" s="421" t="n">
        <v>0</v>
      </c>
      <c r="Z130" s="421" t="n">
        <v>0</v>
      </c>
      <c r="AA130" s="421" t="n">
        <v>0</v>
      </c>
      <c r="AB130" s="421" t="n">
        <v>0</v>
      </c>
      <c r="AC130" s="421" t="n">
        <v>0</v>
      </c>
      <c r="AD130" s="421" t="n">
        <v>0</v>
      </c>
      <c r="AE130" s="421" t="n">
        <v>0</v>
      </c>
      <c r="AF130" s="513" t="n">
        <v>0</v>
      </c>
      <c r="AG130" s="421" t="n">
        <v>0</v>
      </c>
      <c r="AH130" s="421" t="n">
        <v>0</v>
      </c>
      <c r="AI130" s="421" t="n">
        <v>0</v>
      </c>
      <c r="AJ130" s="421" t="n">
        <v>0</v>
      </c>
      <c r="AK130" s="421" t="n">
        <v>0</v>
      </c>
      <c r="AL130" s="421" t="n">
        <v>0</v>
      </c>
      <c r="AM130" s="421" t="n">
        <v>0</v>
      </c>
      <c r="AN130" s="421" t="n">
        <v>0</v>
      </c>
      <c r="AO130" s="421" t="n">
        <v>0</v>
      </c>
      <c r="AP130" s="421" t="n">
        <v>0</v>
      </c>
      <c r="AQ130" s="421" t="n">
        <v>0</v>
      </c>
      <c r="AR130" s="513" t="n">
        <v>0</v>
      </c>
      <c r="AS130" s="421" t="n">
        <v>0</v>
      </c>
      <c r="AT130" s="421" t="n">
        <v>0</v>
      </c>
      <c r="AU130" s="421" t="n">
        <v>0</v>
      </c>
      <c r="AV130" s="421" t="n">
        <v>0</v>
      </c>
      <c r="AW130" s="421" t="n">
        <v>0</v>
      </c>
      <c r="AX130" s="421" t="n">
        <v>0</v>
      </c>
      <c r="AY130" s="421" t="n">
        <v>0</v>
      </c>
      <c r="AZ130" s="421" t="n">
        <v>0</v>
      </c>
      <c r="BA130" s="421" t="n">
        <v>0</v>
      </c>
      <c r="BB130" s="421" t="n">
        <v>0</v>
      </c>
      <c r="BC130" s="421" t="n">
        <v>0</v>
      </c>
      <c r="BD130" s="513" t="n">
        <v>0</v>
      </c>
      <c r="BE130" s="421" t="n">
        <v>0</v>
      </c>
      <c r="BF130" s="421" t="n">
        <v>0</v>
      </c>
      <c r="BG130" s="421" t="n">
        <v>0</v>
      </c>
      <c r="BH130" s="421" t="n">
        <v>0</v>
      </c>
      <c r="BI130" s="421" t="n">
        <v>0</v>
      </c>
      <c r="BJ130" s="421" t="n">
        <v>0</v>
      </c>
      <c r="BK130" s="421" t="n">
        <v>0</v>
      </c>
      <c r="BL130" s="421" t="n">
        <v>0</v>
      </c>
      <c r="BM130" s="421" t="n">
        <v>0</v>
      </c>
      <c r="BN130" s="421" t="n">
        <v>0</v>
      </c>
      <c r="BO130" s="421" t="n">
        <v>0</v>
      </c>
      <c r="BP130" s="513" t="n">
        <v>0</v>
      </c>
      <c r="BQ130" s="421" t="n">
        <v>0</v>
      </c>
      <c r="BR130" s="421" t="n">
        <v>0</v>
      </c>
      <c r="BS130" s="421" t="n">
        <v>0</v>
      </c>
      <c r="BT130" s="421" t="n">
        <v>0</v>
      </c>
      <c r="BU130" s="421" t="n">
        <v>0</v>
      </c>
      <c r="BV130" s="421" t="n">
        <v>0</v>
      </c>
      <c r="BW130" s="421" t="n">
        <v>0</v>
      </c>
      <c r="BX130" s="421" t="n">
        <v>0</v>
      </c>
      <c r="BY130" s="421" t="n">
        <v>0</v>
      </c>
      <c r="BZ130" s="421" t="n">
        <v>0</v>
      </c>
      <c r="CA130" s="421" t="n">
        <v>0</v>
      </c>
      <c r="CB130" s="513" t="n">
        <v>0</v>
      </c>
      <c r="CC130" s="421" t="n">
        <v>0</v>
      </c>
      <c r="CD130" s="421" t="n">
        <v>0</v>
      </c>
      <c r="CE130" s="421" t="n">
        <v>0</v>
      </c>
      <c r="CF130" s="421" t="n">
        <v>0</v>
      </c>
      <c r="CG130" s="421" t="n">
        <v>0</v>
      </c>
      <c r="CH130" s="421" t="n">
        <v>0</v>
      </c>
      <c r="CI130" s="421" t="n">
        <v>0</v>
      </c>
      <c r="CJ130" s="421" t="n">
        <v>0</v>
      </c>
      <c r="CK130" s="421" t="n">
        <v>0</v>
      </c>
      <c r="CL130" s="421" t="n">
        <v>0</v>
      </c>
      <c r="CM130" s="421" t="n">
        <v>0</v>
      </c>
      <c r="CN130" s="513" t="n">
        <v>0</v>
      </c>
      <c r="CO130" s="421" t="n">
        <v>0</v>
      </c>
      <c r="CP130" s="421" t="n">
        <v>0</v>
      </c>
      <c r="CQ130" s="421" t="n">
        <v>0</v>
      </c>
      <c r="CR130" s="421" t="n">
        <v>0</v>
      </c>
      <c r="CS130" s="421" t="n">
        <v>0</v>
      </c>
      <c r="CT130" s="421" t="n">
        <v>0</v>
      </c>
      <c r="CU130" s="421" t="n">
        <v>0</v>
      </c>
      <c r="CV130" s="421" t="n">
        <v>0</v>
      </c>
      <c r="CW130" s="421" t="n">
        <v>0</v>
      </c>
      <c r="CX130" s="421" t="n">
        <v>0</v>
      </c>
      <c r="CY130" s="421" t="n">
        <v>0</v>
      </c>
      <c r="CZ130" s="513" t="n">
        <v>0</v>
      </c>
      <c r="DA130" s="421" t="n">
        <v>0</v>
      </c>
      <c r="DB130" s="421" t="n">
        <v>0</v>
      </c>
      <c r="DC130" s="421" t="n">
        <v>0</v>
      </c>
      <c r="DD130" s="421" t="n">
        <v>0</v>
      </c>
      <c r="DE130" s="421" t="n">
        <v>0</v>
      </c>
      <c r="DF130" s="421" t="n">
        <v>0</v>
      </c>
      <c r="DG130" s="421" t="n">
        <v>0</v>
      </c>
      <c r="DH130" s="421" t="n">
        <v>0</v>
      </c>
      <c r="DI130" s="421" t="n">
        <v>0</v>
      </c>
      <c r="DJ130" s="421" t="n">
        <v>0</v>
      </c>
      <c r="DK130" s="421" t="n">
        <v>0</v>
      </c>
      <c r="DL130" s="513" t="n">
        <v>0</v>
      </c>
      <c r="DM130" s="421" t="n">
        <v>0</v>
      </c>
      <c r="DN130" s="421" t="n">
        <v>0</v>
      </c>
      <c r="DO130" s="421" t="n">
        <v>0</v>
      </c>
      <c r="DP130" s="421" t="n">
        <v>0</v>
      </c>
      <c r="DQ130" s="421" t="n">
        <v>0</v>
      </c>
      <c r="DR130" s="421" t="n">
        <v>0</v>
      </c>
      <c r="DS130" s="421" t="n">
        <v>0</v>
      </c>
      <c r="DT130" s="421" t="n">
        <v>0</v>
      </c>
      <c r="DU130" s="421" t="n">
        <v>0</v>
      </c>
      <c r="DV130" s="421" t="n">
        <v>0</v>
      </c>
      <c r="DW130" s="421" t="n">
        <v>0</v>
      </c>
      <c r="DX130" s="421" t="n">
        <v>0</v>
      </c>
      <c r="DY130" s="421" t="n">
        <v>0</v>
      </c>
      <c r="DZ130" s="421" t="n">
        <v>0</v>
      </c>
      <c r="EA130" s="421" t="n">
        <v>0</v>
      </c>
      <c r="EB130" s="421" t="n">
        <v>0</v>
      </c>
      <c r="EC130" s="421" t="n">
        <v>0</v>
      </c>
      <c r="ED130" s="421" t="n">
        <v>0</v>
      </c>
      <c r="EE130" s="421" t="n">
        <v>0</v>
      </c>
      <c r="EF130" s="421" t="n">
        <v>0</v>
      </c>
      <c r="EG130" s="421" t="n">
        <v>0</v>
      </c>
      <c r="EH130" s="421" t="n">
        <v>0</v>
      </c>
      <c r="EI130" s="472" t="n">
        <v>0</v>
      </c>
    </row>
    <row r="131" s="514" customFormat="true" ht="13.5" hidden="false" customHeight="true" outlineLevel="0" collapsed="false">
      <c r="A131" s="10"/>
      <c r="B131" s="16" t="s">
        <v>615</v>
      </c>
      <c r="C131" s="613"/>
      <c r="D131" s="610"/>
      <c r="E131" s="610"/>
      <c r="F131" s="17"/>
      <c r="G131" s="610"/>
      <c r="H131" s="513"/>
      <c r="I131" s="421"/>
      <c r="J131" s="421"/>
      <c r="K131" s="421"/>
      <c r="L131" s="421"/>
      <c r="M131" s="421"/>
      <c r="N131" s="421"/>
      <c r="O131" s="421"/>
      <c r="P131" s="421"/>
      <c r="Q131" s="421"/>
      <c r="R131" s="421"/>
      <c r="S131" s="421"/>
      <c r="T131" s="513"/>
      <c r="U131" s="421"/>
      <c r="V131" s="421"/>
      <c r="W131" s="421"/>
      <c r="X131" s="421"/>
      <c r="Y131" s="421"/>
      <c r="Z131" s="421"/>
      <c r="AA131" s="421"/>
      <c r="AB131" s="421"/>
      <c r="AC131" s="421"/>
      <c r="AD131" s="421"/>
      <c r="AE131" s="421"/>
      <c r="AF131" s="513"/>
      <c r="AG131" s="421"/>
      <c r="AH131" s="421"/>
      <c r="AI131" s="421"/>
      <c r="AJ131" s="421"/>
      <c r="AK131" s="421"/>
      <c r="AL131" s="421"/>
      <c r="AM131" s="421"/>
      <c r="AN131" s="421"/>
      <c r="AO131" s="421"/>
      <c r="AP131" s="421"/>
      <c r="AQ131" s="421"/>
      <c r="AR131" s="513"/>
      <c r="AS131" s="421"/>
      <c r="AT131" s="421"/>
      <c r="AU131" s="421"/>
      <c r="AV131" s="421"/>
      <c r="AW131" s="421"/>
      <c r="AX131" s="421"/>
      <c r="AY131" s="421"/>
      <c r="AZ131" s="421"/>
      <c r="BA131" s="421"/>
      <c r="BB131" s="421"/>
      <c r="BC131" s="421"/>
      <c r="BD131" s="513"/>
      <c r="BE131" s="421"/>
      <c r="BF131" s="421"/>
      <c r="BG131" s="421"/>
      <c r="BH131" s="421"/>
      <c r="BI131" s="421"/>
      <c r="BJ131" s="421"/>
      <c r="BK131" s="421"/>
      <c r="BL131" s="421"/>
      <c r="BM131" s="421"/>
      <c r="BN131" s="421"/>
      <c r="BO131" s="421"/>
      <c r="BP131" s="513"/>
      <c r="BQ131" s="421"/>
      <c r="BR131" s="421"/>
      <c r="BS131" s="421"/>
      <c r="BT131" s="421"/>
      <c r="BU131" s="421"/>
      <c r="BV131" s="421"/>
      <c r="BW131" s="421"/>
      <c r="BX131" s="421"/>
      <c r="BY131" s="421"/>
      <c r="BZ131" s="421"/>
      <c r="CA131" s="421"/>
      <c r="CB131" s="513"/>
      <c r="CC131" s="421"/>
      <c r="CD131" s="421"/>
      <c r="CE131" s="421"/>
      <c r="CF131" s="421"/>
      <c r="CG131" s="421"/>
      <c r="CH131" s="421"/>
      <c r="CI131" s="421"/>
      <c r="CJ131" s="421"/>
      <c r="CK131" s="421"/>
      <c r="CL131" s="421"/>
      <c r="CM131" s="421"/>
      <c r="CN131" s="513"/>
      <c r="CO131" s="421"/>
      <c r="CP131" s="421"/>
      <c r="CQ131" s="421"/>
      <c r="CR131" s="421"/>
      <c r="CS131" s="421"/>
      <c r="CT131" s="421"/>
      <c r="CU131" s="421"/>
      <c r="CV131" s="421"/>
      <c r="CW131" s="421"/>
      <c r="CX131" s="421"/>
      <c r="CY131" s="421"/>
      <c r="CZ131" s="513"/>
      <c r="DA131" s="421"/>
      <c r="DB131" s="421"/>
      <c r="DC131" s="421"/>
      <c r="DD131" s="421"/>
      <c r="DE131" s="421"/>
      <c r="DF131" s="421"/>
      <c r="DG131" s="421"/>
      <c r="DH131" s="421"/>
      <c r="DI131" s="421"/>
      <c r="DJ131" s="421"/>
      <c r="DK131" s="421"/>
      <c r="DL131" s="513"/>
      <c r="DM131" s="421"/>
      <c r="DN131" s="421"/>
      <c r="DO131" s="421"/>
      <c r="DP131" s="421"/>
      <c r="DQ131" s="421"/>
      <c r="DR131" s="421"/>
      <c r="DS131" s="421"/>
      <c r="DT131" s="421"/>
      <c r="DU131" s="421"/>
      <c r="DV131" s="421"/>
      <c r="DW131" s="421"/>
      <c r="DX131" s="421"/>
      <c r="DY131" s="421"/>
      <c r="DZ131" s="421"/>
      <c r="EA131" s="421"/>
      <c r="EB131" s="421"/>
      <c r="EC131" s="421"/>
      <c r="ED131" s="421"/>
      <c r="EE131" s="421"/>
      <c r="EF131" s="421"/>
      <c r="EG131" s="421"/>
      <c r="EH131" s="421"/>
      <c r="EI131" s="472"/>
    </row>
    <row r="132" s="514" customFormat="true" ht="13.5" hidden="false" customHeight="true" outlineLevel="0" collapsed="false">
      <c r="A132" s="10"/>
      <c r="B132" s="618" t="s">
        <v>153</v>
      </c>
      <c r="C132" s="521" t="n">
        <f aca="false">'Executive Summary'!C39</f>
        <v>0</v>
      </c>
      <c r="D132" s="610" t="n">
        <f aca="false">'Executive Summary'!D39</f>
        <v>0</v>
      </c>
      <c r="E132" s="610" t="n">
        <f aca="false">SUM(G132:EI132)</f>
        <v>0</v>
      </c>
      <c r="F132" s="17"/>
      <c r="G132" s="614" t="n">
        <f aca="false">D132</f>
        <v>0</v>
      </c>
      <c r="H132" s="513" t="n">
        <v>0</v>
      </c>
      <c r="I132" s="421" t="n">
        <v>0</v>
      </c>
      <c r="J132" s="421" t="n">
        <v>0</v>
      </c>
      <c r="K132" s="421" t="n">
        <v>0</v>
      </c>
      <c r="L132" s="421" t="n">
        <v>0</v>
      </c>
      <c r="M132" s="421" t="n">
        <v>0</v>
      </c>
      <c r="N132" s="421" t="n">
        <v>0</v>
      </c>
      <c r="O132" s="421" t="n">
        <v>0</v>
      </c>
      <c r="P132" s="421" t="n">
        <v>0</v>
      </c>
      <c r="Q132" s="421" t="n">
        <v>0</v>
      </c>
      <c r="R132" s="421" t="n">
        <v>0</v>
      </c>
      <c r="S132" s="421" t="n">
        <v>0</v>
      </c>
      <c r="T132" s="513" t="n">
        <v>0</v>
      </c>
      <c r="U132" s="421" t="n">
        <v>0</v>
      </c>
      <c r="V132" s="421" t="n">
        <v>0</v>
      </c>
      <c r="W132" s="421" t="n">
        <v>0</v>
      </c>
      <c r="X132" s="421" t="n">
        <v>0</v>
      </c>
      <c r="Y132" s="421" t="n">
        <v>0</v>
      </c>
      <c r="Z132" s="421" t="n">
        <v>0</v>
      </c>
      <c r="AA132" s="421" t="n">
        <v>0</v>
      </c>
      <c r="AB132" s="421" t="n">
        <v>0</v>
      </c>
      <c r="AC132" s="421" t="n">
        <v>0</v>
      </c>
      <c r="AD132" s="421" t="n">
        <v>0</v>
      </c>
      <c r="AE132" s="421" t="n">
        <v>0</v>
      </c>
      <c r="AF132" s="513" t="n">
        <v>0</v>
      </c>
      <c r="AG132" s="421" t="n">
        <v>0</v>
      </c>
      <c r="AH132" s="421" t="n">
        <v>0</v>
      </c>
      <c r="AI132" s="421" t="n">
        <v>0</v>
      </c>
      <c r="AJ132" s="421" t="n">
        <v>0</v>
      </c>
      <c r="AK132" s="421" t="n">
        <v>0</v>
      </c>
      <c r="AL132" s="421" t="n">
        <v>0</v>
      </c>
      <c r="AM132" s="421" t="n">
        <v>0</v>
      </c>
      <c r="AN132" s="421" t="n">
        <v>0</v>
      </c>
      <c r="AO132" s="421" t="n">
        <v>0</v>
      </c>
      <c r="AP132" s="421" t="n">
        <v>0</v>
      </c>
      <c r="AQ132" s="421" t="n">
        <v>0</v>
      </c>
      <c r="AR132" s="513" t="n">
        <v>0</v>
      </c>
      <c r="AS132" s="421" t="n">
        <v>0</v>
      </c>
      <c r="AT132" s="421" t="n">
        <v>0</v>
      </c>
      <c r="AU132" s="421" t="n">
        <v>0</v>
      </c>
      <c r="AV132" s="421" t="n">
        <v>0</v>
      </c>
      <c r="AW132" s="421" t="n">
        <v>0</v>
      </c>
      <c r="AX132" s="421" t="n">
        <v>0</v>
      </c>
      <c r="AY132" s="421" t="n">
        <v>0</v>
      </c>
      <c r="AZ132" s="421" t="n">
        <v>0</v>
      </c>
      <c r="BA132" s="421" t="n">
        <v>0</v>
      </c>
      <c r="BB132" s="421" t="n">
        <v>0</v>
      </c>
      <c r="BC132" s="421" t="n">
        <v>0</v>
      </c>
      <c r="BD132" s="513" t="n">
        <v>0</v>
      </c>
      <c r="BE132" s="421" t="n">
        <v>0</v>
      </c>
      <c r="BF132" s="421" t="n">
        <v>0</v>
      </c>
      <c r="BG132" s="421" t="n">
        <v>0</v>
      </c>
      <c r="BH132" s="421" t="n">
        <v>0</v>
      </c>
      <c r="BI132" s="421" t="n">
        <v>0</v>
      </c>
      <c r="BJ132" s="421" t="n">
        <v>0</v>
      </c>
      <c r="BK132" s="421" t="n">
        <v>0</v>
      </c>
      <c r="BL132" s="421" t="n">
        <v>0</v>
      </c>
      <c r="BM132" s="421" t="n">
        <v>0</v>
      </c>
      <c r="BN132" s="421" t="n">
        <v>0</v>
      </c>
      <c r="BO132" s="421" t="n">
        <v>0</v>
      </c>
      <c r="BP132" s="513" t="n">
        <v>0</v>
      </c>
      <c r="BQ132" s="421" t="n">
        <v>0</v>
      </c>
      <c r="BR132" s="421" t="n">
        <v>0</v>
      </c>
      <c r="BS132" s="421" t="n">
        <v>0</v>
      </c>
      <c r="BT132" s="421" t="n">
        <v>0</v>
      </c>
      <c r="BU132" s="421" t="n">
        <v>0</v>
      </c>
      <c r="BV132" s="421" t="n">
        <v>0</v>
      </c>
      <c r="BW132" s="421" t="n">
        <v>0</v>
      </c>
      <c r="BX132" s="421" t="n">
        <v>0</v>
      </c>
      <c r="BY132" s="421" t="n">
        <v>0</v>
      </c>
      <c r="BZ132" s="421" t="n">
        <v>0</v>
      </c>
      <c r="CA132" s="421" t="n">
        <v>0</v>
      </c>
      <c r="CB132" s="513" t="n">
        <v>0</v>
      </c>
      <c r="CC132" s="421" t="n">
        <v>0</v>
      </c>
      <c r="CD132" s="421" t="n">
        <v>0</v>
      </c>
      <c r="CE132" s="421" t="n">
        <v>0</v>
      </c>
      <c r="CF132" s="421" t="n">
        <v>0</v>
      </c>
      <c r="CG132" s="421" t="n">
        <v>0</v>
      </c>
      <c r="CH132" s="421" t="n">
        <v>0</v>
      </c>
      <c r="CI132" s="421" t="n">
        <v>0</v>
      </c>
      <c r="CJ132" s="421" t="n">
        <v>0</v>
      </c>
      <c r="CK132" s="421" t="n">
        <v>0</v>
      </c>
      <c r="CL132" s="421" t="n">
        <v>0</v>
      </c>
      <c r="CM132" s="421" t="n">
        <v>0</v>
      </c>
      <c r="CN132" s="513" t="n">
        <v>0</v>
      </c>
      <c r="CO132" s="421" t="n">
        <v>0</v>
      </c>
      <c r="CP132" s="421" t="n">
        <v>0</v>
      </c>
      <c r="CQ132" s="421" t="n">
        <v>0</v>
      </c>
      <c r="CR132" s="421" t="n">
        <v>0</v>
      </c>
      <c r="CS132" s="421" t="n">
        <v>0</v>
      </c>
      <c r="CT132" s="421" t="n">
        <v>0</v>
      </c>
      <c r="CU132" s="421" t="n">
        <v>0</v>
      </c>
      <c r="CV132" s="421" t="n">
        <v>0</v>
      </c>
      <c r="CW132" s="421" t="n">
        <v>0</v>
      </c>
      <c r="CX132" s="421" t="n">
        <v>0</v>
      </c>
      <c r="CY132" s="421" t="n">
        <v>0</v>
      </c>
      <c r="CZ132" s="513" t="n">
        <v>0</v>
      </c>
      <c r="DA132" s="421" t="n">
        <v>0</v>
      </c>
      <c r="DB132" s="421" t="n">
        <v>0</v>
      </c>
      <c r="DC132" s="421" t="n">
        <v>0</v>
      </c>
      <c r="DD132" s="421" t="n">
        <v>0</v>
      </c>
      <c r="DE132" s="421" t="n">
        <v>0</v>
      </c>
      <c r="DF132" s="421" t="n">
        <v>0</v>
      </c>
      <c r="DG132" s="421" t="n">
        <v>0</v>
      </c>
      <c r="DH132" s="421" t="n">
        <v>0</v>
      </c>
      <c r="DI132" s="421" t="n">
        <v>0</v>
      </c>
      <c r="DJ132" s="421" t="n">
        <v>0</v>
      </c>
      <c r="DK132" s="421" t="n">
        <v>0</v>
      </c>
      <c r="DL132" s="513" t="n">
        <v>0</v>
      </c>
      <c r="DM132" s="421" t="n">
        <v>0</v>
      </c>
      <c r="DN132" s="421" t="n">
        <v>0</v>
      </c>
      <c r="DO132" s="421" t="n">
        <v>0</v>
      </c>
      <c r="DP132" s="421" t="n">
        <v>0</v>
      </c>
      <c r="DQ132" s="421" t="n">
        <v>0</v>
      </c>
      <c r="DR132" s="421" t="n">
        <v>0</v>
      </c>
      <c r="DS132" s="421" t="n">
        <v>0</v>
      </c>
      <c r="DT132" s="421" t="n">
        <v>0</v>
      </c>
      <c r="DU132" s="421" t="n">
        <v>0</v>
      </c>
      <c r="DV132" s="421" t="n">
        <v>0</v>
      </c>
      <c r="DW132" s="421" t="n">
        <v>0</v>
      </c>
      <c r="DX132" s="421" t="n">
        <v>0</v>
      </c>
      <c r="DY132" s="421" t="n">
        <v>0</v>
      </c>
      <c r="DZ132" s="421" t="n">
        <v>0</v>
      </c>
      <c r="EA132" s="421" t="n">
        <v>0</v>
      </c>
      <c r="EB132" s="421" t="n">
        <v>0</v>
      </c>
      <c r="EC132" s="421" t="n">
        <v>0</v>
      </c>
      <c r="ED132" s="421" t="n">
        <v>0</v>
      </c>
      <c r="EE132" s="421" t="n">
        <v>0</v>
      </c>
      <c r="EF132" s="421" t="n">
        <v>0</v>
      </c>
      <c r="EG132" s="421" t="n">
        <v>0</v>
      </c>
      <c r="EH132" s="421" t="n">
        <v>0</v>
      </c>
      <c r="EI132" s="472" t="n">
        <v>0</v>
      </c>
    </row>
    <row r="133" s="514" customFormat="true" ht="13.5" hidden="false" customHeight="true" outlineLevel="0" collapsed="false">
      <c r="A133" s="10"/>
      <c r="B133" s="618" t="s">
        <v>147</v>
      </c>
      <c r="C133" s="521" t="n">
        <f aca="false">'Executive Summary'!C36</f>
        <v>0.0075</v>
      </c>
      <c r="D133" s="610" t="n">
        <f aca="false">'Executive Summary'!D36</f>
        <v>39000</v>
      </c>
      <c r="E133" s="610" t="n">
        <f aca="false">SUM(G133:EI133)</f>
        <v>39000</v>
      </c>
      <c r="F133" s="17"/>
      <c r="G133" s="614" t="n">
        <f aca="false">D133</f>
        <v>39000</v>
      </c>
      <c r="H133" s="513" t="n">
        <v>0</v>
      </c>
      <c r="I133" s="421" t="n">
        <v>0</v>
      </c>
      <c r="J133" s="421" t="n">
        <v>0</v>
      </c>
      <c r="K133" s="421" t="n">
        <v>0</v>
      </c>
      <c r="L133" s="421" t="n">
        <v>0</v>
      </c>
      <c r="M133" s="421" t="n">
        <v>0</v>
      </c>
      <c r="N133" s="421" t="n">
        <v>0</v>
      </c>
      <c r="O133" s="421" t="n">
        <v>0</v>
      </c>
      <c r="P133" s="421" t="n">
        <v>0</v>
      </c>
      <c r="Q133" s="421" t="n">
        <v>0</v>
      </c>
      <c r="R133" s="421" t="n">
        <v>0</v>
      </c>
      <c r="S133" s="421" t="n">
        <v>0</v>
      </c>
      <c r="T133" s="513" t="n">
        <v>0</v>
      </c>
      <c r="U133" s="421" t="n">
        <v>0</v>
      </c>
      <c r="V133" s="421" t="n">
        <v>0</v>
      </c>
      <c r="W133" s="421" t="n">
        <v>0</v>
      </c>
      <c r="X133" s="421" t="n">
        <v>0</v>
      </c>
      <c r="Y133" s="421" t="n">
        <v>0</v>
      </c>
      <c r="Z133" s="421" t="n">
        <v>0</v>
      </c>
      <c r="AA133" s="421" t="n">
        <v>0</v>
      </c>
      <c r="AB133" s="421" t="n">
        <v>0</v>
      </c>
      <c r="AC133" s="421" t="n">
        <v>0</v>
      </c>
      <c r="AD133" s="421" t="n">
        <v>0</v>
      </c>
      <c r="AE133" s="421" t="n">
        <v>0</v>
      </c>
      <c r="AF133" s="513" t="n">
        <v>0</v>
      </c>
      <c r="AG133" s="421" t="n">
        <v>0</v>
      </c>
      <c r="AH133" s="421" t="n">
        <v>0</v>
      </c>
      <c r="AI133" s="421" t="n">
        <v>0</v>
      </c>
      <c r="AJ133" s="421" t="n">
        <v>0</v>
      </c>
      <c r="AK133" s="421" t="n">
        <v>0</v>
      </c>
      <c r="AL133" s="421" t="n">
        <v>0</v>
      </c>
      <c r="AM133" s="421" t="n">
        <v>0</v>
      </c>
      <c r="AN133" s="421" t="n">
        <v>0</v>
      </c>
      <c r="AO133" s="421" t="n">
        <v>0</v>
      </c>
      <c r="AP133" s="421" t="n">
        <v>0</v>
      </c>
      <c r="AQ133" s="421" t="n">
        <v>0</v>
      </c>
      <c r="AR133" s="513" t="n">
        <v>0</v>
      </c>
      <c r="AS133" s="421" t="n">
        <v>0</v>
      </c>
      <c r="AT133" s="421" t="n">
        <v>0</v>
      </c>
      <c r="AU133" s="421" t="n">
        <v>0</v>
      </c>
      <c r="AV133" s="421" t="n">
        <v>0</v>
      </c>
      <c r="AW133" s="421" t="n">
        <v>0</v>
      </c>
      <c r="AX133" s="421" t="n">
        <v>0</v>
      </c>
      <c r="AY133" s="421" t="n">
        <v>0</v>
      </c>
      <c r="AZ133" s="421" t="n">
        <v>0</v>
      </c>
      <c r="BA133" s="421" t="n">
        <v>0</v>
      </c>
      <c r="BB133" s="421" t="n">
        <v>0</v>
      </c>
      <c r="BC133" s="421" t="n">
        <v>0</v>
      </c>
      <c r="BD133" s="513" t="n">
        <v>0</v>
      </c>
      <c r="BE133" s="421" t="n">
        <v>0</v>
      </c>
      <c r="BF133" s="421" t="n">
        <v>0</v>
      </c>
      <c r="BG133" s="421" t="n">
        <v>0</v>
      </c>
      <c r="BH133" s="421" t="n">
        <v>0</v>
      </c>
      <c r="BI133" s="421" t="n">
        <v>0</v>
      </c>
      <c r="BJ133" s="421" t="n">
        <v>0</v>
      </c>
      <c r="BK133" s="421" t="n">
        <v>0</v>
      </c>
      <c r="BL133" s="421" t="n">
        <v>0</v>
      </c>
      <c r="BM133" s="421" t="n">
        <v>0</v>
      </c>
      <c r="BN133" s="421" t="n">
        <v>0</v>
      </c>
      <c r="BO133" s="421" t="n">
        <v>0</v>
      </c>
      <c r="BP133" s="513" t="n">
        <v>0</v>
      </c>
      <c r="BQ133" s="421" t="n">
        <v>0</v>
      </c>
      <c r="BR133" s="421" t="n">
        <v>0</v>
      </c>
      <c r="BS133" s="421" t="n">
        <v>0</v>
      </c>
      <c r="BT133" s="421" t="n">
        <v>0</v>
      </c>
      <c r="BU133" s="421" t="n">
        <v>0</v>
      </c>
      <c r="BV133" s="421" t="n">
        <v>0</v>
      </c>
      <c r="BW133" s="421" t="n">
        <v>0</v>
      </c>
      <c r="BX133" s="421" t="n">
        <v>0</v>
      </c>
      <c r="BY133" s="421" t="n">
        <v>0</v>
      </c>
      <c r="BZ133" s="421" t="n">
        <v>0</v>
      </c>
      <c r="CA133" s="421" t="n">
        <v>0</v>
      </c>
      <c r="CB133" s="513" t="n">
        <v>0</v>
      </c>
      <c r="CC133" s="421" t="n">
        <v>0</v>
      </c>
      <c r="CD133" s="421" t="n">
        <v>0</v>
      </c>
      <c r="CE133" s="421" t="n">
        <v>0</v>
      </c>
      <c r="CF133" s="421" t="n">
        <v>0</v>
      </c>
      <c r="CG133" s="421" t="n">
        <v>0</v>
      </c>
      <c r="CH133" s="421" t="n">
        <v>0</v>
      </c>
      <c r="CI133" s="421" t="n">
        <v>0</v>
      </c>
      <c r="CJ133" s="421" t="n">
        <v>0</v>
      </c>
      <c r="CK133" s="421" t="n">
        <v>0</v>
      </c>
      <c r="CL133" s="421" t="n">
        <v>0</v>
      </c>
      <c r="CM133" s="421" t="n">
        <v>0</v>
      </c>
      <c r="CN133" s="513" t="n">
        <v>0</v>
      </c>
      <c r="CO133" s="421" t="n">
        <v>0</v>
      </c>
      <c r="CP133" s="421" t="n">
        <v>0</v>
      </c>
      <c r="CQ133" s="421" t="n">
        <v>0</v>
      </c>
      <c r="CR133" s="421" t="n">
        <v>0</v>
      </c>
      <c r="CS133" s="421" t="n">
        <v>0</v>
      </c>
      <c r="CT133" s="421" t="n">
        <v>0</v>
      </c>
      <c r="CU133" s="421" t="n">
        <v>0</v>
      </c>
      <c r="CV133" s="421" t="n">
        <v>0</v>
      </c>
      <c r="CW133" s="421" t="n">
        <v>0</v>
      </c>
      <c r="CX133" s="421" t="n">
        <v>0</v>
      </c>
      <c r="CY133" s="421" t="n">
        <v>0</v>
      </c>
      <c r="CZ133" s="513" t="n">
        <v>0</v>
      </c>
      <c r="DA133" s="421" t="n">
        <v>0</v>
      </c>
      <c r="DB133" s="421" t="n">
        <v>0</v>
      </c>
      <c r="DC133" s="421" t="n">
        <v>0</v>
      </c>
      <c r="DD133" s="421" t="n">
        <v>0</v>
      </c>
      <c r="DE133" s="421" t="n">
        <v>0</v>
      </c>
      <c r="DF133" s="421" t="n">
        <v>0</v>
      </c>
      <c r="DG133" s="421" t="n">
        <v>0</v>
      </c>
      <c r="DH133" s="421" t="n">
        <v>0</v>
      </c>
      <c r="DI133" s="421" t="n">
        <v>0</v>
      </c>
      <c r="DJ133" s="421" t="n">
        <v>0</v>
      </c>
      <c r="DK133" s="421" t="n">
        <v>0</v>
      </c>
      <c r="DL133" s="513" t="n">
        <v>0</v>
      </c>
      <c r="DM133" s="421" t="n">
        <v>0</v>
      </c>
      <c r="DN133" s="421" t="n">
        <v>0</v>
      </c>
      <c r="DO133" s="421" t="n">
        <v>0</v>
      </c>
      <c r="DP133" s="421" t="n">
        <v>0</v>
      </c>
      <c r="DQ133" s="421" t="n">
        <v>0</v>
      </c>
      <c r="DR133" s="421" t="n">
        <v>0</v>
      </c>
      <c r="DS133" s="421" t="n">
        <v>0</v>
      </c>
      <c r="DT133" s="421" t="n">
        <v>0</v>
      </c>
      <c r="DU133" s="421" t="n">
        <v>0</v>
      </c>
      <c r="DV133" s="421" t="n">
        <v>0</v>
      </c>
      <c r="DW133" s="421" t="n">
        <v>0</v>
      </c>
      <c r="DX133" s="421" t="n">
        <v>0</v>
      </c>
      <c r="DY133" s="421" t="n">
        <v>0</v>
      </c>
      <c r="DZ133" s="421" t="n">
        <v>0</v>
      </c>
      <c r="EA133" s="421" t="n">
        <v>0</v>
      </c>
      <c r="EB133" s="421" t="n">
        <v>0</v>
      </c>
      <c r="EC133" s="421" t="n">
        <v>0</v>
      </c>
      <c r="ED133" s="421" t="n">
        <v>0</v>
      </c>
      <c r="EE133" s="421" t="n">
        <v>0</v>
      </c>
      <c r="EF133" s="421" t="n">
        <v>0</v>
      </c>
      <c r="EG133" s="421" t="n">
        <v>0</v>
      </c>
      <c r="EH133" s="421" t="n">
        <v>0</v>
      </c>
      <c r="EI133" s="472" t="n">
        <v>0</v>
      </c>
    </row>
    <row r="134" s="514" customFormat="true" ht="13.5" hidden="false" customHeight="true" outlineLevel="0" collapsed="false">
      <c r="A134" s="10"/>
      <c r="B134" s="618" t="s">
        <v>135</v>
      </c>
      <c r="C134" s="521"/>
      <c r="D134" s="610" t="n">
        <f aca="false">'Executive Summary'!D40+'Executive Summary'!D41+'Executive Summary'!D42+'Executive Summary'!D43-'Executive Summary'!D43</f>
        <v>50000</v>
      </c>
      <c r="E134" s="610" t="n">
        <f aca="false">SUM(G134:EI134)</f>
        <v>50000</v>
      </c>
      <c r="F134" s="17"/>
      <c r="G134" s="614" t="n">
        <f aca="false">D134</f>
        <v>50000</v>
      </c>
      <c r="H134" s="513" t="n">
        <v>0</v>
      </c>
      <c r="I134" s="421" t="n">
        <v>0</v>
      </c>
      <c r="J134" s="421" t="n">
        <v>0</v>
      </c>
      <c r="K134" s="421" t="n">
        <v>0</v>
      </c>
      <c r="L134" s="421" t="n">
        <v>0</v>
      </c>
      <c r="M134" s="421" t="n">
        <v>0</v>
      </c>
      <c r="N134" s="421" t="n">
        <v>0</v>
      </c>
      <c r="O134" s="421" t="n">
        <v>0</v>
      </c>
      <c r="P134" s="421" t="n">
        <v>0</v>
      </c>
      <c r="Q134" s="421" t="n">
        <v>0</v>
      </c>
      <c r="R134" s="421" t="n">
        <v>0</v>
      </c>
      <c r="S134" s="421" t="n">
        <v>0</v>
      </c>
      <c r="T134" s="513" t="n">
        <v>0</v>
      </c>
      <c r="U134" s="421" t="n">
        <v>0</v>
      </c>
      <c r="V134" s="421" t="n">
        <v>0</v>
      </c>
      <c r="W134" s="421" t="n">
        <v>0</v>
      </c>
      <c r="X134" s="421" t="n">
        <v>0</v>
      </c>
      <c r="Y134" s="421" t="n">
        <v>0</v>
      </c>
      <c r="Z134" s="421" t="n">
        <v>0</v>
      </c>
      <c r="AA134" s="421" t="n">
        <v>0</v>
      </c>
      <c r="AB134" s="421" t="n">
        <v>0</v>
      </c>
      <c r="AC134" s="421" t="n">
        <v>0</v>
      </c>
      <c r="AD134" s="421" t="n">
        <v>0</v>
      </c>
      <c r="AE134" s="421" t="n">
        <v>0</v>
      </c>
      <c r="AF134" s="513" t="n">
        <v>0</v>
      </c>
      <c r="AG134" s="421" t="n">
        <v>0</v>
      </c>
      <c r="AH134" s="421" t="n">
        <v>0</v>
      </c>
      <c r="AI134" s="421" t="n">
        <v>0</v>
      </c>
      <c r="AJ134" s="421" t="n">
        <v>0</v>
      </c>
      <c r="AK134" s="421" t="n">
        <v>0</v>
      </c>
      <c r="AL134" s="421" t="n">
        <v>0</v>
      </c>
      <c r="AM134" s="421" t="n">
        <v>0</v>
      </c>
      <c r="AN134" s="421" t="n">
        <v>0</v>
      </c>
      <c r="AO134" s="421" t="n">
        <v>0</v>
      </c>
      <c r="AP134" s="421" t="n">
        <v>0</v>
      </c>
      <c r="AQ134" s="421" t="n">
        <v>0</v>
      </c>
      <c r="AR134" s="513" t="n">
        <v>0</v>
      </c>
      <c r="AS134" s="421" t="n">
        <v>0</v>
      </c>
      <c r="AT134" s="421" t="n">
        <v>0</v>
      </c>
      <c r="AU134" s="421" t="n">
        <v>0</v>
      </c>
      <c r="AV134" s="421" t="n">
        <v>0</v>
      </c>
      <c r="AW134" s="421" t="n">
        <v>0</v>
      </c>
      <c r="AX134" s="421" t="n">
        <v>0</v>
      </c>
      <c r="AY134" s="421" t="n">
        <v>0</v>
      </c>
      <c r="AZ134" s="421" t="n">
        <v>0</v>
      </c>
      <c r="BA134" s="421" t="n">
        <v>0</v>
      </c>
      <c r="BB134" s="421" t="n">
        <v>0</v>
      </c>
      <c r="BC134" s="421" t="n">
        <v>0</v>
      </c>
      <c r="BD134" s="513" t="n">
        <v>0</v>
      </c>
      <c r="BE134" s="421" t="n">
        <v>0</v>
      </c>
      <c r="BF134" s="421" t="n">
        <v>0</v>
      </c>
      <c r="BG134" s="421" t="n">
        <v>0</v>
      </c>
      <c r="BH134" s="421" t="n">
        <v>0</v>
      </c>
      <c r="BI134" s="421" t="n">
        <v>0</v>
      </c>
      <c r="BJ134" s="421" t="n">
        <v>0</v>
      </c>
      <c r="BK134" s="421" t="n">
        <v>0</v>
      </c>
      <c r="BL134" s="421" t="n">
        <v>0</v>
      </c>
      <c r="BM134" s="421" t="n">
        <v>0</v>
      </c>
      <c r="BN134" s="421" t="n">
        <v>0</v>
      </c>
      <c r="BO134" s="421" t="n">
        <v>0</v>
      </c>
      <c r="BP134" s="513" t="n">
        <v>0</v>
      </c>
      <c r="BQ134" s="421" t="n">
        <v>0</v>
      </c>
      <c r="BR134" s="421" t="n">
        <v>0</v>
      </c>
      <c r="BS134" s="421" t="n">
        <v>0</v>
      </c>
      <c r="BT134" s="421" t="n">
        <v>0</v>
      </c>
      <c r="BU134" s="421" t="n">
        <v>0</v>
      </c>
      <c r="BV134" s="421" t="n">
        <v>0</v>
      </c>
      <c r="BW134" s="421" t="n">
        <v>0</v>
      </c>
      <c r="BX134" s="421" t="n">
        <v>0</v>
      </c>
      <c r="BY134" s="421" t="n">
        <v>0</v>
      </c>
      <c r="BZ134" s="421" t="n">
        <v>0</v>
      </c>
      <c r="CA134" s="421" t="n">
        <v>0</v>
      </c>
      <c r="CB134" s="513" t="n">
        <v>0</v>
      </c>
      <c r="CC134" s="421" t="n">
        <v>0</v>
      </c>
      <c r="CD134" s="421" t="n">
        <v>0</v>
      </c>
      <c r="CE134" s="421" t="n">
        <v>0</v>
      </c>
      <c r="CF134" s="421" t="n">
        <v>0</v>
      </c>
      <c r="CG134" s="421" t="n">
        <v>0</v>
      </c>
      <c r="CH134" s="421" t="n">
        <v>0</v>
      </c>
      <c r="CI134" s="421" t="n">
        <v>0</v>
      </c>
      <c r="CJ134" s="421" t="n">
        <v>0</v>
      </c>
      <c r="CK134" s="421" t="n">
        <v>0</v>
      </c>
      <c r="CL134" s="421" t="n">
        <v>0</v>
      </c>
      <c r="CM134" s="421" t="n">
        <v>0</v>
      </c>
      <c r="CN134" s="513" t="n">
        <v>0</v>
      </c>
      <c r="CO134" s="421" t="n">
        <v>0</v>
      </c>
      <c r="CP134" s="421" t="n">
        <v>0</v>
      </c>
      <c r="CQ134" s="421" t="n">
        <v>0</v>
      </c>
      <c r="CR134" s="421" t="n">
        <v>0</v>
      </c>
      <c r="CS134" s="421" t="n">
        <v>0</v>
      </c>
      <c r="CT134" s="421" t="n">
        <v>0</v>
      </c>
      <c r="CU134" s="421" t="n">
        <v>0</v>
      </c>
      <c r="CV134" s="421" t="n">
        <v>0</v>
      </c>
      <c r="CW134" s="421" t="n">
        <v>0</v>
      </c>
      <c r="CX134" s="421" t="n">
        <v>0</v>
      </c>
      <c r="CY134" s="421" t="n">
        <v>0</v>
      </c>
      <c r="CZ134" s="513" t="n">
        <v>0</v>
      </c>
      <c r="DA134" s="421" t="n">
        <v>0</v>
      </c>
      <c r="DB134" s="421" t="n">
        <v>0</v>
      </c>
      <c r="DC134" s="421" t="n">
        <v>0</v>
      </c>
      <c r="DD134" s="421" t="n">
        <v>0</v>
      </c>
      <c r="DE134" s="421" t="n">
        <v>0</v>
      </c>
      <c r="DF134" s="421" t="n">
        <v>0</v>
      </c>
      <c r="DG134" s="421" t="n">
        <v>0</v>
      </c>
      <c r="DH134" s="421" t="n">
        <v>0</v>
      </c>
      <c r="DI134" s="421" t="n">
        <v>0</v>
      </c>
      <c r="DJ134" s="421" t="n">
        <v>0</v>
      </c>
      <c r="DK134" s="421" t="n">
        <v>0</v>
      </c>
      <c r="DL134" s="513" t="n">
        <v>0</v>
      </c>
      <c r="DM134" s="421" t="n">
        <v>0</v>
      </c>
      <c r="DN134" s="421" t="n">
        <v>0</v>
      </c>
      <c r="DO134" s="421" t="n">
        <v>0</v>
      </c>
      <c r="DP134" s="421" t="n">
        <v>0</v>
      </c>
      <c r="DQ134" s="421" t="n">
        <v>0</v>
      </c>
      <c r="DR134" s="421" t="n">
        <v>0</v>
      </c>
      <c r="DS134" s="421" t="n">
        <v>0</v>
      </c>
      <c r="DT134" s="421" t="n">
        <v>0</v>
      </c>
      <c r="DU134" s="421" t="n">
        <v>0</v>
      </c>
      <c r="DV134" s="421" t="n">
        <v>0</v>
      </c>
      <c r="DW134" s="421" t="n">
        <v>0</v>
      </c>
      <c r="DX134" s="421" t="n">
        <v>0</v>
      </c>
      <c r="DY134" s="421" t="n">
        <v>0</v>
      </c>
      <c r="DZ134" s="421" t="n">
        <v>0</v>
      </c>
      <c r="EA134" s="421" t="n">
        <v>0</v>
      </c>
      <c r="EB134" s="421" t="n">
        <v>0</v>
      </c>
      <c r="EC134" s="421" t="n">
        <v>0</v>
      </c>
      <c r="ED134" s="421" t="n">
        <v>0</v>
      </c>
      <c r="EE134" s="421" t="n">
        <v>0</v>
      </c>
      <c r="EF134" s="421" t="n">
        <v>0</v>
      </c>
      <c r="EG134" s="421" t="n">
        <v>0</v>
      </c>
      <c r="EH134" s="421" t="n">
        <v>0</v>
      </c>
      <c r="EI134" s="472" t="n">
        <v>0</v>
      </c>
    </row>
    <row r="135" s="514" customFormat="true" ht="13.5" hidden="false" customHeight="true" outlineLevel="0" collapsed="false">
      <c r="A135" s="10"/>
      <c r="B135" s="618" t="s">
        <v>583</v>
      </c>
      <c r="C135" s="613"/>
      <c r="D135" s="610"/>
      <c r="E135" s="610" t="n">
        <f aca="false">SUM(G135:EI135)</f>
        <v>1252606.7504745</v>
      </c>
      <c r="F135" s="17"/>
      <c r="G135" s="614" t="n">
        <f aca="false">-G87</f>
        <v>-0</v>
      </c>
      <c r="H135" s="513" t="n">
        <f aca="false">-H87</f>
        <v>21016.6666666667</v>
      </c>
      <c r="I135" s="421" t="n">
        <f aca="false">-I87</f>
        <v>21016.6666666667</v>
      </c>
      <c r="J135" s="421" t="n">
        <f aca="false">-J87</f>
        <v>21016.6666666667</v>
      </c>
      <c r="K135" s="421" t="n">
        <f aca="false">-K87</f>
        <v>21016.6666666667</v>
      </c>
      <c r="L135" s="421" t="n">
        <f aca="false">-L87</f>
        <v>21016.6666666667</v>
      </c>
      <c r="M135" s="421" t="n">
        <f aca="false">-M87</f>
        <v>21016.6666666667</v>
      </c>
      <c r="N135" s="421" t="n">
        <f aca="false">-N87</f>
        <v>21016.6666666667</v>
      </c>
      <c r="O135" s="421" t="n">
        <f aca="false">-O87</f>
        <v>21016.6666666667</v>
      </c>
      <c r="P135" s="421" t="n">
        <f aca="false">-P87</f>
        <v>21016.6666666667</v>
      </c>
      <c r="Q135" s="421" t="n">
        <f aca="false">-Q87</f>
        <v>21016.6666666667</v>
      </c>
      <c r="R135" s="421" t="n">
        <f aca="false">-R87</f>
        <v>21016.6666666667</v>
      </c>
      <c r="S135" s="421" t="n">
        <f aca="false">-S87</f>
        <v>21016.6666666667</v>
      </c>
      <c r="T135" s="513" t="n">
        <f aca="false">-T87</f>
        <v>21016.6666666667</v>
      </c>
      <c r="U135" s="421" t="n">
        <f aca="false">-U87</f>
        <v>21016.6666666667</v>
      </c>
      <c r="V135" s="421" t="n">
        <f aca="false">-V87</f>
        <v>21016.6666666667</v>
      </c>
      <c r="W135" s="421" t="n">
        <f aca="false">-W87</f>
        <v>21016.6666666667</v>
      </c>
      <c r="X135" s="421" t="n">
        <f aca="false">-X87</f>
        <v>21016.6666666667</v>
      </c>
      <c r="Y135" s="421" t="n">
        <f aca="false">-Y87</f>
        <v>21016.6666666667</v>
      </c>
      <c r="Z135" s="421" t="n">
        <f aca="false">-Z87</f>
        <v>21016.6666666667</v>
      </c>
      <c r="AA135" s="421" t="n">
        <f aca="false">-AA87</f>
        <v>21016.6666666667</v>
      </c>
      <c r="AB135" s="421" t="n">
        <f aca="false">-AB87</f>
        <v>21016.6666666667</v>
      </c>
      <c r="AC135" s="421" t="n">
        <f aca="false">-AC87</f>
        <v>21016.6666666667</v>
      </c>
      <c r="AD135" s="421" t="n">
        <f aca="false">-AD87</f>
        <v>21016.6666666667</v>
      </c>
      <c r="AE135" s="421" t="n">
        <f aca="false">-AE87</f>
        <v>21016.6666666667</v>
      </c>
      <c r="AF135" s="513" t="n">
        <f aca="false">-AF87</f>
        <v>21016.6666666667</v>
      </c>
      <c r="AG135" s="421" t="n">
        <f aca="false">-AG87</f>
        <v>21016.6666666667</v>
      </c>
      <c r="AH135" s="421" t="n">
        <f aca="false">-AH87</f>
        <v>21016.6666666667</v>
      </c>
      <c r="AI135" s="421" t="n">
        <f aca="false">-AI87</f>
        <v>21016.6666666667</v>
      </c>
      <c r="AJ135" s="421" t="n">
        <f aca="false">-AJ87</f>
        <v>21016.6666666667</v>
      </c>
      <c r="AK135" s="421" t="n">
        <f aca="false">-AK87</f>
        <v>21016.6666666667</v>
      </c>
      <c r="AL135" s="421" t="n">
        <f aca="false">-AL87</f>
        <v>21016.6666666667</v>
      </c>
      <c r="AM135" s="421" t="n">
        <f aca="false">-AM87</f>
        <v>21016.6666666667</v>
      </c>
      <c r="AN135" s="421" t="n">
        <f aca="false">-AN87</f>
        <v>21016.6666666667</v>
      </c>
      <c r="AO135" s="421" t="n">
        <f aca="false">-AO87</f>
        <v>21016.6666666667</v>
      </c>
      <c r="AP135" s="421" t="n">
        <f aca="false">-AP87</f>
        <v>21016.6666666667</v>
      </c>
      <c r="AQ135" s="421" t="n">
        <f aca="false">-AQ87</f>
        <v>21016.6666666667</v>
      </c>
      <c r="AR135" s="513" t="n">
        <f aca="false">-AR87</f>
        <v>21016.6666666667</v>
      </c>
      <c r="AS135" s="421" t="n">
        <f aca="false">-AS87</f>
        <v>20987.1500490382</v>
      </c>
      <c r="AT135" s="421" t="n">
        <f aca="false">-AT87</f>
        <v>20957.5141350801</v>
      </c>
      <c r="AU135" s="421" t="n">
        <f aca="false">-AU87</f>
        <v>20927.7584426365</v>
      </c>
      <c r="AV135" s="421" t="n">
        <f aca="false">-AV87</f>
        <v>20897.8824876026</v>
      </c>
      <c r="AW135" s="421" t="n">
        <f aca="false">-AW87</f>
        <v>20867.8857839171</v>
      </c>
      <c r="AX135" s="421" t="n">
        <f aca="false">-AX87</f>
        <v>20837.7678435541</v>
      </c>
      <c r="AY135" s="421" t="n">
        <f aca="false">-AY87</f>
        <v>20807.5281765156</v>
      </c>
      <c r="AZ135" s="421" t="n">
        <f aca="false">-AZ87</f>
        <v>20777.1662908227</v>
      </c>
      <c r="BA135" s="421" t="n">
        <f aca="false">-BA87</f>
        <v>20746.6816925086</v>
      </c>
      <c r="BB135" s="421" t="n">
        <f aca="false">-BB87</f>
        <v>20716.0738856096</v>
      </c>
      <c r="BC135" s="421" t="n">
        <f aca="false">-BC87</f>
        <v>20685.3423721576</v>
      </c>
      <c r="BD135" s="513" t="n">
        <f aca="false">-BD87</f>
        <v>20654.4866521722</v>
      </c>
      <c r="BE135" s="421" t="n">
        <f aca="false">-BE87</f>
        <v>20623.5062236518</v>
      </c>
      <c r="BF135" s="421" t="n">
        <f aca="false">-BF87</f>
        <v>20592.4005825661</v>
      </c>
      <c r="BG135" s="421" t="n">
        <f aca="false">-BG87</f>
        <v>20561.1692228478</v>
      </c>
      <c r="BH135" s="421" t="n">
        <f aca="false">-BH87</f>
        <v>20529.8116363839</v>
      </c>
      <c r="BI135" s="421" t="n">
        <f aca="false">-BI87</f>
        <v>20498.327313008</v>
      </c>
      <c r="BJ135" s="421" t="n">
        <f aca="false">-BJ87</f>
        <v>20466.7157404918</v>
      </c>
      <c r="BK135" s="421" t="n">
        <f aca="false">-BK87</f>
        <v>20434.9764045367</v>
      </c>
      <c r="BL135" s="421" t="n">
        <f aca="false">-BL87</f>
        <v>20403.1087887655</v>
      </c>
      <c r="BM135" s="421" t="n">
        <f aca="false">-BM87</f>
        <v>20371.1123747138</v>
      </c>
      <c r="BN135" s="421" t="n">
        <f aca="false">-BN87</f>
        <v>20338.986641822</v>
      </c>
      <c r="BO135" s="421" t="n">
        <f aca="false">-BO87</f>
        <v>20306.7310674265</v>
      </c>
      <c r="BP135" s="513" t="n">
        <f aca="false">-BP87</f>
        <v>-0</v>
      </c>
      <c r="BQ135" s="421" t="n">
        <f aca="false">-BQ87</f>
        <v>-0</v>
      </c>
      <c r="BR135" s="421" t="n">
        <f aca="false">-BR87</f>
        <v>-0</v>
      </c>
      <c r="BS135" s="421" t="n">
        <f aca="false">-BS87</f>
        <v>-0</v>
      </c>
      <c r="BT135" s="421" t="n">
        <f aca="false">-BT87</f>
        <v>-0</v>
      </c>
      <c r="BU135" s="421" t="n">
        <f aca="false">-BU87</f>
        <v>-0</v>
      </c>
      <c r="BV135" s="421" t="n">
        <f aca="false">-BV87</f>
        <v>-0</v>
      </c>
      <c r="BW135" s="421" t="n">
        <f aca="false">-BW87</f>
        <v>-0</v>
      </c>
      <c r="BX135" s="421" t="n">
        <f aca="false">-BX87</f>
        <v>-0</v>
      </c>
      <c r="BY135" s="421" t="n">
        <f aca="false">-BY87</f>
        <v>-0</v>
      </c>
      <c r="BZ135" s="421" t="n">
        <f aca="false">-BZ87</f>
        <v>-0</v>
      </c>
      <c r="CA135" s="421" t="n">
        <f aca="false">-CA87</f>
        <v>-0</v>
      </c>
      <c r="CB135" s="513" t="n">
        <f aca="false">-CB87</f>
        <v>-0</v>
      </c>
      <c r="CC135" s="421" t="n">
        <f aca="false">-CC87</f>
        <v>-0</v>
      </c>
      <c r="CD135" s="421" t="n">
        <f aca="false">-CD87</f>
        <v>-0</v>
      </c>
      <c r="CE135" s="421" t="n">
        <f aca="false">-CE87</f>
        <v>-0</v>
      </c>
      <c r="CF135" s="421" t="n">
        <f aca="false">-CF87</f>
        <v>-0</v>
      </c>
      <c r="CG135" s="421" t="n">
        <f aca="false">-CG87</f>
        <v>-0</v>
      </c>
      <c r="CH135" s="421" t="n">
        <f aca="false">-CH87</f>
        <v>-0</v>
      </c>
      <c r="CI135" s="421" t="n">
        <f aca="false">-CI87</f>
        <v>-0</v>
      </c>
      <c r="CJ135" s="421" t="n">
        <f aca="false">-CJ87</f>
        <v>-0</v>
      </c>
      <c r="CK135" s="421" t="n">
        <f aca="false">-CK87</f>
        <v>-0</v>
      </c>
      <c r="CL135" s="421" t="n">
        <f aca="false">-CL87</f>
        <v>-0</v>
      </c>
      <c r="CM135" s="421" t="n">
        <f aca="false">-CM87</f>
        <v>-0</v>
      </c>
      <c r="CN135" s="513" t="n">
        <f aca="false">-CN87</f>
        <v>-0</v>
      </c>
      <c r="CO135" s="421" t="n">
        <f aca="false">-CO87</f>
        <v>-0</v>
      </c>
      <c r="CP135" s="421" t="n">
        <f aca="false">-CP87</f>
        <v>-0</v>
      </c>
      <c r="CQ135" s="421" t="n">
        <f aca="false">-CQ87</f>
        <v>-0</v>
      </c>
      <c r="CR135" s="421" t="n">
        <f aca="false">-CR87</f>
        <v>-0</v>
      </c>
      <c r="CS135" s="421" t="n">
        <f aca="false">-CS87</f>
        <v>-0</v>
      </c>
      <c r="CT135" s="421" t="n">
        <f aca="false">-CT87</f>
        <v>-0</v>
      </c>
      <c r="CU135" s="421" t="n">
        <f aca="false">-CU87</f>
        <v>-0</v>
      </c>
      <c r="CV135" s="421" t="n">
        <f aca="false">-CV87</f>
        <v>-0</v>
      </c>
      <c r="CW135" s="421" t="n">
        <f aca="false">-CW87</f>
        <v>-0</v>
      </c>
      <c r="CX135" s="421" t="n">
        <f aca="false">-CX87</f>
        <v>-0</v>
      </c>
      <c r="CY135" s="421" t="n">
        <f aca="false">-CY87</f>
        <v>-0</v>
      </c>
      <c r="CZ135" s="513" t="n">
        <f aca="false">-CZ87</f>
        <v>-0</v>
      </c>
      <c r="DA135" s="421" t="n">
        <f aca="false">-DA87</f>
        <v>-0</v>
      </c>
      <c r="DB135" s="421" t="n">
        <f aca="false">-DB87</f>
        <v>-0</v>
      </c>
      <c r="DC135" s="421" t="n">
        <f aca="false">-DC87</f>
        <v>-0</v>
      </c>
      <c r="DD135" s="421" t="n">
        <f aca="false">-DD87</f>
        <v>-0</v>
      </c>
      <c r="DE135" s="421" t="n">
        <f aca="false">-DE87</f>
        <v>-0</v>
      </c>
      <c r="DF135" s="421" t="n">
        <f aca="false">-DF87</f>
        <v>-0</v>
      </c>
      <c r="DG135" s="421" t="n">
        <f aca="false">-DG87</f>
        <v>-0</v>
      </c>
      <c r="DH135" s="421" t="n">
        <f aca="false">-DH87</f>
        <v>-0</v>
      </c>
      <c r="DI135" s="421" t="n">
        <f aca="false">-DI87</f>
        <v>-0</v>
      </c>
      <c r="DJ135" s="421" t="n">
        <f aca="false">-DJ87</f>
        <v>-0</v>
      </c>
      <c r="DK135" s="421" t="n">
        <f aca="false">-DK87</f>
        <v>-0</v>
      </c>
      <c r="DL135" s="513" t="n">
        <f aca="false">-DL87</f>
        <v>-0</v>
      </c>
      <c r="DM135" s="421" t="n">
        <f aca="false">-DM87</f>
        <v>-0</v>
      </c>
      <c r="DN135" s="421" t="n">
        <f aca="false">-DN87</f>
        <v>-0</v>
      </c>
      <c r="DO135" s="421" t="n">
        <f aca="false">-DO87</f>
        <v>-0</v>
      </c>
      <c r="DP135" s="421" t="n">
        <f aca="false">-DP87</f>
        <v>-0</v>
      </c>
      <c r="DQ135" s="421" t="n">
        <f aca="false">-DQ87</f>
        <v>-0</v>
      </c>
      <c r="DR135" s="421" t="n">
        <f aca="false">-DR87</f>
        <v>-0</v>
      </c>
      <c r="DS135" s="421" t="n">
        <f aca="false">-DS87</f>
        <v>-0</v>
      </c>
      <c r="DT135" s="421" t="n">
        <f aca="false">-DT87</f>
        <v>-0</v>
      </c>
      <c r="DU135" s="421" t="n">
        <f aca="false">-DU87</f>
        <v>-0</v>
      </c>
      <c r="DV135" s="421" t="n">
        <f aca="false">-DV87</f>
        <v>-0</v>
      </c>
      <c r="DW135" s="421" t="n">
        <f aca="false">-DW87</f>
        <v>-0</v>
      </c>
      <c r="DX135" s="421" t="n">
        <f aca="false">-DX87</f>
        <v>-0</v>
      </c>
      <c r="DY135" s="421" t="n">
        <f aca="false">-DY87</f>
        <v>-0</v>
      </c>
      <c r="DZ135" s="421" t="n">
        <f aca="false">-DZ87</f>
        <v>-0</v>
      </c>
      <c r="EA135" s="421" t="n">
        <f aca="false">-EA87</f>
        <v>-0</v>
      </c>
      <c r="EB135" s="421" t="n">
        <f aca="false">-EB87</f>
        <v>-0</v>
      </c>
      <c r="EC135" s="421" t="n">
        <f aca="false">-EC87</f>
        <v>-0</v>
      </c>
      <c r="ED135" s="421" t="n">
        <f aca="false">-ED87</f>
        <v>-0</v>
      </c>
      <c r="EE135" s="421" t="n">
        <f aca="false">-EE87</f>
        <v>-0</v>
      </c>
      <c r="EF135" s="421" t="n">
        <f aca="false">-EF87</f>
        <v>-0</v>
      </c>
      <c r="EG135" s="421" t="n">
        <f aca="false">-EG87</f>
        <v>-0</v>
      </c>
      <c r="EH135" s="421" t="n">
        <f aca="false">-EH87</f>
        <v>-0</v>
      </c>
      <c r="EI135" s="472" t="n">
        <f aca="false">-EI87</f>
        <v>-0</v>
      </c>
    </row>
    <row r="136" s="514" customFormat="true" ht="13.5" hidden="false" customHeight="true" outlineLevel="0" collapsed="false">
      <c r="A136" s="10"/>
      <c r="B136" s="618" t="s">
        <v>592</v>
      </c>
      <c r="C136" s="613"/>
      <c r="D136" s="610"/>
      <c r="E136" s="610" t="n">
        <f aca="false">SUM(G136:EI136)</f>
        <v>183667.18513375</v>
      </c>
      <c r="F136" s="17"/>
      <c r="G136" s="610" t="n">
        <f aca="false">-G84</f>
        <v>-0</v>
      </c>
      <c r="H136" s="513" t="n">
        <f aca="false">-H84</f>
        <v>-0</v>
      </c>
      <c r="I136" s="421" t="n">
        <f aca="false">-I84</f>
        <v>-0</v>
      </c>
      <c r="J136" s="421" t="n">
        <f aca="false">-J84</f>
        <v>-0</v>
      </c>
      <c r="K136" s="421" t="n">
        <f aca="false">-K84</f>
        <v>-0</v>
      </c>
      <c r="L136" s="421" t="n">
        <f aca="false">-L84</f>
        <v>-0</v>
      </c>
      <c r="M136" s="421" t="n">
        <f aca="false">-M84</f>
        <v>-0</v>
      </c>
      <c r="N136" s="421" t="n">
        <f aca="false">-N84</f>
        <v>-0</v>
      </c>
      <c r="O136" s="421" t="n">
        <f aca="false">-O84</f>
        <v>-0</v>
      </c>
      <c r="P136" s="421" t="n">
        <f aca="false">-P84</f>
        <v>-0</v>
      </c>
      <c r="Q136" s="421" t="n">
        <f aca="false">-Q84</f>
        <v>-0</v>
      </c>
      <c r="R136" s="421" t="n">
        <f aca="false">-R84</f>
        <v>-0</v>
      </c>
      <c r="S136" s="421" t="n">
        <f aca="false">-S84</f>
        <v>-0</v>
      </c>
      <c r="T136" s="513" t="n">
        <f aca="false">-T84</f>
        <v>-0</v>
      </c>
      <c r="U136" s="421" t="n">
        <f aca="false">-U84</f>
        <v>-0</v>
      </c>
      <c r="V136" s="421" t="n">
        <f aca="false">-V84</f>
        <v>-0</v>
      </c>
      <c r="W136" s="421" t="n">
        <f aca="false">-W84</f>
        <v>-0</v>
      </c>
      <c r="X136" s="421" t="n">
        <f aca="false">-X84</f>
        <v>-0</v>
      </c>
      <c r="Y136" s="421" t="n">
        <f aca="false">-Y84</f>
        <v>-0</v>
      </c>
      <c r="Z136" s="421" t="n">
        <f aca="false">-Z84</f>
        <v>-0</v>
      </c>
      <c r="AA136" s="421" t="n">
        <f aca="false">-AA84</f>
        <v>-0</v>
      </c>
      <c r="AB136" s="421" t="n">
        <f aca="false">-AB84</f>
        <v>-0</v>
      </c>
      <c r="AC136" s="421" t="n">
        <f aca="false">-AC84</f>
        <v>-0</v>
      </c>
      <c r="AD136" s="421" t="n">
        <f aca="false">-AD84</f>
        <v>-0</v>
      </c>
      <c r="AE136" s="421" t="n">
        <f aca="false">-AE84</f>
        <v>-0</v>
      </c>
      <c r="AF136" s="513" t="n">
        <f aca="false">-AF84</f>
        <v>-0</v>
      </c>
      <c r="AG136" s="421" t="n">
        <f aca="false">-AG84</f>
        <v>-0</v>
      </c>
      <c r="AH136" s="421" t="n">
        <f aca="false">-AH84</f>
        <v>-0</v>
      </c>
      <c r="AI136" s="421" t="n">
        <f aca="false">-AI84</f>
        <v>-0</v>
      </c>
      <c r="AJ136" s="421" t="n">
        <f aca="false">-AJ84</f>
        <v>-0</v>
      </c>
      <c r="AK136" s="421" t="n">
        <f aca="false">-AK84</f>
        <v>-0</v>
      </c>
      <c r="AL136" s="421" t="n">
        <f aca="false">-AL84</f>
        <v>-0</v>
      </c>
      <c r="AM136" s="421" t="n">
        <f aca="false">-AM84</f>
        <v>-0</v>
      </c>
      <c r="AN136" s="421" t="n">
        <f aca="false">-AN84</f>
        <v>-0</v>
      </c>
      <c r="AO136" s="421" t="n">
        <f aca="false">-AO84</f>
        <v>-0</v>
      </c>
      <c r="AP136" s="421" t="n">
        <f aca="false">-AP84</f>
        <v>-0</v>
      </c>
      <c r="AQ136" s="421" t="n">
        <f aca="false">-AQ84</f>
        <v>-0</v>
      </c>
      <c r="AR136" s="513" t="n">
        <f aca="false">-AR84</f>
        <v>7303.08065034358</v>
      </c>
      <c r="AS136" s="421" t="n">
        <f aca="false">-AS84</f>
        <v>7332.59726797205</v>
      </c>
      <c r="AT136" s="421" t="n">
        <f aca="false">-AT84</f>
        <v>7362.23318193011</v>
      </c>
      <c r="AU136" s="421" t="n">
        <f aca="false">-AU84</f>
        <v>7391.98887437374</v>
      </c>
      <c r="AV136" s="421" t="n">
        <f aca="false">-AV84</f>
        <v>7421.86482940767</v>
      </c>
      <c r="AW136" s="421" t="n">
        <f aca="false">-AW84</f>
        <v>7451.86153309319</v>
      </c>
      <c r="AX136" s="421" t="n">
        <f aca="false">-AX84</f>
        <v>7481.97947345611</v>
      </c>
      <c r="AY136" s="421" t="n">
        <f aca="false">-AY84</f>
        <v>7512.21914049466</v>
      </c>
      <c r="AZ136" s="421" t="n">
        <f aca="false">-AZ84</f>
        <v>7542.5810261875</v>
      </c>
      <c r="BA136" s="421" t="n">
        <f aca="false">-BA84</f>
        <v>7573.06562450167</v>
      </c>
      <c r="BB136" s="421" t="n">
        <f aca="false">-BB84</f>
        <v>7603.6734314007</v>
      </c>
      <c r="BC136" s="421" t="n">
        <f aca="false">-BC84</f>
        <v>7634.40494485261</v>
      </c>
      <c r="BD136" s="513" t="n">
        <f aca="false">-BD84</f>
        <v>7665.26066483805</v>
      </c>
      <c r="BE136" s="421" t="n">
        <f aca="false">-BE84</f>
        <v>7696.24109335845</v>
      </c>
      <c r="BF136" s="421" t="n">
        <f aca="false">-BF84</f>
        <v>7727.3467344441</v>
      </c>
      <c r="BG136" s="421" t="n">
        <f aca="false">-BG84</f>
        <v>7758.57809416248</v>
      </c>
      <c r="BH136" s="421" t="n">
        <f aca="false">-BH84</f>
        <v>7789.93568062639</v>
      </c>
      <c r="BI136" s="421" t="n">
        <f aca="false">-BI84</f>
        <v>7821.42000400225</v>
      </c>
      <c r="BJ136" s="421" t="n">
        <f aca="false">-BJ84</f>
        <v>7853.03157651843</v>
      </c>
      <c r="BK136" s="421" t="n">
        <f aca="false">-BK84</f>
        <v>7884.77091247352</v>
      </c>
      <c r="BL136" s="421" t="n">
        <f aca="false">-BL84</f>
        <v>7916.63852824477</v>
      </c>
      <c r="BM136" s="421" t="n">
        <f aca="false">-BM84</f>
        <v>7948.63494229643</v>
      </c>
      <c r="BN136" s="421" t="n">
        <f aca="false">-BN84</f>
        <v>7980.76067518821</v>
      </c>
      <c r="BO136" s="421" t="n">
        <f aca="false">-BO84</f>
        <v>8013.01624958376</v>
      </c>
      <c r="BP136" s="513" t="n">
        <f aca="false">-BP84</f>
        <v>0</v>
      </c>
      <c r="BQ136" s="421" t="n">
        <f aca="false">-BQ84</f>
        <v>0</v>
      </c>
      <c r="BR136" s="421" t="n">
        <f aca="false">-BR84</f>
        <v>0</v>
      </c>
      <c r="BS136" s="421" t="n">
        <f aca="false">-BS84</f>
        <v>0</v>
      </c>
      <c r="BT136" s="421" t="n">
        <f aca="false">-BT84</f>
        <v>0</v>
      </c>
      <c r="BU136" s="421" t="n">
        <f aca="false">-BU84</f>
        <v>0</v>
      </c>
      <c r="BV136" s="421" t="n">
        <f aca="false">-BV84</f>
        <v>0</v>
      </c>
      <c r="BW136" s="421" t="n">
        <f aca="false">-BW84</f>
        <v>0</v>
      </c>
      <c r="BX136" s="421" t="n">
        <f aca="false">-BX84</f>
        <v>0</v>
      </c>
      <c r="BY136" s="421" t="n">
        <f aca="false">-BY84</f>
        <v>0</v>
      </c>
      <c r="BZ136" s="421" t="n">
        <f aca="false">-BZ84</f>
        <v>0</v>
      </c>
      <c r="CA136" s="421" t="n">
        <f aca="false">-CA84</f>
        <v>0</v>
      </c>
      <c r="CB136" s="513" t="n">
        <f aca="false">-CB84</f>
        <v>0</v>
      </c>
      <c r="CC136" s="421" t="n">
        <f aca="false">-CC84</f>
        <v>0</v>
      </c>
      <c r="CD136" s="421" t="n">
        <f aca="false">-CD84</f>
        <v>0</v>
      </c>
      <c r="CE136" s="421" t="n">
        <f aca="false">-CE84</f>
        <v>0</v>
      </c>
      <c r="CF136" s="421" t="n">
        <f aca="false">-CF84</f>
        <v>0</v>
      </c>
      <c r="CG136" s="421" t="n">
        <f aca="false">-CG84</f>
        <v>0</v>
      </c>
      <c r="CH136" s="421" t="n">
        <f aca="false">-CH84</f>
        <v>0</v>
      </c>
      <c r="CI136" s="421" t="n">
        <f aca="false">-CI84</f>
        <v>0</v>
      </c>
      <c r="CJ136" s="421" t="n">
        <f aca="false">-CJ84</f>
        <v>0</v>
      </c>
      <c r="CK136" s="421" t="n">
        <f aca="false">-CK84</f>
        <v>0</v>
      </c>
      <c r="CL136" s="421" t="n">
        <f aca="false">-CL84</f>
        <v>0</v>
      </c>
      <c r="CM136" s="421" t="n">
        <f aca="false">-CM84</f>
        <v>0</v>
      </c>
      <c r="CN136" s="513" t="n">
        <f aca="false">-CN84</f>
        <v>0</v>
      </c>
      <c r="CO136" s="421" t="n">
        <f aca="false">-CO84</f>
        <v>0</v>
      </c>
      <c r="CP136" s="421" t="n">
        <f aca="false">-CP84</f>
        <v>0</v>
      </c>
      <c r="CQ136" s="421" t="n">
        <f aca="false">-CQ84</f>
        <v>0</v>
      </c>
      <c r="CR136" s="421" t="n">
        <f aca="false">-CR84</f>
        <v>0</v>
      </c>
      <c r="CS136" s="421" t="n">
        <f aca="false">-CS84</f>
        <v>0</v>
      </c>
      <c r="CT136" s="421" t="n">
        <f aca="false">-CT84</f>
        <v>0</v>
      </c>
      <c r="CU136" s="421" t="n">
        <f aca="false">-CU84</f>
        <v>0</v>
      </c>
      <c r="CV136" s="421" t="n">
        <f aca="false">-CV84</f>
        <v>0</v>
      </c>
      <c r="CW136" s="421" t="n">
        <f aca="false">-CW84</f>
        <v>0</v>
      </c>
      <c r="CX136" s="421" t="n">
        <f aca="false">-CX84</f>
        <v>0</v>
      </c>
      <c r="CY136" s="421" t="n">
        <f aca="false">-CY84</f>
        <v>0</v>
      </c>
      <c r="CZ136" s="513" t="n">
        <f aca="false">-CZ84</f>
        <v>0</v>
      </c>
      <c r="DA136" s="421" t="n">
        <f aca="false">-DA84</f>
        <v>0</v>
      </c>
      <c r="DB136" s="421" t="n">
        <f aca="false">-DB84</f>
        <v>0</v>
      </c>
      <c r="DC136" s="421" t="n">
        <f aca="false">-DC84</f>
        <v>0</v>
      </c>
      <c r="DD136" s="421" t="n">
        <f aca="false">-DD84</f>
        <v>0</v>
      </c>
      <c r="DE136" s="421" t="n">
        <f aca="false">-DE84</f>
        <v>0</v>
      </c>
      <c r="DF136" s="421" t="n">
        <f aca="false">-DF84</f>
        <v>0</v>
      </c>
      <c r="DG136" s="421" t="n">
        <f aca="false">-DG84</f>
        <v>0</v>
      </c>
      <c r="DH136" s="421" t="n">
        <f aca="false">-DH84</f>
        <v>0</v>
      </c>
      <c r="DI136" s="421" t="n">
        <f aca="false">-DI84</f>
        <v>0</v>
      </c>
      <c r="DJ136" s="421" t="n">
        <f aca="false">-DJ84</f>
        <v>0</v>
      </c>
      <c r="DK136" s="421" t="n">
        <f aca="false">-DK84</f>
        <v>0</v>
      </c>
      <c r="DL136" s="513" t="n">
        <f aca="false">-DL84</f>
        <v>0</v>
      </c>
      <c r="DM136" s="421" t="n">
        <f aca="false">-DM84</f>
        <v>0</v>
      </c>
      <c r="DN136" s="421" t="n">
        <f aca="false">-DN84</f>
        <v>0</v>
      </c>
      <c r="DO136" s="421" t="n">
        <f aca="false">-DO84</f>
        <v>0</v>
      </c>
      <c r="DP136" s="421" t="n">
        <f aca="false">-DP84</f>
        <v>0</v>
      </c>
      <c r="DQ136" s="421" t="n">
        <f aca="false">-DQ84</f>
        <v>0</v>
      </c>
      <c r="DR136" s="421" t="n">
        <f aca="false">-DR84</f>
        <v>0</v>
      </c>
      <c r="DS136" s="421" t="n">
        <f aca="false">-DS84</f>
        <v>0</v>
      </c>
      <c r="DT136" s="421" t="n">
        <f aca="false">-DT84</f>
        <v>0</v>
      </c>
      <c r="DU136" s="421" t="n">
        <f aca="false">-DU84</f>
        <v>0</v>
      </c>
      <c r="DV136" s="421" t="n">
        <f aca="false">-DV84</f>
        <v>0</v>
      </c>
      <c r="DW136" s="421" t="n">
        <f aca="false">-DW84</f>
        <v>0</v>
      </c>
      <c r="DX136" s="421" t="n">
        <f aca="false">-DX84</f>
        <v>0</v>
      </c>
      <c r="DY136" s="421" t="n">
        <f aca="false">-DY84</f>
        <v>0</v>
      </c>
      <c r="DZ136" s="421" t="n">
        <f aca="false">-DZ84</f>
        <v>0</v>
      </c>
      <c r="EA136" s="421" t="n">
        <f aca="false">-EA84</f>
        <v>0</v>
      </c>
      <c r="EB136" s="421" t="n">
        <f aca="false">-EB84</f>
        <v>0</v>
      </c>
      <c r="EC136" s="421" t="n">
        <f aca="false">-EC84</f>
        <v>0</v>
      </c>
      <c r="ED136" s="421" t="n">
        <f aca="false">-ED84</f>
        <v>0</v>
      </c>
      <c r="EE136" s="421" t="n">
        <f aca="false">-EE84</f>
        <v>0</v>
      </c>
      <c r="EF136" s="421" t="n">
        <f aca="false">-EF84</f>
        <v>0</v>
      </c>
      <c r="EG136" s="421" t="n">
        <f aca="false">-EG84</f>
        <v>0</v>
      </c>
      <c r="EH136" s="421" t="n">
        <f aca="false">-EH84</f>
        <v>0</v>
      </c>
      <c r="EI136" s="472" t="n">
        <f aca="false">-EI84</f>
        <v>0</v>
      </c>
    </row>
    <row r="137" s="514" customFormat="true" ht="13.5" hidden="false" customHeight="true" outlineLevel="0" collapsed="false">
      <c r="A137" s="10"/>
      <c r="B137" s="618" t="s">
        <v>593</v>
      </c>
      <c r="C137" s="613"/>
      <c r="D137" s="610"/>
      <c r="E137" s="610" t="n">
        <f aca="false">SUM(G137:EI137)</f>
        <v>5016332.81486625</v>
      </c>
      <c r="F137" s="17"/>
      <c r="G137" s="610" t="n">
        <f aca="false">-G85</f>
        <v>-0</v>
      </c>
      <c r="H137" s="513" t="n">
        <f aca="false">-H85</f>
        <v>0</v>
      </c>
      <c r="I137" s="421" t="n">
        <f aca="false">-I85</f>
        <v>0</v>
      </c>
      <c r="J137" s="421" t="n">
        <f aca="false">-J85</f>
        <v>0</v>
      </c>
      <c r="K137" s="421" t="n">
        <f aca="false">-K85</f>
        <v>0</v>
      </c>
      <c r="L137" s="421" t="n">
        <f aca="false">-L85</f>
        <v>0</v>
      </c>
      <c r="M137" s="421" t="n">
        <f aca="false">-M85</f>
        <v>0</v>
      </c>
      <c r="N137" s="421" t="n">
        <f aca="false">-N85</f>
        <v>0</v>
      </c>
      <c r="O137" s="421" t="n">
        <f aca="false">-O85</f>
        <v>0</v>
      </c>
      <c r="P137" s="421" t="n">
        <f aca="false">-P85</f>
        <v>0</v>
      </c>
      <c r="Q137" s="421" t="n">
        <f aca="false">-Q85</f>
        <v>0</v>
      </c>
      <c r="R137" s="421" t="n">
        <f aca="false">-R85</f>
        <v>0</v>
      </c>
      <c r="S137" s="421" t="n">
        <f aca="false">-S85</f>
        <v>0</v>
      </c>
      <c r="T137" s="513" t="n">
        <f aca="false">-T85</f>
        <v>0</v>
      </c>
      <c r="U137" s="421" t="n">
        <f aca="false">-U85</f>
        <v>0</v>
      </c>
      <c r="V137" s="421" t="n">
        <f aca="false">-V85</f>
        <v>0</v>
      </c>
      <c r="W137" s="421" t="n">
        <f aca="false">-W85</f>
        <v>0</v>
      </c>
      <c r="X137" s="421" t="n">
        <f aca="false">-X85</f>
        <v>0</v>
      </c>
      <c r="Y137" s="421" t="n">
        <f aca="false">-Y85</f>
        <v>0</v>
      </c>
      <c r="Z137" s="421" t="n">
        <f aca="false">-Z85</f>
        <v>0</v>
      </c>
      <c r="AA137" s="421" t="n">
        <f aca="false">-AA85</f>
        <v>0</v>
      </c>
      <c r="AB137" s="421" t="n">
        <f aca="false">-AB85</f>
        <v>0</v>
      </c>
      <c r="AC137" s="421" t="n">
        <f aca="false">-AC85</f>
        <v>0</v>
      </c>
      <c r="AD137" s="421" t="n">
        <f aca="false">-AD85</f>
        <v>0</v>
      </c>
      <c r="AE137" s="421" t="n">
        <f aca="false">-AE85</f>
        <v>0</v>
      </c>
      <c r="AF137" s="513" t="n">
        <f aca="false">-AF85</f>
        <v>0</v>
      </c>
      <c r="AG137" s="421" t="n">
        <f aca="false">-AG85</f>
        <v>0</v>
      </c>
      <c r="AH137" s="421" t="n">
        <f aca="false">-AH85</f>
        <v>0</v>
      </c>
      <c r="AI137" s="421" t="n">
        <f aca="false">-AI85</f>
        <v>0</v>
      </c>
      <c r="AJ137" s="421" t="n">
        <f aca="false">-AJ85</f>
        <v>0</v>
      </c>
      <c r="AK137" s="421" t="n">
        <f aca="false">-AK85</f>
        <v>0</v>
      </c>
      <c r="AL137" s="421" t="n">
        <f aca="false">-AL85</f>
        <v>0</v>
      </c>
      <c r="AM137" s="421" t="n">
        <f aca="false">-AM85</f>
        <v>0</v>
      </c>
      <c r="AN137" s="421" t="n">
        <f aca="false">-AN85</f>
        <v>0</v>
      </c>
      <c r="AO137" s="421" t="n">
        <f aca="false">-AO85</f>
        <v>0</v>
      </c>
      <c r="AP137" s="421" t="n">
        <f aca="false">-AP85</f>
        <v>0</v>
      </c>
      <c r="AQ137" s="421" t="n">
        <f aca="false">-AQ85</f>
        <v>0</v>
      </c>
      <c r="AR137" s="513" t="n">
        <f aca="false">-AR85</f>
        <v>0</v>
      </c>
      <c r="AS137" s="421" t="n">
        <f aca="false">-AS85</f>
        <v>0</v>
      </c>
      <c r="AT137" s="421" t="n">
        <f aca="false">-AT85</f>
        <v>0</v>
      </c>
      <c r="AU137" s="421" t="n">
        <f aca="false">-AU85</f>
        <v>0</v>
      </c>
      <c r="AV137" s="421" t="n">
        <f aca="false">-AV85</f>
        <v>0</v>
      </c>
      <c r="AW137" s="421" t="n">
        <f aca="false">-AW85</f>
        <v>0</v>
      </c>
      <c r="AX137" s="421" t="n">
        <f aca="false">-AX85</f>
        <v>0</v>
      </c>
      <c r="AY137" s="421" t="n">
        <f aca="false">-AY85</f>
        <v>0</v>
      </c>
      <c r="AZ137" s="421" t="n">
        <f aca="false">-AZ85</f>
        <v>0</v>
      </c>
      <c r="BA137" s="421" t="n">
        <f aca="false">-BA85</f>
        <v>0</v>
      </c>
      <c r="BB137" s="421" t="n">
        <f aca="false">-BB85</f>
        <v>0</v>
      </c>
      <c r="BC137" s="421" t="n">
        <f aca="false">-BC85</f>
        <v>0</v>
      </c>
      <c r="BD137" s="513" t="n">
        <f aca="false">-BD85</f>
        <v>0</v>
      </c>
      <c r="BE137" s="421" t="n">
        <f aca="false">-BE85</f>
        <v>0</v>
      </c>
      <c r="BF137" s="421" t="n">
        <f aca="false">-BF85</f>
        <v>0</v>
      </c>
      <c r="BG137" s="421" t="n">
        <f aca="false">-BG85</f>
        <v>0</v>
      </c>
      <c r="BH137" s="421" t="n">
        <f aca="false">-BH85</f>
        <v>0</v>
      </c>
      <c r="BI137" s="421" t="n">
        <f aca="false">-BI85</f>
        <v>0</v>
      </c>
      <c r="BJ137" s="421" t="n">
        <f aca="false">-BJ85</f>
        <v>0</v>
      </c>
      <c r="BK137" s="421" t="n">
        <f aca="false">-BK85</f>
        <v>0</v>
      </c>
      <c r="BL137" s="421" t="n">
        <f aca="false">-BL85</f>
        <v>0</v>
      </c>
      <c r="BM137" s="421" t="n">
        <f aca="false">-BM85</f>
        <v>0</v>
      </c>
      <c r="BN137" s="421" t="n">
        <f aca="false">-BN85</f>
        <v>0</v>
      </c>
      <c r="BO137" s="421" t="n">
        <f aca="false">-BO85</f>
        <v>5016332.81486625</v>
      </c>
      <c r="BP137" s="513" t="n">
        <f aca="false">-BP85</f>
        <v>0</v>
      </c>
      <c r="BQ137" s="421" t="n">
        <f aca="false">-BQ85</f>
        <v>0</v>
      </c>
      <c r="BR137" s="421" t="n">
        <f aca="false">-BR85</f>
        <v>0</v>
      </c>
      <c r="BS137" s="421" t="n">
        <f aca="false">-BS85</f>
        <v>0</v>
      </c>
      <c r="BT137" s="421" t="n">
        <f aca="false">-BT85</f>
        <v>0</v>
      </c>
      <c r="BU137" s="421" t="n">
        <f aca="false">-BU85</f>
        <v>0</v>
      </c>
      <c r="BV137" s="421" t="n">
        <f aca="false">-BV85</f>
        <v>0</v>
      </c>
      <c r="BW137" s="421" t="n">
        <f aca="false">-BW85</f>
        <v>0</v>
      </c>
      <c r="BX137" s="421" t="n">
        <f aca="false">-BX85</f>
        <v>0</v>
      </c>
      <c r="BY137" s="421" t="n">
        <f aca="false">-BY85</f>
        <v>0</v>
      </c>
      <c r="BZ137" s="421" t="n">
        <f aca="false">-BZ85</f>
        <v>0</v>
      </c>
      <c r="CA137" s="421" t="n">
        <f aca="false">-CA85</f>
        <v>0</v>
      </c>
      <c r="CB137" s="513" t="n">
        <f aca="false">-CB85</f>
        <v>0</v>
      </c>
      <c r="CC137" s="421" t="n">
        <f aca="false">-CC85</f>
        <v>0</v>
      </c>
      <c r="CD137" s="421" t="n">
        <f aca="false">-CD85</f>
        <v>0</v>
      </c>
      <c r="CE137" s="421" t="n">
        <f aca="false">-CE85</f>
        <v>0</v>
      </c>
      <c r="CF137" s="421" t="n">
        <f aca="false">-CF85</f>
        <v>0</v>
      </c>
      <c r="CG137" s="421" t="n">
        <f aca="false">-CG85</f>
        <v>0</v>
      </c>
      <c r="CH137" s="421" t="n">
        <f aca="false">-CH85</f>
        <v>0</v>
      </c>
      <c r="CI137" s="421" t="n">
        <f aca="false">-CI85</f>
        <v>0</v>
      </c>
      <c r="CJ137" s="421" t="n">
        <f aca="false">-CJ85</f>
        <v>0</v>
      </c>
      <c r="CK137" s="421" t="n">
        <f aca="false">-CK85</f>
        <v>0</v>
      </c>
      <c r="CL137" s="421" t="n">
        <f aca="false">-CL85</f>
        <v>0</v>
      </c>
      <c r="CM137" s="421" t="n">
        <f aca="false">-CM85</f>
        <v>0</v>
      </c>
      <c r="CN137" s="513" t="n">
        <f aca="false">-CN85</f>
        <v>0</v>
      </c>
      <c r="CO137" s="421" t="n">
        <f aca="false">-CO85</f>
        <v>0</v>
      </c>
      <c r="CP137" s="421" t="n">
        <f aca="false">-CP85</f>
        <v>0</v>
      </c>
      <c r="CQ137" s="421" t="n">
        <f aca="false">-CQ85</f>
        <v>0</v>
      </c>
      <c r="CR137" s="421" t="n">
        <f aca="false">-CR85</f>
        <v>0</v>
      </c>
      <c r="CS137" s="421" t="n">
        <f aca="false">-CS85</f>
        <v>0</v>
      </c>
      <c r="CT137" s="421" t="n">
        <f aca="false">-CT85</f>
        <v>0</v>
      </c>
      <c r="CU137" s="421" t="n">
        <f aca="false">-CU85</f>
        <v>0</v>
      </c>
      <c r="CV137" s="421" t="n">
        <f aca="false">-CV85</f>
        <v>0</v>
      </c>
      <c r="CW137" s="421" t="n">
        <f aca="false">-CW85</f>
        <v>0</v>
      </c>
      <c r="CX137" s="421" t="n">
        <f aca="false">-CX85</f>
        <v>0</v>
      </c>
      <c r="CY137" s="421" t="n">
        <f aca="false">-CY85</f>
        <v>0</v>
      </c>
      <c r="CZ137" s="513" t="n">
        <f aca="false">-CZ85</f>
        <v>0</v>
      </c>
      <c r="DA137" s="421" t="n">
        <f aca="false">-DA85</f>
        <v>0</v>
      </c>
      <c r="DB137" s="421" t="n">
        <f aca="false">-DB85</f>
        <v>0</v>
      </c>
      <c r="DC137" s="421" t="n">
        <f aca="false">-DC85</f>
        <v>0</v>
      </c>
      <c r="DD137" s="421" t="n">
        <f aca="false">-DD85</f>
        <v>0</v>
      </c>
      <c r="DE137" s="421" t="n">
        <f aca="false">-DE85</f>
        <v>0</v>
      </c>
      <c r="DF137" s="421" t="n">
        <f aca="false">-DF85</f>
        <v>0</v>
      </c>
      <c r="DG137" s="421" t="n">
        <f aca="false">-DG85</f>
        <v>0</v>
      </c>
      <c r="DH137" s="421" t="n">
        <f aca="false">-DH85</f>
        <v>0</v>
      </c>
      <c r="DI137" s="421" t="n">
        <f aca="false">-DI85</f>
        <v>0</v>
      </c>
      <c r="DJ137" s="421" t="n">
        <f aca="false">-DJ85</f>
        <v>0</v>
      </c>
      <c r="DK137" s="421" t="n">
        <f aca="false">-DK85</f>
        <v>0</v>
      </c>
      <c r="DL137" s="513" t="n">
        <f aca="false">-DL85</f>
        <v>0</v>
      </c>
      <c r="DM137" s="421" t="n">
        <f aca="false">-DM85</f>
        <v>0</v>
      </c>
      <c r="DN137" s="421" t="n">
        <f aca="false">-DN85</f>
        <v>0</v>
      </c>
      <c r="DO137" s="421" t="n">
        <f aca="false">-DO85</f>
        <v>0</v>
      </c>
      <c r="DP137" s="421" t="n">
        <f aca="false">-DP85</f>
        <v>0</v>
      </c>
      <c r="DQ137" s="421" t="n">
        <f aca="false">-DQ85</f>
        <v>0</v>
      </c>
      <c r="DR137" s="421" t="n">
        <f aca="false">-DR85</f>
        <v>0</v>
      </c>
      <c r="DS137" s="421" t="n">
        <f aca="false">-DS85</f>
        <v>0</v>
      </c>
      <c r="DT137" s="421" t="n">
        <f aca="false">-DT85</f>
        <v>0</v>
      </c>
      <c r="DU137" s="421" t="n">
        <f aca="false">-DU85</f>
        <v>0</v>
      </c>
      <c r="DV137" s="421" t="n">
        <f aca="false">-DV85</f>
        <v>0</v>
      </c>
      <c r="DW137" s="421" t="n">
        <f aca="false">-DW85</f>
        <v>0</v>
      </c>
      <c r="DX137" s="421" t="n">
        <f aca="false">-DX85</f>
        <v>0</v>
      </c>
      <c r="DY137" s="421" t="n">
        <f aca="false">-DY85</f>
        <v>0</v>
      </c>
      <c r="DZ137" s="421" t="n">
        <f aca="false">-DZ85</f>
        <v>0</v>
      </c>
      <c r="EA137" s="421" t="n">
        <f aca="false">-EA85</f>
        <v>0</v>
      </c>
      <c r="EB137" s="421" t="n">
        <f aca="false">-EB85</f>
        <v>0</v>
      </c>
      <c r="EC137" s="421" t="n">
        <f aca="false">-EC85</f>
        <v>0</v>
      </c>
      <c r="ED137" s="421" t="n">
        <f aca="false">-ED85</f>
        <v>0</v>
      </c>
      <c r="EE137" s="421" t="n">
        <f aca="false">-EE85</f>
        <v>0</v>
      </c>
      <c r="EF137" s="421" t="n">
        <f aca="false">-EF85</f>
        <v>0</v>
      </c>
      <c r="EG137" s="421" t="n">
        <f aca="false">-EG85</f>
        <v>0</v>
      </c>
      <c r="EH137" s="421" t="n">
        <f aca="false">-EH85</f>
        <v>0</v>
      </c>
      <c r="EI137" s="472" t="n">
        <f aca="false">-EI85</f>
        <v>0</v>
      </c>
    </row>
    <row r="138" s="514" customFormat="true" ht="13.5" hidden="false" customHeight="true" outlineLevel="0" collapsed="false">
      <c r="A138" s="10"/>
      <c r="B138" s="16" t="s">
        <v>616</v>
      </c>
      <c r="C138" s="613"/>
      <c r="D138" s="610"/>
      <c r="E138" s="610"/>
      <c r="F138" s="17"/>
      <c r="G138" s="610"/>
      <c r="H138" s="513"/>
      <c r="I138" s="421"/>
      <c r="J138" s="421"/>
      <c r="K138" s="421"/>
      <c r="L138" s="421"/>
      <c r="M138" s="421"/>
      <c r="N138" s="421"/>
      <c r="O138" s="421"/>
      <c r="P138" s="421"/>
      <c r="Q138" s="421"/>
      <c r="R138" s="421"/>
      <c r="S138" s="421"/>
      <c r="T138" s="513"/>
      <c r="U138" s="421"/>
      <c r="V138" s="421"/>
      <c r="W138" s="421"/>
      <c r="X138" s="421"/>
      <c r="Y138" s="421"/>
      <c r="Z138" s="421"/>
      <c r="AA138" s="421"/>
      <c r="AB138" s="421"/>
      <c r="AC138" s="421"/>
      <c r="AD138" s="421"/>
      <c r="AE138" s="421"/>
      <c r="AF138" s="513"/>
      <c r="AG138" s="421"/>
      <c r="AH138" s="421"/>
      <c r="AI138" s="421"/>
      <c r="AJ138" s="421"/>
      <c r="AK138" s="421"/>
      <c r="AL138" s="421"/>
      <c r="AM138" s="421"/>
      <c r="AN138" s="421"/>
      <c r="AO138" s="421"/>
      <c r="AP138" s="421"/>
      <c r="AQ138" s="421"/>
      <c r="AR138" s="513"/>
      <c r="AS138" s="421"/>
      <c r="AT138" s="421"/>
      <c r="AU138" s="421"/>
      <c r="AV138" s="421"/>
      <c r="AW138" s="421"/>
      <c r="AX138" s="421"/>
      <c r="AY138" s="421"/>
      <c r="AZ138" s="421"/>
      <c r="BA138" s="421"/>
      <c r="BB138" s="421"/>
      <c r="BC138" s="421"/>
      <c r="BD138" s="513"/>
      <c r="BE138" s="421"/>
      <c r="BF138" s="421"/>
      <c r="BG138" s="421"/>
      <c r="BH138" s="421"/>
      <c r="BI138" s="421"/>
      <c r="BJ138" s="421"/>
      <c r="BK138" s="421"/>
      <c r="BL138" s="421"/>
      <c r="BM138" s="421"/>
      <c r="BN138" s="421"/>
      <c r="BO138" s="421"/>
      <c r="BP138" s="513"/>
      <c r="BQ138" s="421"/>
      <c r="BR138" s="421"/>
      <c r="BS138" s="421"/>
      <c r="BT138" s="421"/>
      <c r="BU138" s="421"/>
      <c r="BV138" s="421"/>
      <c r="BW138" s="421"/>
      <c r="BX138" s="421"/>
      <c r="BY138" s="421"/>
      <c r="BZ138" s="421"/>
      <c r="CA138" s="421"/>
      <c r="CB138" s="513"/>
      <c r="CC138" s="421"/>
      <c r="CD138" s="421"/>
      <c r="CE138" s="421"/>
      <c r="CF138" s="421"/>
      <c r="CG138" s="421"/>
      <c r="CH138" s="421"/>
      <c r="CI138" s="421"/>
      <c r="CJ138" s="421"/>
      <c r="CK138" s="421"/>
      <c r="CL138" s="421"/>
      <c r="CM138" s="421"/>
      <c r="CN138" s="513"/>
      <c r="CO138" s="421"/>
      <c r="CP138" s="421"/>
      <c r="CQ138" s="421"/>
      <c r="CR138" s="421"/>
      <c r="CS138" s="421"/>
      <c r="CT138" s="421"/>
      <c r="CU138" s="421"/>
      <c r="CV138" s="421"/>
      <c r="CW138" s="421"/>
      <c r="CX138" s="421"/>
      <c r="CY138" s="421"/>
      <c r="CZ138" s="513"/>
      <c r="DA138" s="421"/>
      <c r="DB138" s="421"/>
      <c r="DC138" s="421"/>
      <c r="DD138" s="421"/>
      <c r="DE138" s="421"/>
      <c r="DF138" s="421"/>
      <c r="DG138" s="421"/>
      <c r="DH138" s="421"/>
      <c r="DI138" s="421"/>
      <c r="DJ138" s="421"/>
      <c r="DK138" s="421"/>
      <c r="DL138" s="513"/>
      <c r="DM138" s="421"/>
      <c r="DN138" s="421"/>
      <c r="DO138" s="421"/>
      <c r="DP138" s="421"/>
      <c r="DQ138" s="421"/>
      <c r="DR138" s="421"/>
      <c r="DS138" s="421"/>
      <c r="DT138" s="421"/>
      <c r="DU138" s="421"/>
      <c r="DV138" s="421"/>
      <c r="DW138" s="421"/>
      <c r="DX138" s="421"/>
      <c r="DY138" s="421"/>
      <c r="DZ138" s="421"/>
      <c r="EA138" s="421"/>
      <c r="EB138" s="421"/>
      <c r="EC138" s="421"/>
      <c r="ED138" s="421"/>
      <c r="EE138" s="421"/>
      <c r="EF138" s="421"/>
      <c r="EG138" s="421"/>
      <c r="EH138" s="421"/>
      <c r="EI138" s="472"/>
    </row>
    <row r="139" s="514" customFormat="true" ht="13.5" hidden="false" customHeight="true" outlineLevel="0" collapsed="false">
      <c r="A139" s="10"/>
      <c r="B139" s="623" t="s">
        <v>135</v>
      </c>
      <c r="C139" s="624" t="n">
        <f aca="false">'Executive Summary'!L25</f>
        <v>0.015</v>
      </c>
      <c r="D139" s="617"/>
      <c r="E139" s="617" t="n">
        <f aca="false">SUM(G139:EI139)</f>
        <v>0</v>
      </c>
      <c r="F139" s="10"/>
      <c r="G139" s="617" t="n">
        <f aca="false">$C$139*G118</f>
        <v>0</v>
      </c>
      <c r="H139" s="559" t="n">
        <f aca="false">$C$139*H118</f>
        <v>0</v>
      </c>
      <c r="I139" s="522" t="n">
        <f aca="false">$C$139*I118</f>
        <v>0</v>
      </c>
      <c r="J139" s="522" t="n">
        <f aca="false">$C$139*J118</f>
        <v>0</v>
      </c>
      <c r="K139" s="522" t="n">
        <f aca="false">$C$139*K118</f>
        <v>0</v>
      </c>
      <c r="L139" s="522" t="n">
        <f aca="false">$C$139*L118</f>
        <v>0</v>
      </c>
      <c r="M139" s="522" t="n">
        <f aca="false">$C$139*M118</f>
        <v>0</v>
      </c>
      <c r="N139" s="522" t="n">
        <f aca="false">$C$139*N118</f>
        <v>0</v>
      </c>
      <c r="O139" s="522" t="n">
        <f aca="false">$C$139*O118</f>
        <v>0</v>
      </c>
      <c r="P139" s="522" t="n">
        <f aca="false">$C$139*P118</f>
        <v>0</v>
      </c>
      <c r="Q139" s="522" t="n">
        <f aca="false">$C$139*Q118</f>
        <v>0</v>
      </c>
      <c r="R139" s="522" t="n">
        <f aca="false">$C$139*R118</f>
        <v>0</v>
      </c>
      <c r="S139" s="522" t="n">
        <f aca="false">$C$139*S118</f>
        <v>0</v>
      </c>
      <c r="T139" s="559" t="n">
        <f aca="false">$C$139*T118</f>
        <v>0</v>
      </c>
      <c r="U139" s="522" t="n">
        <f aca="false">$C$139*U118</f>
        <v>0</v>
      </c>
      <c r="V139" s="522" t="n">
        <f aca="false">$C$139*V118</f>
        <v>0</v>
      </c>
      <c r="W139" s="522" t="n">
        <f aca="false">$C$139*W118</f>
        <v>0</v>
      </c>
      <c r="X139" s="522" t="n">
        <f aca="false">$C$139*X118</f>
        <v>0</v>
      </c>
      <c r="Y139" s="522" t="n">
        <f aca="false">$C$139*Y118</f>
        <v>0</v>
      </c>
      <c r="Z139" s="522" t="n">
        <f aca="false">$C$139*Z118</f>
        <v>0</v>
      </c>
      <c r="AA139" s="522" t="n">
        <f aca="false">$C$139*AA118</f>
        <v>0</v>
      </c>
      <c r="AB139" s="522" t="n">
        <f aca="false">$C$139*AB118</f>
        <v>0</v>
      </c>
      <c r="AC139" s="522" t="n">
        <f aca="false">$C$139*AC118</f>
        <v>0</v>
      </c>
      <c r="AD139" s="522" t="n">
        <f aca="false">$C$139*AD118</f>
        <v>0</v>
      </c>
      <c r="AE139" s="522" t="n">
        <f aca="false">$C$139*AE118</f>
        <v>0</v>
      </c>
      <c r="AF139" s="559" t="n">
        <f aca="false">$C$139*AF118</f>
        <v>0</v>
      </c>
      <c r="AG139" s="522" t="n">
        <f aca="false">$C$139*AG118</f>
        <v>0</v>
      </c>
      <c r="AH139" s="522" t="n">
        <f aca="false">$C$139*AH118</f>
        <v>0</v>
      </c>
      <c r="AI139" s="522" t="n">
        <f aca="false">$C$139*AI118</f>
        <v>0</v>
      </c>
      <c r="AJ139" s="522" t="n">
        <f aca="false">$C$139*AJ118</f>
        <v>0</v>
      </c>
      <c r="AK139" s="522" t="n">
        <f aca="false">$C$139*AK118</f>
        <v>0</v>
      </c>
      <c r="AL139" s="522" t="n">
        <f aca="false">$C$139*AL118</f>
        <v>0</v>
      </c>
      <c r="AM139" s="522" t="n">
        <f aca="false">$C$139*AM118</f>
        <v>0</v>
      </c>
      <c r="AN139" s="522" t="n">
        <f aca="false">$C$139*AN118</f>
        <v>0</v>
      </c>
      <c r="AO139" s="522" t="n">
        <f aca="false">$C$139*AO118</f>
        <v>0</v>
      </c>
      <c r="AP139" s="522" t="n">
        <f aca="false">$C$139*AP118</f>
        <v>0</v>
      </c>
      <c r="AQ139" s="522" t="n">
        <f aca="false">$C$139*AQ118</f>
        <v>0</v>
      </c>
      <c r="AR139" s="559" t="n">
        <f aca="false">$C$139*AR118</f>
        <v>0</v>
      </c>
      <c r="AS139" s="522" t="n">
        <f aca="false">$C$139*AS118</f>
        <v>0</v>
      </c>
      <c r="AT139" s="522" t="n">
        <f aca="false">$C$139*AT118</f>
        <v>0</v>
      </c>
      <c r="AU139" s="522" t="n">
        <f aca="false">$C$139*AU118</f>
        <v>0</v>
      </c>
      <c r="AV139" s="522" t="n">
        <f aca="false">$C$139*AV118</f>
        <v>0</v>
      </c>
      <c r="AW139" s="522" t="n">
        <f aca="false">$C$139*AW118</f>
        <v>0</v>
      </c>
      <c r="AX139" s="522" t="n">
        <f aca="false">$C$139*AX118</f>
        <v>0</v>
      </c>
      <c r="AY139" s="522" t="n">
        <f aca="false">$C$139*AY118</f>
        <v>0</v>
      </c>
      <c r="AZ139" s="522" t="n">
        <f aca="false">$C$139*AZ118</f>
        <v>0</v>
      </c>
      <c r="BA139" s="522" t="n">
        <f aca="false">$C$139*BA118</f>
        <v>0</v>
      </c>
      <c r="BB139" s="522" t="n">
        <f aca="false">$C$139*BB118</f>
        <v>0</v>
      </c>
      <c r="BC139" s="522" t="n">
        <f aca="false">$C$139*BC118</f>
        <v>0</v>
      </c>
      <c r="BD139" s="559" t="n">
        <f aca="false">$C$139*BD118</f>
        <v>0</v>
      </c>
      <c r="BE139" s="522" t="n">
        <f aca="false">$C$139*BE118</f>
        <v>0</v>
      </c>
      <c r="BF139" s="522" t="n">
        <f aca="false">$C$139*BF118</f>
        <v>0</v>
      </c>
      <c r="BG139" s="522" t="n">
        <f aca="false">$C$139*BG118</f>
        <v>0</v>
      </c>
      <c r="BH139" s="522" t="n">
        <f aca="false">$C$139*BH118</f>
        <v>0</v>
      </c>
      <c r="BI139" s="522" t="n">
        <f aca="false">$C$139*BI118</f>
        <v>0</v>
      </c>
      <c r="BJ139" s="522" t="n">
        <f aca="false">$C$139*BJ118</f>
        <v>0</v>
      </c>
      <c r="BK139" s="522" t="n">
        <f aca="false">$C$139*BK118</f>
        <v>0</v>
      </c>
      <c r="BL139" s="522" t="n">
        <f aca="false">$C$139*BL118</f>
        <v>0</v>
      </c>
      <c r="BM139" s="522" t="n">
        <f aca="false">$C$139*BM118</f>
        <v>0</v>
      </c>
      <c r="BN139" s="522" t="n">
        <f aca="false">$C$139*BN118</f>
        <v>0</v>
      </c>
      <c r="BO139" s="522" t="n">
        <f aca="false">$C$139*BO118</f>
        <v>0</v>
      </c>
      <c r="BP139" s="559" t="n">
        <f aca="false">$C$139*BP118</f>
        <v>0</v>
      </c>
      <c r="BQ139" s="522" t="n">
        <f aca="false">$C$139*BQ118</f>
        <v>0</v>
      </c>
      <c r="BR139" s="522" t="n">
        <f aca="false">$C$139*BR118</f>
        <v>0</v>
      </c>
      <c r="BS139" s="522" t="n">
        <f aca="false">$C$139*BS118</f>
        <v>0</v>
      </c>
      <c r="BT139" s="522" t="n">
        <f aca="false">$C$139*BT118</f>
        <v>0</v>
      </c>
      <c r="BU139" s="522" t="n">
        <f aca="false">$C$139*BU118</f>
        <v>0</v>
      </c>
      <c r="BV139" s="522" t="n">
        <f aca="false">$C$139*BV118</f>
        <v>0</v>
      </c>
      <c r="BW139" s="522" t="n">
        <f aca="false">$C$139*BW118</f>
        <v>0</v>
      </c>
      <c r="BX139" s="522" t="n">
        <f aca="false">$C$139*BX118</f>
        <v>0</v>
      </c>
      <c r="BY139" s="522" t="n">
        <f aca="false">$C$139*BY118</f>
        <v>0</v>
      </c>
      <c r="BZ139" s="522" t="n">
        <f aca="false">$C$139*BZ118</f>
        <v>0</v>
      </c>
      <c r="CA139" s="522" t="n">
        <f aca="false">$C$139*CA118</f>
        <v>0</v>
      </c>
      <c r="CB139" s="559" t="n">
        <f aca="false">$C$139*CB118</f>
        <v>0</v>
      </c>
      <c r="CC139" s="522" t="n">
        <f aca="false">$C$139*CC118</f>
        <v>0</v>
      </c>
      <c r="CD139" s="522" t="n">
        <f aca="false">$C$139*CD118</f>
        <v>0</v>
      </c>
      <c r="CE139" s="522" t="n">
        <f aca="false">$C$139*CE118</f>
        <v>0</v>
      </c>
      <c r="CF139" s="522" t="n">
        <f aca="false">$C$139*CF118</f>
        <v>0</v>
      </c>
      <c r="CG139" s="522" t="n">
        <f aca="false">$C$139*CG118</f>
        <v>0</v>
      </c>
      <c r="CH139" s="522" t="n">
        <f aca="false">$C$139*CH118</f>
        <v>0</v>
      </c>
      <c r="CI139" s="522" t="n">
        <f aca="false">$C$139*CI118</f>
        <v>0</v>
      </c>
      <c r="CJ139" s="522" t="n">
        <f aca="false">$C$139*CJ118</f>
        <v>0</v>
      </c>
      <c r="CK139" s="522" t="n">
        <f aca="false">$C$139*CK118</f>
        <v>0</v>
      </c>
      <c r="CL139" s="522" t="n">
        <f aca="false">$C$139*CL118</f>
        <v>0</v>
      </c>
      <c r="CM139" s="522" t="n">
        <f aca="false">$C$139*CM118</f>
        <v>0</v>
      </c>
      <c r="CN139" s="559" t="n">
        <f aca="false">$C$139*CN118</f>
        <v>0</v>
      </c>
      <c r="CO139" s="522" t="n">
        <f aca="false">$C$139*CO118</f>
        <v>0</v>
      </c>
      <c r="CP139" s="522" t="n">
        <f aca="false">$C$139*CP118</f>
        <v>0</v>
      </c>
      <c r="CQ139" s="522" t="n">
        <f aca="false">$C$139*CQ118</f>
        <v>0</v>
      </c>
      <c r="CR139" s="522" t="n">
        <f aca="false">$C$139*CR118</f>
        <v>0</v>
      </c>
      <c r="CS139" s="522" t="n">
        <f aca="false">$C$139*CS118</f>
        <v>0</v>
      </c>
      <c r="CT139" s="522" t="n">
        <f aca="false">$C$139*CT118</f>
        <v>0</v>
      </c>
      <c r="CU139" s="522" t="n">
        <f aca="false">$C$139*CU118</f>
        <v>0</v>
      </c>
      <c r="CV139" s="522" t="n">
        <f aca="false">$C$139*CV118</f>
        <v>0</v>
      </c>
      <c r="CW139" s="522" t="n">
        <f aca="false">$C$139*CW118</f>
        <v>0</v>
      </c>
      <c r="CX139" s="522" t="n">
        <f aca="false">$C$139*CX118</f>
        <v>0</v>
      </c>
      <c r="CY139" s="522" t="n">
        <f aca="false">$C$139*CY118</f>
        <v>0</v>
      </c>
      <c r="CZ139" s="559" t="n">
        <f aca="false">$C$139*CZ118</f>
        <v>0</v>
      </c>
      <c r="DA139" s="522" t="n">
        <f aca="false">$C$139*DA118</f>
        <v>0</v>
      </c>
      <c r="DB139" s="522" t="n">
        <f aca="false">$C$139*DB118</f>
        <v>0</v>
      </c>
      <c r="DC139" s="522" t="n">
        <f aca="false">$C$139*DC118</f>
        <v>0</v>
      </c>
      <c r="DD139" s="522" t="n">
        <f aca="false">$C$139*DD118</f>
        <v>0</v>
      </c>
      <c r="DE139" s="522" t="n">
        <f aca="false">$C$139*DE118</f>
        <v>0</v>
      </c>
      <c r="DF139" s="522" t="n">
        <f aca="false">$C$139*DF118</f>
        <v>0</v>
      </c>
      <c r="DG139" s="522" t="n">
        <f aca="false">$C$139*DG118</f>
        <v>0</v>
      </c>
      <c r="DH139" s="522" t="n">
        <f aca="false">$C$139*DH118</f>
        <v>0</v>
      </c>
      <c r="DI139" s="522" t="n">
        <f aca="false">$C$139*DI118</f>
        <v>0</v>
      </c>
      <c r="DJ139" s="522" t="n">
        <f aca="false">$C$139*DJ118</f>
        <v>0</v>
      </c>
      <c r="DK139" s="522" t="n">
        <f aca="false">$C$139*DK118</f>
        <v>0</v>
      </c>
      <c r="DL139" s="559" t="n">
        <f aca="false">$C$139*DL118</f>
        <v>0</v>
      </c>
      <c r="DM139" s="522" t="n">
        <f aca="false">$C$139*DM118</f>
        <v>0</v>
      </c>
      <c r="DN139" s="522" t="n">
        <f aca="false">$C$139*DN118</f>
        <v>0</v>
      </c>
      <c r="DO139" s="522" t="n">
        <f aca="false">$C$139*DO118</f>
        <v>0</v>
      </c>
      <c r="DP139" s="522" t="n">
        <f aca="false">$C$139*DP118</f>
        <v>0</v>
      </c>
      <c r="DQ139" s="522" t="n">
        <f aca="false">$C$139*DQ118</f>
        <v>0</v>
      </c>
      <c r="DR139" s="522" t="n">
        <f aca="false">$C$139*DR118</f>
        <v>0</v>
      </c>
      <c r="DS139" s="522" t="n">
        <f aca="false">$C$139*DS118</f>
        <v>0</v>
      </c>
      <c r="DT139" s="522" t="n">
        <f aca="false">$C$139*DT118</f>
        <v>0</v>
      </c>
      <c r="DU139" s="522" t="n">
        <f aca="false">$C$139*DU118</f>
        <v>0</v>
      </c>
      <c r="DV139" s="522" t="n">
        <f aca="false">$C$139*DV118</f>
        <v>0</v>
      </c>
      <c r="DW139" s="522" t="n">
        <f aca="false">$C$139*DW118</f>
        <v>0</v>
      </c>
      <c r="DX139" s="522" t="n">
        <f aca="false">$C$139*DX118</f>
        <v>0</v>
      </c>
      <c r="DY139" s="522" t="n">
        <f aca="false">$C$139*DY118</f>
        <v>0</v>
      </c>
      <c r="DZ139" s="522" t="n">
        <f aca="false">$C$139*DZ118</f>
        <v>0</v>
      </c>
      <c r="EA139" s="522" t="n">
        <f aca="false">$C$139*EA118</f>
        <v>0</v>
      </c>
      <c r="EB139" s="522" t="n">
        <f aca="false">$C$139*EB118</f>
        <v>0</v>
      </c>
      <c r="EC139" s="522" t="n">
        <f aca="false">$C$139*EC118</f>
        <v>0</v>
      </c>
      <c r="ED139" s="522" t="n">
        <f aca="false">$C$139*ED118</f>
        <v>0</v>
      </c>
      <c r="EE139" s="522" t="n">
        <f aca="false">$C$139*EE118</f>
        <v>0</v>
      </c>
      <c r="EF139" s="522" t="n">
        <f aca="false">$C$139*EF118</f>
        <v>0</v>
      </c>
      <c r="EG139" s="522" t="n">
        <f aca="false">$C$139*EG118</f>
        <v>0</v>
      </c>
      <c r="EH139" s="522" t="n">
        <f aca="false">$C$139*EH118</f>
        <v>0</v>
      </c>
      <c r="EI139" s="558" t="n">
        <f aca="false">$C$139*EI118</f>
        <v>0</v>
      </c>
    </row>
    <row r="140" s="514" customFormat="true" ht="13.5" hidden="false" customHeight="true" outlineLevel="0" collapsed="false">
      <c r="A140" s="10"/>
      <c r="B140" s="618" t="s">
        <v>583</v>
      </c>
      <c r="C140" s="613"/>
      <c r="D140" s="610"/>
      <c r="E140" s="610" t="n">
        <f aca="false">SUM(G140:EI140)</f>
        <v>0</v>
      </c>
      <c r="F140" s="17"/>
      <c r="G140" s="610" t="n">
        <f aca="false">-G97</f>
        <v>-0</v>
      </c>
      <c r="H140" s="513" t="n">
        <f aca="false">-H97</f>
        <v>-0</v>
      </c>
      <c r="I140" s="421" t="n">
        <f aca="false">-I97</f>
        <v>-0</v>
      </c>
      <c r="J140" s="421" t="n">
        <f aca="false">-J97</f>
        <v>-0</v>
      </c>
      <c r="K140" s="421" t="n">
        <f aca="false">-K97</f>
        <v>-0</v>
      </c>
      <c r="L140" s="421" t="n">
        <f aca="false">-L97</f>
        <v>-0</v>
      </c>
      <c r="M140" s="421" t="n">
        <f aca="false">-M97</f>
        <v>-0</v>
      </c>
      <c r="N140" s="421" t="n">
        <f aca="false">-N97</f>
        <v>-0</v>
      </c>
      <c r="O140" s="421" t="n">
        <f aca="false">-O97</f>
        <v>-0</v>
      </c>
      <c r="P140" s="421" t="n">
        <f aca="false">-P97</f>
        <v>-0</v>
      </c>
      <c r="Q140" s="421" t="n">
        <f aca="false">-Q97</f>
        <v>-0</v>
      </c>
      <c r="R140" s="421" t="n">
        <f aca="false">-R97</f>
        <v>-0</v>
      </c>
      <c r="S140" s="421" t="n">
        <f aca="false">-S97</f>
        <v>-0</v>
      </c>
      <c r="T140" s="513" t="n">
        <f aca="false">-T97</f>
        <v>-0</v>
      </c>
      <c r="U140" s="421" t="n">
        <f aca="false">-U97</f>
        <v>-0</v>
      </c>
      <c r="V140" s="421" t="n">
        <f aca="false">-V97</f>
        <v>-0</v>
      </c>
      <c r="W140" s="421" t="n">
        <f aca="false">-W97</f>
        <v>-0</v>
      </c>
      <c r="X140" s="421" t="n">
        <f aca="false">-X97</f>
        <v>-0</v>
      </c>
      <c r="Y140" s="421" t="n">
        <f aca="false">-Y97</f>
        <v>-0</v>
      </c>
      <c r="Z140" s="421" t="n">
        <f aca="false">-Z97</f>
        <v>-0</v>
      </c>
      <c r="AA140" s="421" t="n">
        <f aca="false">-AA97</f>
        <v>-0</v>
      </c>
      <c r="AB140" s="421" t="n">
        <f aca="false">-AB97</f>
        <v>-0</v>
      </c>
      <c r="AC140" s="421" t="n">
        <f aca="false">-AC97</f>
        <v>-0</v>
      </c>
      <c r="AD140" s="421" t="n">
        <f aca="false">-AD97</f>
        <v>-0</v>
      </c>
      <c r="AE140" s="421" t="n">
        <f aca="false">-AE97</f>
        <v>-0</v>
      </c>
      <c r="AF140" s="513" t="n">
        <f aca="false">-AF97</f>
        <v>-0</v>
      </c>
      <c r="AG140" s="421" t="n">
        <f aca="false">-AG97</f>
        <v>-0</v>
      </c>
      <c r="AH140" s="421" t="n">
        <f aca="false">-AH97</f>
        <v>-0</v>
      </c>
      <c r="AI140" s="421" t="n">
        <f aca="false">-AI97</f>
        <v>-0</v>
      </c>
      <c r="AJ140" s="421" t="n">
        <f aca="false">-AJ97</f>
        <v>-0</v>
      </c>
      <c r="AK140" s="421" t="n">
        <f aca="false">-AK97</f>
        <v>-0</v>
      </c>
      <c r="AL140" s="421" t="n">
        <f aca="false">-AL97</f>
        <v>-0</v>
      </c>
      <c r="AM140" s="421" t="n">
        <f aca="false">-AM97</f>
        <v>-0</v>
      </c>
      <c r="AN140" s="421" t="n">
        <f aca="false">-AN97</f>
        <v>-0</v>
      </c>
      <c r="AO140" s="421" t="n">
        <f aca="false">-AO97</f>
        <v>-0</v>
      </c>
      <c r="AP140" s="421" t="n">
        <f aca="false">-AP97</f>
        <v>-0</v>
      </c>
      <c r="AQ140" s="421" t="n">
        <f aca="false">-AQ97</f>
        <v>-0</v>
      </c>
      <c r="AR140" s="513" t="n">
        <f aca="false">-AR97</f>
        <v>-0</v>
      </c>
      <c r="AS140" s="421" t="n">
        <f aca="false">-AS97</f>
        <v>-0</v>
      </c>
      <c r="AT140" s="421" t="n">
        <f aca="false">-AT97</f>
        <v>-0</v>
      </c>
      <c r="AU140" s="421" t="n">
        <f aca="false">-AU97</f>
        <v>-0</v>
      </c>
      <c r="AV140" s="421" t="n">
        <f aca="false">-AV97</f>
        <v>-0</v>
      </c>
      <c r="AW140" s="421" t="n">
        <f aca="false">-AW97</f>
        <v>-0</v>
      </c>
      <c r="AX140" s="421" t="n">
        <f aca="false">-AX97</f>
        <v>-0</v>
      </c>
      <c r="AY140" s="421" t="n">
        <f aca="false">-AY97</f>
        <v>-0</v>
      </c>
      <c r="AZ140" s="421" t="n">
        <f aca="false">-AZ97</f>
        <v>-0</v>
      </c>
      <c r="BA140" s="421" t="n">
        <f aca="false">-BA97</f>
        <v>-0</v>
      </c>
      <c r="BB140" s="421" t="n">
        <f aca="false">-BB97</f>
        <v>-0</v>
      </c>
      <c r="BC140" s="421" t="n">
        <f aca="false">-BC97</f>
        <v>-0</v>
      </c>
      <c r="BD140" s="513" t="n">
        <f aca="false">-BD97</f>
        <v>-0</v>
      </c>
      <c r="BE140" s="421" t="n">
        <f aca="false">-BE97</f>
        <v>-0</v>
      </c>
      <c r="BF140" s="421" t="n">
        <f aca="false">-BF97</f>
        <v>-0</v>
      </c>
      <c r="BG140" s="421" t="n">
        <f aca="false">-BG97</f>
        <v>-0</v>
      </c>
      <c r="BH140" s="421" t="n">
        <f aca="false">-BH97</f>
        <v>-0</v>
      </c>
      <c r="BI140" s="421" t="n">
        <f aca="false">-BI97</f>
        <v>-0</v>
      </c>
      <c r="BJ140" s="421" t="n">
        <f aca="false">-BJ97</f>
        <v>-0</v>
      </c>
      <c r="BK140" s="421" t="n">
        <f aca="false">-BK97</f>
        <v>-0</v>
      </c>
      <c r="BL140" s="421" t="n">
        <f aca="false">-BL97</f>
        <v>-0</v>
      </c>
      <c r="BM140" s="421" t="n">
        <f aca="false">-BM97</f>
        <v>-0</v>
      </c>
      <c r="BN140" s="421" t="n">
        <f aca="false">-BN97</f>
        <v>-0</v>
      </c>
      <c r="BO140" s="421" t="n">
        <f aca="false">-BO97</f>
        <v>-0</v>
      </c>
      <c r="BP140" s="513" t="n">
        <f aca="false">-BP97</f>
        <v>-0</v>
      </c>
      <c r="BQ140" s="421" t="n">
        <f aca="false">-BQ97</f>
        <v>-0</v>
      </c>
      <c r="BR140" s="421" t="n">
        <f aca="false">-BR97</f>
        <v>-0</v>
      </c>
      <c r="BS140" s="421" t="n">
        <f aca="false">-BS97</f>
        <v>-0</v>
      </c>
      <c r="BT140" s="421" t="n">
        <f aca="false">-BT97</f>
        <v>-0</v>
      </c>
      <c r="BU140" s="421" t="n">
        <f aca="false">-BU97</f>
        <v>-0</v>
      </c>
      <c r="BV140" s="421" t="n">
        <f aca="false">-BV97</f>
        <v>-0</v>
      </c>
      <c r="BW140" s="421" t="n">
        <f aca="false">-BW97</f>
        <v>-0</v>
      </c>
      <c r="BX140" s="421" t="n">
        <f aca="false">-BX97</f>
        <v>-0</v>
      </c>
      <c r="BY140" s="421" t="n">
        <f aca="false">-BY97</f>
        <v>-0</v>
      </c>
      <c r="BZ140" s="421" t="n">
        <f aca="false">-BZ97</f>
        <v>-0</v>
      </c>
      <c r="CA140" s="421" t="n">
        <f aca="false">-CA97</f>
        <v>-0</v>
      </c>
      <c r="CB140" s="513" t="n">
        <f aca="false">-CB97</f>
        <v>-0</v>
      </c>
      <c r="CC140" s="421" t="n">
        <f aca="false">-CC97</f>
        <v>-0</v>
      </c>
      <c r="CD140" s="421" t="n">
        <f aca="false">-CD97</f>
        <v>-0</v>
      </c>
      <c r="CE140" s="421" t="n">
        <f aca="false">-CE97</f>
        <v>-0</v>
      </c>
      <c r="CF140" s="421" t="n">
        <f aca="false">-CF97</f>
        <v>-0</v>
      </c>
      <c r="CG140" s="421" t="n">
        <f aca="false">-CG97</f>
        <v>-0</v>
      </c>
      <c r="CH140" s="421" t="n">
        <f aca="false">-CH97</f>
        <v>-0</v>
      </c>
      <c r="CI140" s="421" t="n">
        <f aca="false">-CI97</f>
        <v>-0</v>
      </c>
      <c r="CJ140" s="421" t="n">
        <f aca="false">-CJ97</f>
        <v>-0</v>
      </c>
      <c r="CK140" s="421" t="n">
        <f aca="false">-CK97</f>
        <v>-0</v>
      </c>
      <c r="CL140" s="421" t="n">
        <f aca="false">-CL97</f>
        <v>-0</v>
      </c>
      <c r="CM140" s="421" t="n">
        <f aca="false">-CM97</f>
        <v>-0</v>
      </c>
      <c r="CN140" s="513" t="n">
        <f aca="false">-CN97</f>
        <v>-0</v>
      </c>
      <c r="CO140" s="421" t="n">
        <f aca="false">-CO97</f>
        <v>-0</v>
      </c>
      <c r="CP140" s="421" t="n">
        <f aca="false">-CP97</f>
        <v>-0</v>
      </c>
      <c r="CQ140" s="421" t="n">
        <f aca="false">-CQ97</f>
        <v>-0</v>
      </c>
      <c r="CR140" s="421" t="n">
        <f aca="false">-CR97</f>
        <v>-0</v>
      </c>
      <c r="CS140" s="421" t="n">
        <f aca="false">-CS97</f>
        <v>-0</v>
      </c>
      <c r="CT140" s="421" t="n">
        <f aca="false">-CT97</f>
        <v>-0</v>
      </c>
      <c r="CU140" s="421" t="n">
        <f aca="false">-CU97</f>
        <v>-0</v>
      </c>
      <c r="CV140" s="421" t="n">
        <f aca="false">-CV97</f>
        <v>-0</v>
      </c>
      <c r="CW140" s="421" t="n">
        <f aca="false">-CW97</f>
        <v>-0</v>
      </c>
      <c r="CX140" s="421" t="n">
        <f aca="false">-CX97</f>
        <v>-0</v>
      </c>
      <c r="CY140" s="421" t="n">
        <f aca="false">-CY97</f>
        <v>-0</v>
      </c>
      <c r="CZ140" s="513" t="n">
        <f aca="false">-CZ97</f>
        <v>-0</v>
      </c>
      <c r="DA140" s="421" t="n">
        <f aca="false">-DA97</f>
        <v>-0</v>
      </c>
      <c r="DB140" s="421" t="n">
        <f aca="false">-DB97</f>
        <v>-0</v>
      </c>
      <c r="DC140" s="421" t="n">
        <f aca="false">-DC97</f>
        <v>-0</v>
      </c>
      <c r="DD140" s="421" t="n">
        <f aca="false">-DD97</f>
        <v>-0</v>
      </c>
      <c r="DE140" s="421" t="n">
        <f aca="false">-DE97</f>
        <v>-0</v>
      </c>
      <c r="DF140" s="421" t="n">
        <f aca="false">-DF97</f>
        <v>-0</v>
      </c>
      <c r="DG140" s="421" t="n">
        <f aca="false">-DG97</f>
        <v>-0</v>
      </c>
      <c r="DH140" s="421" t="n">
        <f aca="false">-DH97</f>
        <v>-0</v>
      </c>
      <c r="DI140" s="421" t="n">
        <f aca="false">-DI97</f>
        <v>-0</v>
      </c>
      <c r="DJ140" s="421" t="n">
        <f aca="false">-DJ97</f>
        <v>-0</v>
      </c>
      <c r="DK140" s="421" t="n">
        <f aca="false">-DK97</f>
        <v>-0</v>
      </c>
      <c r="DL140" s="513" t="n">
        <f aca="false">-DL97</f>
        <v>-0</v>
      </c>
      <c r="DM140" s="421" t="n">
        <f aca="false">-DM97</f>
        <v>-0</v>
      </c>
      <c r="DN140" s="421" t="n">
        <f aca="false">-DN97</f>
        <v>-0</v>
      </c>
      <c r="DO140" s="421" t="n">
        <f aca="false">-DO97</f>
        <v>-0</v>
      </c>
      <c r="DP140" s="421" t="n">
        <f aca="false">-DP97</f>
        <v>-0</v>
      </c>
      <c r="DQ140" s="421" t="n">
        <f aca="false">-DQ97</f>
        <v>-0</v>
      </c>
      <c r="DR140" s="421" t="n">
        <f aca="false">-DR97</f>
        <v>-0</v>
      </c>
      <c r="DS140" s="421" t="n">
        <f aca="false">-DS97</f>
        <v>-0</v>
      </c>
      <c r="DT140" s="421" t="n">
        <f aca="false">-DT97</f>
        <v>-0</v>
      </c>
      <c r="DU140" s="421" t="n">
        <f aca="false">-DU97</f>
        <v>-0</v>
      </c>
      <c r="DV140" s="421" t="n">
        <f aca="false">-DV97</f>
        <v>-0</v>
      </c>
      <c r="DW140" s="421" t="n">
        <f aca="false">-DW97</f>
        <v>-0</v>
      </c>
      <c r="DX140" s="421" t="n">
        <f aca="false">-DX97</f>
        <v>-0</v>
      </c>
      <c r="DY140" s="421" t="n">
        <f aca="false">-DY97</f>
        <v>-0</v>
      </c>
      <c r="DZ140" s="421" t="n">
        <f aca="false">-DZ97</f>
        <v>-0</v>
      </c>
      <c r="EA140" s="421" t="n">
        <f aca="false">-EA97</f>
        <v>-0</v>
      </c>
      <c r="EB140" s="421" t="n">
        <f aca="false">-EB97</f>
        <v>-0</v>
      </c>
      <c r="EC140" s="421" t="n">
        <f aca="false">-EC97</f>
        <v>-0</v>
      </c>
      <c r="ED140" s="421" t="n">
        <f aca="false">-ED97</f>
        <v>-0</v>
      </c>
      <c r="EE140" s="421" t="n">
        <f aca="false">-EE97</f>
        <v>-0</v>
      </c>
      <c r="EF140" s="421" t="n">
        <f aca="false">-EF97</f>
        <v>-0</v>
      </c>
      <c r="EG140" s="421" t="n">
        <f aca="false">-EG97</f>
        <v>-0</v>
      </c>
      <c r="EH140" s="421" t="n">
        <f aca="false">-EH97</f>
        <v>-0</v>
      </c>
      <c r="EI140" s="472" t="n">
        <f aca="false">-EI97</f>
        <v>-0</v>
      </c>
    </row>
    <row r="141" s="514" customFormat="true" ht="13.5" hidden="false" customHeight="true" outlineLevel="0" collapsed="false">
      <c r="A141" s="10"/>
      <c r="B141" s="618" t="s">
        <v>592</v>
      </c>
      <c r="C141" s="613"/>
      <c r="D141" s="610"/>
      <c r="E141" s="610" t="n">
        <f aca="false">SUM(G141:EI141)</f>
        <v>0</v>
      </c>
      <c r="F141" s="17"/>
      <c r="G141" s="610" t="n">
        <f aca="false">-G94</f>
        <v>-0</v>
      </c>
      <c r="H141" s="513" t="n">
        <f aca="false">-H94</f>
        <v>0</v>
      </c>
      <c r="I141" s="421" t="n">
        <f aca="false">-I94</f>
        <v>0</v>
      </c>
      <c r="J141" s="421" t="n">
        <f aca="false">-J94</f>
        <v>0</v>
      </c>
      <c r="K141" s="421" t="n">
        <f aca="false">-K94</f>
        <v>0</v>
      </c>
      <c r="L141" s="421" t="n">
        <f aca="false">-L94</f>
        <v>0</v>
      </c>
      <c r="M141" s="421" t="n">
        <f aca="false">-M94</f>
        <v>0</v>
      </c>
      <c r="N141" s="421" t="n">
        <f aca="false">-N94</f>
        <v>0</v>
      </c>
      <c r="O141" s="421" t="n">
        <f aca="false">-O94</f>
        <v>0</v>
      </c>
      <c r="P141" s="421" t="n">
        <f aca="false">-P94</f>
        <v>0</v>
      </c>
      <c r="Q141" s="421" t="n">
        <f aca="false">-Q94</f>
        <v>0</v>
      </c>
      <c r="R141" s="421" t="n">
        <f aca="false">-R94</f>
        <v>0</v>
      </c>
      <c r="S141" s="421" t="n">
        <f aca="false">-S94</f>
        <v>0</v>
      </c>
      <c r="T141" s="513" t="n">
        <f aca="false">-T94</f>
        <v>0</v>
      </c>
      <c r="U141" s="421" t="n">
        <f aca="false">-U94</f>
        <v>0</v>
      </c>
      <c r="V141" s="421" t="n">
        <f aca="false">-V94</f>
        <v>0</v>
      </c>
      <c r="W141" s="421" t="n">
        <f aca="false">-W94</f>
        <v>0</v>
      </c>
      <c r="X141" s="421" t="n">
        <f aca="false">-X94</f>
        <v>0</v>
      </c>
      <c r="Y141" s="421" t="n">
        <f aca="false">-Y94</f>
        <v>0</v>
      </c>
      <c r="Z141" s="421" t="n">
        <f aca="false">-Z94</f>
        <v>0</v>
      </c>
      <c r="AA141" s="421" t="n">
        <f aca="false">-AA94</f>
        <v>0</v>
      </c>
      <c r="AB141" s="421" t="n">
        <f aca="false">-AB94</f>
        <v>0</v>
      </c>
      <c r="AC141" s="421" t="n">
        <f aca="false">-AC94</f>
        <v>0</v>
      </c>
      <c r="AD141" s="421" t="n">
        <f aca="false">-AD94</f>
        <v>0</v>
      </c>
      <c r="AE141" s="421" t="n">
        <f aca="false">-AE94</f>
        <v>0</v>
      </c>
      <c r="AF141" s="513" t="n">
        <f aca="false">-AF94</f>
        <v>0</v>
      </c>
      <c r="AG141" s="421" t="n">
        <f aca="false">-AG94</f>
        <v>0</v>
      </c>
      <c r="AH141" s="421" t="n">
        <f aca="false">-AH94</f>
        <v>0</v>
      </c>
      <c r="AI141" s="421" t="n">
        <f aca="false">-AI94</f>
        <v>0</v>
      </c>
      <c r="AJ141" s="421" t="n">
        <f aca="false">-AJ94</f>
        <v>0</v>
      </c>
      <c r="AK141" s="421" t="n">
        <f aca="false">-AK94</f>
        <v>0</v>
      </c>
      <c r="AL141" s="421" t="n">
        <f aca="false">-AL94</f>
        <v>0</v>
      </c>
      <c r="AM141" s="421" t="n">
        <f aca="false">-AM94</f>
        <v>0</v>
      </c>
      <c r="AN141" s="421" t="n">
        <f aca="false">-AN94</f>
        <v>0</v>
      </c>
      <c r="AO141" s="421" t="n">
        <f aca="false">-AO94</f>
        <v>0</v>
      </c>
      <c r="AP141" s="421" t="n">
        <f aca="false">-AP94</f>
        <v>0</v>
      </c>
      <c r="AQ141" s="421" t="n">
        <f aca="false">-AQ94</f>
        <v>0</v>
      </c>
      <c r="AR141" s="513" t="n">
        <f aca="false">-AR94</f>
        <v>0</v>
      </c>
      <c r="AS141" s="421" t="n">
        <f aca="false">-AS94</f>
        <v>0</v>
      </c>
      <c r="AT141" s="421" t="n">
        <f aca="false">-AT94</f>
        <v>0</v>
      </c>
      <c r="AU141" s="421" t="n">
        <f aca="false">-AU94</f>
        <v>0</v>
      </c>
      <c r="AV141" s="421" t="n">
        <f aca="false">-AV94</f>
        <v>0</v>
      </c>
      <c r="AW141" s="421" t="n">
        <f aca="false">-AW94</f>
        <v>0</v>
      </c>
      <c r="AX141" s="421" t="n">
        <f aca="false">-AX94</f>
        <v>0</v>
      </c>
      <c r="AY141" s="421" t="n">
        <f aca="false">-AY94</f>
        <v>0</v>
      </c>
      <c r="AZ141" s="421" t="n">
        <f aca="false">-AZ94</f>
        <v>0</v>
      </c>
      <c r="BA141" s="421" t="n">
        <f aca="false">-BA94</f>
        <v>0</v>
      </c>
      <c r="BB141" s="421" t="n">
        <f aca="false">-BB94</f>
        <v>0</v>
      </c>
      <c r="BC141" s="421" t="n">
        <f aca="false">-BC94</f>
        <v>0</v>
      </c>
      <c r="BD141" s="513" t="n">
        <f aca="false">-BD94</f>
        <v>0</v>
      </c>
      <c r="BE141" s="421" t="n">
        <f aca="false">-BE94</f>
        <v>0</v>
      </c>
      <c r="BF141" s="421" t="n">
        <f aca="false">-BF94</f>
        <v>0</v>
      </c>
      <c r="BG141" s="421" t="n">
        <f aca="false">-BG94</f>
        <v>0</v>
      </c>
      <c r="BH141" s="421" t="n">
        <f aca="false">-BH94</f>
        <v>0</v>
      </c>
      <c r="BI141" s="421" t="n">
        <f aca="false">-BI94</f>
        <v>0</v>
      </c>
      <c r="BJ141" s="421" t="n">
        <f aca="false">-BJ94</f>
        <v>0</v>
      </c>
      <c r="BK141" s="421" t="n">
        <f aca="false">-BK94</f>
        <v>0</v>
      </c>
      <c r="BL141" s="421" t="n">
        <f aca="false">-BL94</f>
        <v>0</v>
      </c>
      <c r="BM141" s="421" t="n">
        <f aca="false">-BM94</f>
        <v>0</v>
      </c>
      <c r="BN141" s="421" t="n">
        <f aca="false">-BN94</f>
        <v>0</v>
      </c>
      <c r="BO141" s="421" t="n">
        <f aca="false">-BO94</f>
        <v>0</v>
      </c>
      <c r="BP141" s="513" t="n">
        <f aca="false">-BP94</f>
        <v>0</v>
      </c>
      <c r="BQ141" s="421" t="n">
        <f aca="false">-BQ94</f>
        <v>0</v>
      </c>
      <c r="BR141" s="421" t="n">
        <f aca="false">-BR94</f>
        <v>0</v>
      </c>
      <c r="BS141" s="421" t="n">
        <f aca="false">-BS94</f>
        <v>0</v>
      </c>
      <c r="BT141" s="421" t="n">
        <f aca="false">-BT94</f>
        <v>0</v>
      </c>
      <c r="BU141" s="421" t="n">
        <f aca="false">-BU94</f>
        <v>0</v>
      </c>
      <c r="BV141" s="421" t="n">
        <f aca="false">-BV94</f>
        <v>0</v>
      </c>
      <c r="BW141" s="421" t="n">
        <f aca="false">-BW94</f>
        <v>0</v>
      </c>
      <c r="BX141" s="421" t="n">
        <f aca="false">-BX94</f>
        <v>0</v>
      </c>
      <c r="BY141" s="421" t="n">
        <f aca="false">-BY94</f>
        <v>0</v>
      </c>
      <c r="BZ141" s="421" t="n">
        <f aca="false">-BZ94</f>
        <v>0</v>
      </c>
      <c r="CA141" s="421" t="n">
        <f aca="false">-CA94</f>
        <v>0</v>
      </c>
      <c r="CB141" s="513" t="n">
        <f aca="false">-CB94</f>
        <v>0</v>
      </c>
      <c r="CC141" s="421" t="n">
        <f aca="false">-CC94</f>
        <v>0</v>
      </c>
      <c r="CD141" s="421" t="n">
        <f aca="false">-CD94</f>
        <v>0</v>
      </c>
      <c r="CE141" s="421" t="n">
        <f aca="false">-CE94</f>
        <v>0</v>
      </c>
      <c r="CF141" s="421" t="n">
        <f aca="false">-CF94</f>
        <v>0</v>
      </c>
      <c r="CG141" s="421" t="n">
        <f aca="false">-CG94</f>
        <v>0</v>
      </c>
      <c r="CH141" s="421" t="n">
        <f aca="false">-CH94</f>
        <v>0</v>
      </c>
      <c r="CI141" s="421" t="n">
        <f aca="false">-CI94</f>
        <v>0</v>
      </c>
      <c r="CJ141" s="421" t="n">
        <f aca="false">-CJ94</f>
        <v>0</v>
      </c>
      <c r="CK141" s="421" t="n">
        <f aca="false">-CK94</f>
        <v>0</v>
      </c>
      <c r="CL141" s="421" t="n">
        <f aca="false">-CL94</f>
        <v>0</v>
      </c>
      <c r="CM141" s="421" t="n">
        <f aca="false">-CM94</f>
        <v>0</v>
      </c>
      <c r="CN141" s="513" t="n">
        <f aca="false">-CN94</f>
        <v>0</v>
      </c>
      <c r="CO141" s="421" t="n">
        <f aca="false">-CO94</f>
        <v>0</v>
      </c>
      <c r="CP141" s="421" t="n">
        <f aca="false">-CP94</f>
        <v>0</v>
      </c>
      <c r="CQ141" s="421" t="n">
        <f aca="false">-CQ94</f>
        <v>0</v>
      </c>
      <c r="CR141" s="421" t="n">
        <f aca="false">-CR94</f>
        <v>0</v>
      </c>
      <c r="CS141" s="421" t="n">
        <f aca="false">-CS94</f>
        <v>0</v>
      </c>
      <c r="CT141" s="421" t="n">
        <f aca="false">-CT94</f>
        <v>0</v>
      </c>
      <c r="CU141" s="421" t="n">
        <f aca="false">-CU94</f>
        <v>0</v>
      </c>
      <c r="CV141" s="421" t="n">
        <f aca="false">-CV94</f>
        <v>0</v>
      </c>
      <c r="CW141" s="421" t="n">
        <f aca="false">-CW94</f>
        <v>0</v>
      </c>
      <c r="CX141" s="421" t="n">
        <f aca="false">-CX94</f>
        <v>0</v>
      </c>
      <c r="CY141" s="421" t="n">
        <f aca="false">-CY94</f>
        <v>0</v>
      </c>
      <c r="CZ141" s="513" t="n">
        <f aca="false">-CZ94</f>
        <v>0</v>
      </c>
      <c r="DA141" s="421" t="n">
        <f aca="false">-DA94</f>
        <v>0</v>
      </c>
      <c r="DB141" s="421" t="n">
        <f aca="false">-DB94</f>
        <v>0</v>
      </c>
      <c r="DC141" s="421" t="n">
        <f aca="false">-DC94</f>
        <v>0</v>
      </c>
      <c r="DD141" s="421" t="n">
        <f aca="false">-DD94</f>
        <v>0</v>
      </c>
      <c r="DE141" s="421" t="n">
        <f aca="false">-DE94</f>
        <v>0</v>
      </c>
      <c r="DF141" s="421" t="n">
        <f aca="false">-DF94</f>
        <v>0</v>
      </c>
      <c r="DG141" s="421" t="n">
        <f aca="false">-DG94</f>
        <v>0</v>
      </c>
      <c r="DH141" s="421" t="n">
        <f aca="false">-DH94</f>
        <v>0</v>
      </c>
      <c r="DI141" s="421" t="n">
        <f aca="false">-DI94</f>
        <v>0</v>
      </c>
      <c r="DJ141" s="421" t="n">
        <f aca="false">-DJ94</f>
        <v>0</v>
      </c>
      <c r="DK141" s="421" t="n">
        <f aca="false">-DK94</f>
        <v>0</v>
      </c>
      <c r="DL141" s="513" t="n">
        <f aca="false">-DL94</f>
        <v>0</v>
      </c>
      <c r="DM141" s="421" t="n">
        <f aca="false">-DM94</f>
        <v>0</v>
      </c>
      <c r="DN141" s="421" t="n">
        <f aca="false">-DN94</f>
        <v>0</v>
      </c>
      <c r="DO141" s="421" t="n">
        <f aca="false">-DO94</f>
        <v>0</v>
      </c>
      <c r="DP141" s="421" t="n">
        <f aca="false">-DP94</f>
        <v>0</v>
      </c>
      <c r="DQ141" s="421" t="n">
        <f aca="false">-DQ94</f>
        <v>0</v>
      </c>
      <c r="DR141" s="421" t="n">
        <f aca="false">-DR94</f>
        <v>0</v>
      </c>
      <c r="DS141" s="421" t="n">
        <f aca="false">-DS94</f>
        <v>0</v>
      </c>
      <c r="DT141" s="421" t="n">
        <f aca="false">-DT94</f>
        <v>0</v>
      </c>
      <c r="DU141" s="421" t="n">
        <f aca="false">-DU94</f>
        <v>0</v>
      </c>
      <c r="DV141" s="421" t="n">
        <f aca="false">-DV94</f>
        <v>0</v>
      </c>
      <c r="DW141" s="421" t="n">
        <f aca="false">-DW94</f>
        <v>0</v>
      </c>
      <c r="DX141" s="421" t="n">
        <f aca="false">-DX94</f>
        <v>0</v>
      </c>
      <c r="DY141" s="421" t="n">
        <f aca="false">-DY94</f>
        <v>0</v>
      </c>
      <c r="DZ141" s="421" t="n">
        <f aca="false">-DZ94</f>
        <v>0</v>
      </c>
      <c r="EA141" s="421" t="n">
        <f aca="false">-EA94</f>
        <v>0</v>
      </c>
      <c r="EB141" s="421" t="n">
        <f aca="false">-EB94</f>
        <v>0</v>
      </c>
      <c r="EC141" s="421" t="n">
        <f aca="false">-EC94</f>
        <v>0</v>
      </c>
      <c r="ED141" s="421" t="n">
        <f aca="false">-ED94</f>
        <v>0</v>
      </c>
      <c r="EE141" s="421" t="n">
        <f aca="false">-EE94</f>
        <v>0</v>
      </c>
      <c r="EF141" s="421" t="n">
        <f aca="false">-EF94</f>
        <v>0</v>
      </c>
      <c r="EG141" s="421" t="n">
        <f aca="false">-EG94</f>
        <v>0</v>
      </c>
      <c r="EH141" s="421" t="n">
        <f aca="false">-EH94</f>
        <v>0</v>
      </c>
      <c r="EI141" s="472" t="n">
        <f aca="false">-EI94</f>
        <v>0</v>
      </c>
    </row>
    <row r="142" s="514" customFormat="true" ht="13.5" hidden="false" customHeight="true" outlineLevel="0" collapsed="false">
      <c r="A142" s="10"/>
      <c r="B142" s="619" t="s">
        <v>593</v>
      </c>
      <c r="C142" s="468"/>
      <c r="D142" s="621"/>
      <c r="E142" s="621" t="n">
        <f aca="false">SUM(G142:EI142)</f>
        <v>0</v>
      </c>
      <c r="F142" s="17"/>
      <c r="G142" s="621" t="n">
        <f aca="false">-G95</f>
        <v>-0</v>
      </c>
      <c r="H142" s="549" t="n">
        <f aca="false">-H95</f>
        <v>0</v>
      </c>
      <c r="I142" s="478" t="n">
        <f aca="false">-I95</f>
        <v>0</v>
      </c>
      <c r="J142" s="478" t="n">
        <f aca="false">-J95</f>
        <v>0</v>
      </c>
      <c r="K142" s="478" t="n">
        <f aca="false">-K95</f>
        <v>0</v>
      </c>
      <c r="L142" s="478" t="n">
        <f aca="false">-L95</f>
        <v>0</v>
      </c>
      <c r="M142" s="478" t="n">
        <f aca="false">-M95</f>
        <v>0</v>
      </c>
      <c r="N142" s="478" t="n">
        <f aca="false">-N95</f>
        <v>0</v>
      </c>
      <c r="O142" s="478" t="n">
        <f aca="false">-O95</f>
        <v>0</v>
      </c>
      <c r="P142" s="478" t="n">
        <f aca="false">-P95</f>
        <v>0</v>
      </c>
      <c r="Q142" s="478" t="n">
        <f aca="false">-Q95</f>
        <v>0</v>
      </c>
      <c r="R142" s="478" t="n">
        <f aca="false">-R95</f>
        <v>0</v>
      </c>
      <c r="S142" s="478" t="n">
        <f aca="false">-S95</f>
        <v>0</v>
      </c>
      <c r="T142" s="549" t="n">
        <f aca="false">-T95</f>
        <v>0</v>
      </c>
      <c r="U142" s="478" t="n">
        <f aca="false">-U95</f>
        <v>0</v>
      </c>
      <c r="V142" s="478" t="n">
        <f aca="false">-V95</f>
        <v>0</v>
      </c>
      <c r="W142" s="478" t="n">
        <f aca="false">-W95</f>
        <v>0</v>
      </c>
      <c r="X142" s="478" t="n">
        <f aca="false">-X95</f>
        <v>0</v>
      </c>
      <c r="Y142" s="478" t="n">
        <f aca="false">-Y95</f>
        <v>0</v>
      </c>
      <c r="Z142" s="478" t="n">
        <f aca="false">-Z95</f>
        <v>0</v>
      </c>
      <c r="AA142" s="478" t="n">
        <f aca="false">-AA95</f>
        <v>0</v>
      </c>
      <c r="AB142" s="478" t="n">
        <f aca="false">-AB95</f>
        <v>0</v>
      </c>
      <c r="AC142" s="478" t="n">
        <f aca="false">-AC95</f>
        <v>0</v>
      </c>
      <c r="AD142" s="478" t="n">
        <f aca="false">-AD95</f>
        <v>0</v>
      </c>
      <c r="AE142" s="478" t="n">
        <f aca="false">-AE95</f>
        <v>0</v>
      </c>
      <c r="AF142" s="549" t="n">
        <f aca="false">-AF95</f>
        <v>0</v>
      </c>
      <c r="AG142" s="478" t="n">
        <f aca="false">-AG95</f>
        <v>0</v>
      </c>
      <c r="AH142" s="478" t="n">
        <f aca="false">-AH95</f>
        <v>0</v>
      </c>
      <c r="AI142" s="478" t="n">
        <f aca="false">-AI95</f>
        <v>0</v>
      </c>
      <c r="AJ142" s="478" t="n">
        <f aca="false">-AJ95</f>
        <v>0</v>
      </c>
      <c r="AK142" s="478" t="n">
        <f aca="false">-AK95</f>
        <v>0</v>
      </c>
      <c r="AL142" s="478" t="n">
        <f aca="false">-AL95</f>
        <v>0</v>
      </c>
      <c r="AM142" s="478" t="n">
        <f aca="false">-AM95</f>
        <v>0</v>
      </c>
      <c r="AN142" s="478" t="n">
        <f aca="false">-AN95</f>
        <v>0</v>
      </c>
      <c r="AO142" s="478" t="n">
        <f aca="false">-AO95</f>
        <v>0</v>
      </c>
      <c r="AP142" s="478" t="n">
        <f aca="false">-AP95</f>
        <v>0</v>
      </c>
      <c r="AQ142" s="478" t="n">
        <f aca="false">-AQ95</f>
        <v>0</v>
      </c>
      <c r="AR142" s="549" t="n">
        <f aca="false">-AR95</f>
        <v>0</v>
      </c>
      <c r="AS142" s="478" t="n">
        <f aca="false">-AS95</f>
        <v>0</v>
      </c>
      <c r="AT142" s="478" t="n">
        <f aca="false">-AT95</f>
        <v>0</v>
      </c>
      <c r="AU142" s="478" t="n">
        <f aca="false">-AU95</f>
        <v>0</v>
      </c>
      <c r="AV142" s="478" t="n">
        <f aca="false">-AV95</f>
        <v>0</v>
      </c>
      <c r="AW142" s="478" t="n">
        <f aca="false">-AW95</f>
        <v>0</v>
      </c>
      <c r="AX142" s="478" t="n">
        <f aca="false">-AX95</f>
        <v>0</v>
      </c>
      <c r="AY142" s="478" t="n">
        <f aca="false">-AY95</f>
        <v>0</v>
      </c>
      <c r="AZ142" s="478" t="n">
        <f aca="false">-AZ95</f>
        <v>0</v>
      </c>
      <c r="BA142" s="478" t="n">
        <f aca="false">-BA95</f>
        <v>0</v>
      </c>
      <c r="BB142" s="478" t="n">
        <f aca="false">-BB95</f>
        <v>0</v>
      </c>
      <c r="BC142" s="478" t="n">
        <f aca="false">-BC95</f>
        <v>0</v>
      </c>
      <c r="BD142" s="549" t="n">
        <f aca="false">-BD95</f>
        <v>0</v>
      </c>
      <c r="BE142" s="478" t="n">
        <f aca="false">-BE95</f>
        <v>0</v>
      </c>
      <c r="BF142" s="478" t="n">
        <f aca="false">-BF95</f>
        <v>0</v>
      </c>
      <c r="BG142" s="478" t="n">
        <f aca="false">-BG95</f>
        <v>0</v>
      </c>
      <c r="BH142" s="478" t="n">
        <f aca="false">-BH95</f>
        <v>0</v>
      </c>
      <c r="BI142" s="478" t="n">
        <f aca="false">-BI95</f>
        <v>0</v>
      </c>
      <c r="BJ142" s="478" t="n">
        <f aca="false">-BJ95</f>
        <v>0</v>
      </c>
      <c r="BK142" s="478" t="n">
        <f aca="false">-BK95</f>
        <v>0</v>
      </c>
      <c r="BL142" s="478" t="n">
        <f aca="false">-BL95</f>
        <v>0</v>
      </c>
      <c r="BM142" s="478" t="n">
        <f aca="false">-BM95</f>
        <v>0</v>
      </c>
      <c r="BN142" s="478" t="n">
        <f aca="false">-BN95</f>
        <v>0</v>
      </c>
      <c r="BO142" s="478" t="n">
        <f aca="false">-BO95</f>
        <v>0</v>
      </c>
      <c r="BP142" s="549" t="n">
        <f aca="false">-BP95</f>
        <v>0</v>
      </c>
      <c r="BQ142" s="478" t="n">
        <f aca="false">-BQ95</f>
        <v>0</v>
      </c>
      <c r="BR142" s="478" t="n">
        <f aca="false">-BR95</f>
        <v>0</v>
      </c>
      <c r="BS142" s="478" t="n">
        <f aca="false">-BS95</f>
        <v>0</v>
      </c>
      <c r="BT142" s="478" t="n">
        <f aca="false">-BT95</f>
        <v>0</v>
      </c>
      <c r="BU142" s="478" t="n">
        <f aca="false">-BU95</f>
        <v>0</v>
      </c>
      <c r="BV142" s="478" t="n">
        <f aca="false">-BV95</f>
        <v>0</v>
      </c>
      <c r="BW142" s="478" t="n">
        <f aca="false">-BW95</f>
        <v>0</v>
      </c>
      <c r="BX142" s="478" t="n">
        <f aca="false">-BX95</f>
        <v>0</v>
      </c>
      <c r="BY142" s="478" t="n">
        <f aca="false">-BY95</f>
        <v>0</v>
      </c>
      <c r="BZ142" s="478" t="n">
        <f aca="false">-BZ95</f>
        <v>0</v>
      </c>
      <c r="CA142" s="478" t="n">
        <f aca="false">-CA95</f>
        <v>0</v>
      </c>
      <c r="CB142" s="549" t="n">
        <f aca="false">-CB95</f>
        <v>0</v>
      </c>
      <c r="CC142" s="478" t="n">
        <f aca="false">-CC95</f>
        <v>0</v>
      </c>
      <c r="CD142" s="478" t="n">
        <f aca="false">-CD95</f>
        <v>0</v>
      </c>
      <c r="CE142" s="478" t="n">
        <f aca="false">-CE95</f>
        <v>0</v>
      </c>
      <c r="CF142" s="478" t="n">
        <f aca="false">-CF95</f>
        <v>0</v>
      </c>
      <c r="CG142" s="478" t="n">
        <f aca="false">-CG95</f>
        <v>0</v>
      </c>
      <c r="CH142" s="478" t="n">
        <f aca="false">-CH95</f>
        <v>0</v>
      </c>
      <c r="CI142" s="478" t="n">
        <f aca="false">-CI95</f>
        <v>0</v>
      </c>
      <c r="CJ142" s="478" t="n">
        <f aca="false">-CJ95</f>
        <v>0</v>
      </c>
      <c r="CK142" s="478" t="n">
        <f aca="false">-CK95</f>
        <v>0</v>
      </c>
      <c r="CL142" s="478" t="n">
        <f aca="false">-CL95</f>
        <v>0</v>
      </c>
      <c r="CM142" s="478" t="n">
        <f aca="false">-CM95</f>
        <v>0</v>
      </c>
      <c r="CN142" s="549" t="n">
        <f aca="false">-CN95</f>
        <v>0</v>
      </c>
      <c r="CO142" s="478" t="n">
        <f aca="false">-CO95</f>
        <v>0</v>
      </c>
      <c r="CP142" s="478" t="n">
        <f aca="false">-CP95</f>
        <v>0</v>
      </c>
      <c r="CQ142" s="478" t="n">
        <f aca="false">-CQ95</f>
        <v>0</v>
      </c>
      <c r="CR142" s="478" t="n">
        <f aca="false">-CR95</f>
        <v>0</v>
      </c>
      <c r="CS142" s="478" t="n">
        <f aca="false">-CS95</f>
        <v>0</v>
      </c>
      <c r="CT142" s="478" t="n">
        <f aca="false">-CT95</f>
        <v>0</v>
      </c>
      <c r="CU142" s="478" t="n">
        <f aca="false">-CU95</f>
        <v>0</v>
      </c>
      <c r="CV142" s="478" t="n">
        <f aca="false">-CV95</f>
        <v>0</v>
      </c>
      <c r="CW142" s="478" t="n">
        <f aca="false">-CW95</f>
        <v>0</v>
      </c>
      <c r="CX142" s="478" t="n">
        <f aca="false">-CX95</f>
        <v>0</v>
      </c>
      <c r="CY142" s="478" t="n">
        <f aca="false">-CY95</f>
        <v>0</v>
      </c>
      <c r="CZ142" s="549" t="n">
        <f aca="false">-CZ95</f>
        <v>0</v>
      </c>
      <c r="DA142" s="478" t="n">
        <f aca="false">-DA95</f>
        <v>0</v>
      </c>
      <c r="DB142" s="478" t="n">
        <f aca="false">-DB95</f>
        <v>0</v>
      </c>
      <c r="DC142" s="478" t="n">
        <f aca="false">-DC95</f>
        <v>0</v>
      </c>
      <c r="DD142" s="478" t="n">
        <f aca="false">-DD95</f>
        <v>0</v>
      </c>
      <c r="DE142" s="478" t="n">
        <f aca="false">-DE95</f>
        <v>0</v>
      </c>
      <c r="DF142" s="478" t="n">
        <f aca="false">-DF95</f>
        <v>0</v>
      </c>
      <c r="DG142" s="478" t="n">
        <f aca="false">-DG95</f>
        <v>0</v>
      </c>
      <c r="DH142" s="478" t="n">
        <f aca="false">-DH95</f>
        <v>0</v>
      </c>
      <c r="DI142" s="478" t="n">
        <f aca="false">-DI95</f>
        <v>0</v>
      </c>
      <c r="DJ142" s="478" t="n">
        <f aca="false">-DJ95</f>
        <v>0</v>
      </c>
      <c r="DK142" s="478" t="n">
        <f aca="false">-DK95</f>
        <v>0</v>
      </c>
      <c r="DL142" s="549" t="n">
        <f aca="false">-DL95</f>
        <v>0</v>
      </c>
      <c r="DM142" s="478" t="n">
        <f aca="false">-DM95</f>
        <v>0</v>
      </c>
      <c r="DN142" s="478" t="n">
        <f aca="false">-DN95</f>
        <v>0</v>
      </c>
      <c r="DO142" s="478" t="n">
        <f aca="false">-DO95</f>
        <v>0</v>
      </c>
      <c r="DP142" s="478" t="n">
        <f aca="false">-DP95</f>
        <v>0</v>
      </c>
      <c r="DQ142" s="478" t="n">
        <f aca="false">-DQ95</f>
        <v>0</v>
      </c>
      <c r="DR142" s="478" t="n">
        <f aca="false">-DR95</f>
        <v>0</v>
      </c>
      <c r="DS142" s="478" t="n">
        <f aca="false">-DS95</f>
        <v>0</v>
      </c>
      <c r="DT142" s="478" t="n">
        <f aca="false">-DT95</f>
        <v>0</v>
      </c>
      <c r="DU142" s="478" t="n">
        <f aca="false">-DU95</f>
        <v>0</v>
      </c>
      <c r="DV142" s="478" t="n">
        <f aca="false">-DV95</f>
        <v>0</v>
      </c>
      <c r="DW142" s="478" t="n">
        <f aca="false">-DW95</f>
        <v>0</v>
      </c>
      <c r="DX142" s="478" t="n">
        <f aca="false">-DX95</f>
        <v>0</v>
      </c>
      <c r="DY142" s="478" t="n">
        <f aca="false">-DY95</f>
        <v>0</v>
      </c>
      <c r="DZ142" s="478" t="n">
        <f aca="false">-DZ95</f>
        <v>0</v>
      </c>
      <c r="EA142" s="478" t="n">
        <f aca="false">-EA95</f>
        <v>0</v>
      </c>
      <c r="EB142" s="478" t="n">
        <f aca="false">-EB95</f>
        <v>0</v>
      </c>
      <c r="EC142" s="478" t="n">
        <f aca="false">-EC95</f>
        <v>0</v>
      </c>
      <c r="ED142" s="478" t="n">
        <f aca="false">-ED95</f>
        <v>0</v>
      </c>
      <c r="EE142" s="478" t="n">
        <f aca="false">-EE95</f>
        <v>0</v>
      </c>
      <c r="EF142" s="478" t="n">
        <f aca="false">-EF95</f>
        <v>0</v>
      </c>
      <c r="EG142" s="478" t="n">
        <f aca="false">-EG95</f>
        <v>0</v>
      </c>
      <c r="EH142" s="478" t="n">
        <f aca="false">-EH95</f>
        <v>0</v>
      </c>
      <c r="EI142" s="479" t="n">
        <f aca="false">-EI95</f>
        <v>0</v>
      </c>
    </row>
    <row r="143" s="514" customFormat="true" ht="13.5" hidden="false" customHeight="true" outlineLevel="0" collapsed="false">
      <c r="A143" s="10"/>
      <c r="B143" s="20" t="s">
        <v>139</v>
      </c>
      <c r="C143" s="625"/>
      <c r="D143" s="626" t="n">
        <f aca="false">SUM(D126:D142)</f>
        <v>7283229.222</v>
      </c>
      <c r="E143" s="627" t="n">
        <f aca="false">SUM(E126:E142)</f>
        <v>13735835.9724745</v>
      </c>
      <c r="F143" s="17"/>
      <c r="G143" s="610" t="n">
        <f aca="false">SUM(G126:G142)</f>
        <v>7283229.222</v>
      </c>
      <c r="H143" s="513" t="n">
        <f aca="false">SUM(H126:H142)</f>
        <v>21016.6666666667</v>
      </c>
      <c r="I143" s="421" t="n">
        <f aca="false">SUM(I126:I142)</f>
        <v>21016.6666666667</v>
      </c>
      <c r="J143" s="421" t="n">
        <f aca="false">SUM(J126:J142)</f>
        <v>21016.6666666667</v>
      </c>
      <c r="K143" s="421" t="n">
        <f aca="false">SUM(K126:K142)</f>
        <v>21016.6666666667</v>
      </c>
      <c r="L143" s="421" t="n">
        <f aca="false">SUM(L126:L142)</f>
        <v>21016.6666666667</v>
      </c>
      <c r="M143" s="421" t="n">
        <f aca="false">SUM(M126:M142)</f>
        <v>21016.6666666667</v>
      </c>
      <c r="N143" s="421" t="n">
        <f aca="false">SUM(N126:N142)</f>
        <v>21016.6666666667</v>
      </c>
      <c r="O143" s="421" t="n">
        <f aca="false">SUM(O126:O142)</f>
        <v>21016.6666666667</v>
      </c>
      <c r="P143" s="421" t="n">
        <f aca="false">SUM(P126:P142)</f>
        <v>21016.6666666667</v>
      </c>
      <c r="Q143" s="421" t="n">
        <f aca="false">SUM(Q126:Q142)</f>
        <v>21016.6666666667</v>
      </c>
      <c r="R143" s="421" t="n">
        <f aca="false">SUM(R126:R142)</f>
        <v>21016.6666666667</v>
      </c>
      <c r="S143" s="421" t="n">
        <f aca="false">SUM(S126:S142)</f>
        <v>21016.6666666667</v>
      </c>
      <c r="T143" s="513" t="n">
        <f aca="false">SUM(T126:T142)</f>
        <v>21016.6666666667</v>
      </c>
      <c r="U143" s="421" t="n">
        <f aca="false">SUM(U126:U142)</f>
        <v>21016.6666666667</v>
      </c>
      <c r="V143" s="421" t="n">
        <f aca="false">SUM(V126:V142)</f>
        <v>21016.6666666667</v>
      </c>
      <c r="W143" s="421" t="n">
        <f aca="false">SUM(W126:W142)</f>
        <v>21016.6666666667</v>
      </c>
      <c r="X143" s="421" t="n">
        <f aca="false">SUM(X126:X142)</f>
        <v>21016.6666666667</v>
      </c>
      <c r="Y143" s="421" t="n">
        <f aca="false">SUM(Y126:Y142)</f>
        <v>21016.6666666667</v>
      </c>
      <c r="Z143" s="421" t="n">
        <f aca="false">SUM(Z126:Z142)</f>
        <v>21016.6666666667</v>
      </c>
      <c r="AA143" s="421" t="n">
        <f aca="false">SUM(AA126:AA142)</f>
        <v>21016.6666666667</v>
      </c>
      <c r="AB143" s="421" t="n">
        <f aca="false">SUM(AB126:AB142)</f>
        <v>21016.6666666667</v>
      </c>
      <c r="AC143" s="421" t="n">
        <f aca="false">SUM(AC126:AC142)</f>
        <v>21016.6666666667</v>
      </c>
      <c r="AD143" s="421" t="n">
        <f aca="false">SUM(AD126:AD142)</f>
        <v>21016.6666666667</v>
      </c>
      <c r="AE143" s="421" t="n">
        <f aca="false">SUM(AE126:AE142)</f>
        <v>21016.6666666667</v>
      </c>
      <c r="AF143" s="513" t="n">
        <f aca="false">SUM(AF126:AF142)</f>
        <v>21016.6666666667</v>
      </c>
      <c r="AG143" s="421" t="n">
        <f aca="false">SUM(AG126:AG142)</f>
        <v>21016.6666666667</v>
      </c>
      <c r="AH143" s="421" t="n">
        <f aca="false">SUM(AH126:AH142)</f>
        <v>21016.6666666667</v>
      </c>
      <c r="AI143" s="421" t="n">
        <f aca="false">SUM(AI126:AI142)</f>
        <v>21016.6666666667</v>
      </c>
      <c r="AJ143" s="421" t="n">
        <f aca="false">SUM(AJ126:AJ142)</f>
        <v>21016.6666666667</v>
      </c>
      <c r="AK143" s="421" t="n">
        <f aca="false">SUM(AK126:AK142)</f>
        <v>21016.6666666667</v>
      </c>
      <c r="AL143" s="421" t="n">
        <f aca="false">SUM(AL126:AL142)</f>
        <v>21016.6666666667</v>
      </c>
      <c r="AM143" s="421" t="n">
        <f aca="false">SUM(AM126:AM142)</f>
        <v>21016.6666666667</v>
      </c>
      <c r="AN143" s="421" t="n">
        <f aca="false">SUM(AN126:AN142)</f>
        <v>21016.6666666667</v>
      </c>
      <c r="AO143" s="421" t="n">
        <f aca="false">SUM(AO126:AO142)</f>
        <v>21016.6666666667</v>
      </c>
      <c r="AP143" s="421" t="n">
        <f aca="false">SUM(AP126:AP142)</f>
        <v>21016.6666666667</v>
      </c>
      <c r="AQ143" s="421" t="n">
        <f aca="false">SUM(AQ126:AQ142)</f>
        <v>21016.6666666667</v>
      </c>
      <c r="AR143" s="513" t="n">
        <f aca="false">SUM(AR126:AR142)</f>
        <v>28319.7473170102</v>
      </c>
      <c r="AS143" s="421" t="n">
        <f aca="false">SUM(AS126:AS142)</f>
        <v>28319.7473170102</v>
      </c>
      <c r="AT143" s="421" t="n">
        <f aca="false">SUM(AT126:AT142)</f>
        <v>28319.7473170102</v>
      </c>
      <c r="AU143" s="421" t="n">
        <f aca="false">SUM(AU126:AU142)</f>
        <v>28319.7473170102</v>
      </c>
      <c r="AV143" s="421" t="n">
        <f aca="false">SUM(AV126:AV142)</f>
        <v>28319.7473170102</v>
      </c>
      <c r="AW143" s="421" t="n">
        <f aca="false">SUM(AW126:AW142)</f>
        <v>28319.7473170102</v>
      </c>
      <c r="AX143" s="421" t="n">
        <f aca="false">SUM(AX126:AX142)</f>
        <v>28319.7473170102</v>
      </c>
      <c r="AY143" s="421" t="n">
        <f aca="false">SUM(AY126:AY142)</f>
        <v>28319.7473170102</v>
      </c>
      <c r="AZ143" s="421" t="n">
        <f aca="false">SUM(AZ126:AZ142)</f>
        <v>28319.7473170102</v>
      </c>
      <c r="BA143" s="421" t="n">
        <f aca="false">SUM(BA126:BA142)</f>
        <v>28319.7473170102</v>
      </c>
      <c r="BB143" s="421" t="n">
        <f aca="false">SUM(BB126:BB142)</f>
        <v>28319.7473170102</v>
      </c>
      <c r="BC143" s="421" t="n">
        <f aca="false">SUM(BC126:BC142)</f>
        <v>28319.7473170102</v>
      </c>
      <c r="BD143" s="513" t="n">
        <f aca="false">SUM(BD126:BD142)</f>
        <v>28319.7473170102</v>
      </c>
      <c r="BE143" s="421" t="n">
        <f aca="false">SUM(BE126:BE142)</f>
        <v>28319.7473170102</v>
      </c>
      <c r="BF143" s="421" t="n">
        <f aca="false">SUM(BF126:BF142)</f>
        <v>28319.7473170102</v>
      </c>
      <c r="BG143" s="421" t="n">
        <f aca="false">SUM(BG126:BG142)</f>
        <v>28319.7473170102</v>
      </c>
      <c r="BH143" s="421" t="n">
        <f aca="false">SUM(BH126:BH142)</f>
        <v>28319.7473170102</v>
      </c>
      <c r="BI143" s="421" t="n">
        <f aca="false">SUM(BI126:BI142)</f>
        <v>28319.7473170102</v>
      </c>
      <c r="BJ143" s="421" t="n">
        <f aca="false">SUM(BJ126:BJ142)</f>
        <v>28319.7473170102</v>
      </c>
      <c r="BK143" s="421" t="n">
        <f aca="false">SUM(BK126:BK142)</f>
        <v>28319.7473170102</v>
      </c>
      <c r="BL143" s="421" t="n">
        <f aca="false">SUM(BL126:BL142)</f>
        <v>28319.7473170102</v>
      </c>
      <c r="BM143" s="421" t="n">
        <f aca="false">SUM(BM126:BM142)</f>
        <v>28319.7473170102</v>
      </c>
      <c r="BN143" s="421" t="n">
        <f aca="false">SUM(BN126:BN142)</f>
        <v>28319.7473170102</v>
      </c>
      <c r="BO143" s="421" t="n">
        <f aca="false">SUM(BO126:BO142)</f>
        <v>5044652.56218326</v>
      </c>
      <c r="BP143" s="513" t="n">
        <f aca="false">SUM(BP126:BP142)</f>
        <v>0</v>
      </c>
      <c r="BQ143" s="421" t="n">
        <f aca="false">SUM(BQ126:BQ142)</f>
        <v>0</v>
      </c>
      <c r="BR143" s="421" t="n">
        <f aca="false">SUM(BR126:BR142)</f>
        <v>0</v>
      </c>
      <c r="BS143" s="421" t="n">
        <f aca="false">SUM(BS126:BS142)</f>
        <v>0</v>
      </c>
      <c r="BT143" s="421" t="n">
        <f aca="false">SUM(BT126:BT142)</f>
        <v>0</v>
      </c>
      <c r="BU143" s="421" t="n">
        <f aca="false">SUM(BU126:BU142)</f>
        <v>0</v>
      </c>
      <c r="BV143" s="421" t="n">
        <f aca="false">SUM(BV126:BV142)</f>
        <v>0</v>
      </c>
      <c r="BW143" s="421" t="n">
        <f aca="false">SUM(BW126:BW142)</f>
        <v>0</v>
      </c>
      <c r="BX143" s="421" t="n">
        <f aca="false">SUM(BX126:BX142)</f>
        <v>0</v>
      </c>
      <c r="BY143" s="421" t="n">
        <f aca="false">SUM(BY126:BY142)</f>
        <v>0</v>
      </c>
      <c r="BZ143" s="421" t="n">
        <f aca="false">SUM(BZ126:BZ142)</f>
        <v>0</v>
      </c>
      <c r="CA143" s="421" t="n">
        <f aca="false">SUM(CA126:CA142)</f>
        <v>0</v>
      </c>
      <c r="CB143" s="513" t="n">
        <f aca="false">SUM(CB126:CB142)</f>
        <v>0</v>
      </c>
      <c r="CC143" s="421" t="n">
        <f aca="false">SUM(CC126:CC142)</f>
        <v>0</v>
      </c>
      <c r="CD143" s="421" t="n">
        <f aca="false">SUM(CD126:CD142)</f>
        <v>0</v>
      </c>
      <c r="CE143" s="421" t="n">
        <f aca="false">SUM(CE126:CE142)</f>
        <v>0</v>
      </c>
      <c r="CF143" s="421" t="n">
        <f aca="false">SUM(CF126:CF142)</f>
        <v>0</v>
      </c>
      <c r="CG143" s="421" t="n">
        <f aca="false">SUM(CG126:CG142)</f>
        <v>0</v>
      </c>
      <c r="CH143" s="421" t="n">
        <f aca="false">SUM(CH126:CH142)</f>
        <v>0</v>
      </c>
      <c r="CI143" s="421" t="n">
        <f aca="false">SUM(CI126:CI142)</f>
        <v>0</v>
      </c>
      <c r="CJ143" s="421" t="n">
        <f aca="false">SUM(CJ126:CJ142)</f>
        <v>0</v>
      </c>
      <c r="CK143" s="421" t="n">
        <f aca="false">SUM(CK126:CK142)</f>
        <v>0</v>
      </c>
      <c r="CL143" s="421" t="n">
        <f aca="false">SUM(CL126:CL142)</f>
        <v>0</v>
      </c>
      <c r="CM143" s="421" t="n">
        <f aca="false">SUM(CM126:CM142)</f>
        <v>0</v>
      </c>
      <c r="CN143" s="513" t="n">
        <f aca="false">SUM(CN126:CN142)</f>
        <v>0</v>
      </c>
      <c r="CO143" s="421" t="n">
        <f aca="false">SUM(CO126:CO142)</f>
        <v>0</v>
      </c>
      <c r="CP143" s="421" t="n">
        <f aca="false">SUM(CP126:CP142)</f>
        <v>0</v>
      </c>
      <c r="CQ143" s="421" t="n">
        <f aca="false">SUM(CQ126:CQ142)</f>
        <v>0</v>
      </c>
      <c r="CR143" s="421" t="n">
        <f aca="false">SUM(CR126:CR142)</f>
        <v>0</v>
      </c>
      <c r="CS143" s="421" t="n">
        <f aca="false">SUM(CS126:CS142)</f>
        <v>0</v>
      </c>
      <c r="CT143" s="421" t="n">
        <f aca="false">SUM(CT126:CT142)</f>
        <v>0</v>
      </c>
      <c r="CU143" s="421" t="n">
        <f aca="false">SUM(CU126:CU142)</f>
        <v>0</v>
      </c>
      <c r="CV143" s="421" t="n">
        <f aca="false">SUM(CV126:CV142)</f>
        <v>0</v>
      </c>
      <c r="CW143" s="421" t="n">
        <f aca="false">SUM(CW126:CW142)</f>
        <v>0</v>
      </c>
      <c r="CX143" s="421" t="n">
        <f aca="false">SUM(CX126:CX142)</f>
        <v>0</v>
      </c>
      <c r="CY143" s="421" t="n">
        <f aca="false">SUM(CY126:CY142)</f>
        <v>0</v>
      </c>
      <c r="CZ143" s="513" t="n">
        <f aca="false">SUM(CZ126:CZ142)</f>
        <v>0</v>
      </c>
      <c r="DA143" s="421" t="n">
        <f aca="false">SUM(DA126:DA142)</f>
        <v>0</v>
      </c>
      <c r="DB143" s="421" t="n">
        <f aca="false">SUM(DB126:DB142)</f>
        <v>0</v>
      </c>
      <c r="DC143" s="421" t="n">
        <f aca="false">SUM(DC126:DC142)</f>
        <v>0</v>
      </c>
      <c r="DD143" s="421" t="n">
        <f aca="false">SUM(DD126:DD142)</f>
        <v>0</v>
      </c>
      <c r="DE143" s="421" t="n">
        <f aca="false">SUM(DE126:DE142)</f>
        <v>0</v>
      </c>
      <c r="DF143" s="421" t="n">
        <f aca="false">SUM(DF126:DF142)</f>
        <v>0</v>
      </c>
      <c r="DG143" s="421" t="n">
        <f aca="false">SUM(DG126:DG142)</f>
        <v>0</v>
      </c>
      <c r="DH143" s="421" t="n">
        <f aca="false">SUM(DH126:DH142)</f>
        <v>0</v>
      </c>
      <c r="DI143" s="421" t="n">
        <f aca="false">SUM(DI126:DI142)</f>
        <v>0</v>
      </c>
      <c r="DJ143" s="421" t="n">
        <f aca="false">SUM(DJ126:DJ142)</f>
        <v>0</v>
      </c>
      <c r="DK143" s="421" t="n">
        <f aca="false">SUM(DK126:DK142)</f>
        <v>0</v>
      </c>
      <c r="DL143" s="513" t="n">
        <f aca="false">SUM(DL126:DL142)</f>
        <v>0</v>
      </c>
      <c r="DM143" s="421" t="n">
        <f aca="false">SUM(DM126:DM142)</f>
        <v>0</v>
      </c>
      <c r="DN143" s="421" t="n">
        <f aca="false">SUM(DN126:DN142)</f>
        <v>0</v>
      </c>
      <c r="DO143" s="421" t="n">
        <f aca="false">SUM(DO126:DO142)</f>
        <v>0</v>
      </c>
      <c r="DP143" s="421" t="n">
        <f aca="false">SUM(DP126:DP142)</f>
        <v>0</v>
      </c>
      <c r="DQ143" s="421" t="n">
        <f aca="false">SUM(DQ126:DQ142)</f>
        <v>0</v>
      </c>
      <c r="DR143" s="421" t="n">
        <f aca="false">SUM(DR126:DR142)</f>
        <v>0</v>
      </c>
      <c r="DS143" s="421" t="n">
        <f aca="false">SUM(DS126:DS142)</f>
        <v>0</v>
      </c>
      <c r="DT143" s="421" t="n">
        <f aca="false">SUM(DT126:DT142)</f>
        <v>0</v>
      </c>
      <c r="DU143" s="421" t="n">
        <f aca="false">SUM(DU126:DU142)</f>
        <v>0</v>
      </c>
      <c r="DV143" s="421" t="n">
        <f aca="false">SUM(DV126:DV142)</f>
        <v>0</v>
      </c>
      <c r="DW143" s="421" t="n">
        <f aca="false">SUM(DW126:DW142)</f>
        <v>0</v>
      </c>
      <c r="DX143" s="421" t="n">
        <f aca="false">SUM(DX126:DX142)</f>
        <v>0</v>
      </c>
      <c r="DY143" s="421" t="n">
        <f aca="false">SUM(DY126:DY142)</f>
        <v>0</v>
      </c>
      <c r="DZ143" s="421" t="n">
        <f aca="false">SUM(DZ126:DZ142)</f>
        <v>0</v>
      </c>
      <c r="EA143" s="421" t="n">
        <f aca="false">SUM(EA126:EA142)</f>
        <v>0</v>
      </c>
      <c r="EB143" s="421" t="n">
        <f aca="false">SUM(EB126:EB142)</f>
        <v>0</v>
      </c>
      <c r="EC143" s="421" t="n">
        <f aca="false">SUM(EC126:EC142)</f>
        <v>0</v>
      </c>
      <c r="ED143" s="421" t="n">
        <f aca="false">SUM(ED126:ED142)</f>
        <v>0</v>
      </c>
      <c r="EE143" s="421" t="n">
        <f aca="false">SUM(EE126:EE142)</f>
        <v>0</v>
      </c>
      <c r="EF143" s="421" t="n">
        <f aca="false">SUM(EF126:EF142)</f>
        <v>0</v>
      </c>
      <c r="EG143" s="421" t="n">
        <f aca="false">SUM(EG126:EG142)</f>
        <v>0</v>
      </c>
      <c r="EH143" s="421" t="n">
        <f aca="false">SUM(EH126:EH142)</f>
        <v>0</v>
      </c>
      <c r="EI143" s="472" t="n">
        <f aca="false">SUM(EI126:EI142)</f>
        <v>0</v>
      </c>
    </row>
    <row r="144" s="514" customFormat="true" ht="13.5" hidden="false" customHeight="true" outlineLevel="0" collapsed="false">
      <c r="A144" s="10"/>
      <c r="B144" s="16"/>
      <c r="C144" s="29"/>
      <c r="D144" s="421"/>
      <c r="E144" s="472"/>
      <c r="F144" s="17"/>
      <c r="G144" s="610"/>
      <c r="H144" s="513"/>
      <c r="I144" s="421"/>
      <c r="J144" s="421"/>
      <c r="K144" s="421"/>
      <c r="L144" s="421"/>
      <c r="M144" s="421"/>
      <c r="N144" s="421"/>
      <c r="O144" s="421"/>
      <c r="P144" s="421"/>
      <c r="Q144" s="421"/>
      <c r="R144" s="421"/>
      <c r="S144" s="421"/>
      <c r="T144" s="513"/>
      <c r="U144" s="421"/>
      <c r="V144" s="421"/>
      <c r="W144" s="421"/>
      <c r="X144" s="421"/>
      <c r="Y144" s="421"/>
      <c r="Z144" s="421"/>
      <c r="AA144" s="421"/>
      <c r="AB144" s="421"/>
      <c r="AC144" s="421"/>
      <c r="AD144" s="421"/>
      <c r="AE144" s="421"/>
      <c r="AF144" s="513"/>
      <c r="AG144" s="421"/>
      <c r="AH144" s="421"/>
      <c r="AI144" s="421"/>
      <c r="AJ144" s="421"/>
      <c r="AK144" s="421"/>
      <c r="AL144" s="421"/>
      <c r="AM144" s="421"/>
      <c r="AN144" s="421"/>
      <c r="AO144" s="421"/>
      <c r="AP144" s="421"/>
      <c r="AQ144" s="421"/>
      <c r="AR144" s="513"/>
      <c r="AS144" s="421"/>
      <c r="AT144" s="421"/>
      <c r="AU144" s="421"/>
      <c r="AV144" s="421"/>
      <c r="AW144" s="421"/>
      <c r="AX144" s="421"/>
      <c r="AY144" s="421"/>
      <c r="AZ144" s="421"/>
      <c r="BA144" s="421"/>
      <c r="BB144" s="421"/>
      <c r="BC144" s="421"/>
      <c r="BD144" s="513"/>
      <c r="BE144" s="421"/>
      <c r="BF144" s="421"/>
      <c r="BG144" s="421"/>
      <c r="BH144" s="421"/>
      <c r="BI144" s="421"/>
      <c r="BJ144" s="421"/>
      <c r="BK144" s="421"/>
      <c r="BL144" s="421"/>
      <c r="BM144" s="421"/>
      <c r="BN144" s="421"/>
      <c r="BO144" s="421"/>
      <c r="BP144" s="513"/>
      <c r="BQ144" s="421"/>
      <c r="BR144" s="421"/>
      <c r="BS144" s="421"/>
      <c r="BT144" s="421"/>
      <c r="BU144" s="421"/>
      <c r="BV144" s="421"/>
      <c r="BW144" s="421"/>
      <c r="BX144" s="421"/>
      <c r="BY144" s="421"/>
      <c r="BZ144" s="421"/>
      <c r="CA144" s="421"/>
      <c r="CB144" s="513"/>
      <c r="CC144" s="421"/>
      <c r="CD144" s="421"/>
      <c r="CE144" s="421"/>
      <c r="CF144" s="421"/>
      <c r="CG144" s="421"/>
      <c r="CH144" s="421"/>
      <c r="CI144" s="421"/>
      <c r="CJ144" s="421"/>
      <c r="CK144" s="421"/>
      <c r="CL144" s="421"/>
      <c r="CM144" s="421"/>
      <c r="CN144" s="513"/>
      <c r="CO144" s="421"/>
      <c r="CP144" s="421"/>
      <c r="CQ144" s="421"/>
      <c r="CR144" s="421"/>
      <c r="CS144" s="421"/>
      <c r="CT144" s="421"/>
      <c r="CU144" s="421"/>
      <c r="CV144" s="421"/>
      <c r="CW144" s="421"/>
      <c r="CX144" s="421"/>
      <c r="CY144" s="421"/>
      <c r="CZ144" s="513"/>
      <c r="DA144" s="421"/>
      <c r="DB144" s="421"/>
      <c r="DC144" s="421"/>
      <c r="DD144" s="421"/>
      <c r="DE144" s="421"/>
      <c r="DF144" s="421"/>
      <c r="DG144" s="421"/>
      <c r="DH144" s="421"/>
      <c r="DI144" s="421"/>
      <c r="DJ144" s="421"/>
      <c r="DK144" s="421"/>
      <c r="DL144" s="513"/>
      <c r="DM144" s="421"/>
      <c r="DN144" s="421"/>
      <c r="DO144" s="421"/>
      <c r="DP144" s="421"/>
      <c r="DQ144" s="421"/>
      <c r="DR144" s="421"/>
      <c r="DS144" s="421"/>
      <c r="DT144" s="421"/>
      <c r="DU144" s="421"/>
      <c r="DV144" s="421"/>
      <c r="DW144" s="421"/>
      <c r="DX144" s="421"/>
      <c r="DY144" s="421"/>
      <c r="DZ144" s="421"/>
      <c r="EA144" s="421"/>
      <c r="EB144" s="421"/>
      <c r="EC144" s="421"/>
      <c r="ED144" s="421"/>
      <c r="EE144" s="421"/>
      <c r="EF144" s="421"/>
      <c r="EG144" s="421"/>
      <c r="EH144" s="421"/>
      <c r="EI144" s="472"/>
    </row>
    <row r="145" s="514" customFormat="true" ht="13.5" hidden="false" customHeight="true" outlineLevel="0" collapsed="false">
      <c r="A145" s="10"/>
      <c r="B145" s="92" t="s">
        <v>617</v>
      </c>
      <c r="C145" s="605"/>
      <c r="D145" s="606"/>
      <c r="E145" s="607"/>
      <c r="F145" s="17"/>
      <c r="G145" s="608" t="n">
        <f aca="false">G113+G123-G143</f>
        <v>-1050.22200000007</v>
      </c>
      <c r="H145" s="609" t="n">
        <f aca="false">H113+H123-H143</f>
        <v>12550.3009010595</v>
      </c>
      <c r="I145" s="606" t="n">
        <f aca="false">I113+I123-I143</f>
        <v>12864.6658128791</v>
      </c>
      <c r="J145" s="606" t="n">
        <f aca="false">J113+J123-J143</f>
        <v>13276.9522402977</v>
      </c>
      <c r="K145" s="606" t="n">
        <f aca="false">K113+K123-K143</f>
        <v>13595.8640719742</v>
      </c>
      <c r="L145" s="606" t="n">
        <f aca="false">L113+L123-L143</f>
        <v>14013.59702046</v>
      </c>
      <c r="M145" s="606" t="n">
        <f aca="false">M113+M123-M143</f>
        <v>14337.8528185372</v>
      </c>
      <c r="N145" s="606" t="n">
        <f aca="false">N113+N123-N143</f>
        <v>14761.0380147784</v>
      </c>
      <c r="O145" s="606" t="n">
        <f aca="false">O113+O123-O143</f>
        <v>15090.6433930338</v>
      </c>
      <c r="P145" s="606" t="n">
        <f aca="false">P113+P123-P143</f>
        <v>15519.2865691807</v>
      </c>
      <c r="Q145" s="606" t="n">
        <f aca="false">Q113+Q123-Q143</f>
        <v>15854.2471467286</v>
      </c>
      <c r="R145" s="606" t="n">
        <f aca="false">R113+R123-R143</f>
        <v>16288.3540403968</v>
      </c>
      <c r="S145" s="606" t="n">
        <f aca="false">S113+S123-S143</f>
        <v>16628.6754416912</v>
      </c>
      <c r="T145" s="609" t="n">
        <f aca="false">T113+T123-T143</f>
        <v>16383.3704053778</v>
      </c>
      <c r="U145" s="606" t="n">
        <f aca="false">U113+U123-U143</f>
        <v>16570.3229166295</v>
      </c>
      <c r="V145" s="606" t="n">
        <f aca="false">V113+V123-V143</f>
        <v>16672.3435720976</v>
      </c>
      <c r="W145" s="606" t="n">
        <f aca="false">W113+W123-W143</f>
        <v>16881.5569291352</v>
      </c>
      <c r="X145" s="606" t="n">
        <f aca="false">X113+X123-X143</f>
        <v>17005.8043823633</v>
      </c>
      <c r="Y145" s="606" t="n">
        <f aca="false">Y113+Y123-Y143</f>
        <v>17237.421405698</v>
      </c>
      <c r="Z145" s="606" t="n">
        <f aca="false">Z113+Z123-Z143</f>
        <v>17384.0387570585</v>
      </c>
      <c r="AA145" s="606" t="n">
        <f aca="false">AA113+AA123-AA143</f>
        <v>17638.2030591461</v>
      </c>
      <c r="AB145" s="606" t="n">
        <f aca="false">AB113+AB123-AB143</f>
        <v>17807.3342029644</v>
      </c>
      <c r="AC145" s="606" t="n">
        <f aca="false">AC113+AC123-AC143</f>
        <v>18084.1901924818</v>
      </c>
      <c r="AD145" s="606" t="n">
        <f aca="false">AD113+AD123-AD143</f>
        <v>18275.979821324</v>
      </c>
      <c r="AE145" s="606" t="n">
        <f aca="false">AE113+AE123-AE143</f>
        <v>18575.6727074679</v>
      </c>
      <c r="AF145" s="609" t="n">
        <f aca="false">AF113+AF123-AF143</f>
        <v>18653.4094760393</v>
      </c>
      <c r="AG145" s="606" t="n">
        <f aca="false">AG113+AG123-AG143</f>
        <v>18784.3337279796</v>
      </c>
      <c r="AH145" s="606" t="n">
        <f aca="false">AH113+AH123-AH143</f>
        <v>18914.5168794489</v>
      </c>
      <c r="AI145" s="606" t="n">
        <f aca="false">AI113+AI123-AI143</f>
        <v>19043.9542243736</v>
      </c>
      <c r="AJ145" s="606" t="n">
        <f aca="false">AJ113+AJ123-AJ143</f>
        <v>19172.6410373193</v>
      </c>
      <c r="AK145" s="606" t="n">
        <f aca="false">AK113+AK123-AK143</f>
        <v>19300.5725734217</v>
      </c>
      <c r="AL145" s="606" t="n">
        <f aca="false">AL113+AL123-AL143</f>
        <v>19427.7440683179</v>
      </c>
      <c r="AM145" s="606" t="n">
        <f aca="false">AM113+AM123-AM143</f>
        <v>19554.1507380775</v>
      </c>
      <c r="AN145" s="606" t="n">
        <f aca="false">AN113+AN123-AN143</f>
        <v>19679.7877791333</v>
      </c>
      <c r="AO145" s="606" t="n">
        <f aca="false">AO113+AO123-AO143</f>
        <v>19811.261112143</v>
      </c>
      <c r="AP145" s="606" t="n">
        <f aca="false">AP113+AP123-AP143</f>
        <v>19928.7336622621</v>
      </c>
      <c r="AQ145" s="606" t="n">
        <f aca="false">AQ113+AQ123-AQ143</f>
        <v>20052.0327983897</v>
      </c>
      <c r="AR145" s="609" t="n">
        <f aca="false">AR113+AR123-AR143</f>
        <v>12821.0118939362</v>
      </c>
      <c r="AS145" s="606" t="n">
        <f aca="false">AS113+AS123-AS143</f>
        <v>12944.9797919103</v>
      </c>
      <c r="AT145" s="606" t="n">
        <f aca="false">AT113+AT123-AT143</f>
        <v>13069.2833824011</v>
      </c>
      <c r="AU145" s="606" t="n">
        <f aca="false">AU113+AU123-AU143</f>
        <v>13193.9235427885</v>
      </c>
      <c r="AV145" s="606" t="n">
        <f aca="false">AV113+AV123-AV143</f>
        <v>13318.9011526984</v>
      </c>
      <c r="AW145" s="606" t="n">
        <f aca="false">AW113+AW123-AW143</f>
        <v>13444.2170940078</v>
      </c>
      <c r="AX145" s="606" t="n">
        <f aca="false">AX113+AX123-AX143</f>
        <v>13569.8722508504</v>
      </c>
      <c r="AY145" s="606" t="n">
        <f aca="false">AY113+AY123-AY143</f>
        <v>13695.8675096229</v>
      </c>
      <c r="AZ145" s="606" t="n">
        <f aca="false">AZ113+AZ123-AZ143</f>
        <v>13822.20375899</v>
      </c>
      <c r="BA145" s="606" t="n">
        <f aca="false">BA113+BA123-BA143</f>
        <v>13948.8818898907</v>
      </c>
      <c r="BB145" s="606" t="n">
        <f aca="false">BB113+BB123-BB143</f>
        <v>14075.9027955437</v>
      </c>
      <c r="BC145" s="606" t="n">
        <f aca="false">BC113+BC123-BC143</f>
        <v>14203.2673714534</v>
      </c>
      <c r="BD145" s="609" t="n">
        <f aca="false">BD113+BD123-BD143</f>
        <v>14277.8559806662</v>
      </c>
      <c r="BE145" s="606" t="n">
        <f aca="false">BE113+BE123-BE143</f>
        <v>14405.9105927733</v>
      </c>
      <c r="BF145" s="606" t="n">
        <f aca="false">BF113+BF123-BF143</f>
        <v>14534.3115754212</v>
      </c>
      <c r="BG145" s="606" t="n">
        <f aca="false">BG113+BG123-BG143</f>
        <v>14663.0598333144</v>
      </c>
      <c r="BH145" s="606" t="n">
        <f aca="false">BH113+BH123-BH143</f>
        <v>14792.1562734721</v>
      </c>
      <c r="BI145" s="606" t="n">
        <f aca="false">BI113+BI123-BI143</f>
        <v>14921.6018052336</v>
      </c>
      <c r="BJ145" s="606" t="n">
        <f aca="false">BJ113+BJ123-BJ143</f>
        <v>15051.3973402649</v>
      </c>
      <c r="BK145" s="606" t="n">
        <f aca="false">BK113+BK123-BK143</f>
        <v>15181.5437925638</v>
      </c>
      <c r="BL145" s="606" t="n">
        <f aca="false">BL113+BL123-BL143</f>
        <v>15312.0420784664</v>
      </c>
      <c r="BM145" s="606" t="n">
        <f aca="false">BM113+BM123-BM143</f>
        <v>15442.8931166528</v>
      </c>
      <c r="BN145" s="606" t="n">
        <f aca="false">BN113+BN123-BN143</f>
        <v>15574.0978281527</v>
      </c>
      <c r="BO145" s="606" t="n">
        <f aca="false">BO113+BO123-BO143</f>
        <v>3778743.5291159</v>
      </c>
      <c r="BP145" s="609" t="n">
        <f aca="false">BP113+BP123-BP143</f>
        <v>0</v>
      </c>
      <c r="BQ145" s="606" t="n">
        <f aca="false">BQ113+BQ123-BQ143</f>
        <v>0</v>
      </c>
      <c r="BR145" s="606" t="n">
        <f aca="false">BR113+BR123-BR143</f>
        <v>0</v>
      </c>
      <c r="BS145" s="606" t="n">
        <f aca="false">BS113+BS123-BS143</f>
        <v>0</v>
      </c>
      <c r="BT145" s="606" t="n">
        <f aca="false">BT113+BT123-BT143</f>
        <v>0</v>
      </c>
      <c r="BU145" s="606" t="n">
        <f aca="false">BU113+BU123-BU143</f>
        <v>0</v>
      </c>
      <c r="BV145" s="606" t="n">
        <f aca="false">BV113+BV123-BV143</f>
        <v>0</v>
      </c>
      <c r="BW145" s="606" t="n">
        <f aca="false">BW113+BW123-BW143</f>
        <v>0</v>
      </c>
      <c r="BX145" s="606" t="n">
        <f aca="false">BX113+BX123-BX143</f>
        <v>0</v>
      </c>
      <c r="BY145" s="606" t="n">
        <f aca="false">BY113+BY123-BY143</f>
        <v>0</v>
      </c>
      <c r="BZ145" s="606" t="n">
        <f aca="false">BZ113+BZ123-BZ143</f>
        <v>0</v>
      </c>
      <c r="CA145" s="606" t="n">
        <f aca="false">CA113+CA123-CA143</f>
        <v>0</v>
      </c>
      <c r="CB145" s="609" t="n">
        <f aca="false">CB113+CB123-CB143</f>
        <v>0</v>
      </c>
      <c r="CC145" s="606" t="n">
        <f aca="false">CC113+CC123-CC143</f>
        <v>0</v>
      </c>
      <c r="CD145" s="606" t="n">
        <f aca="false">CD113+CD123-CD143</f>
        <v>0</v>
      </c>
      <c r="CE145" s="606" t="n">
        <f aca="false">CE113+CE123-CE143</f>
        <v>0</v>
      </c>
      <c r="CF145" s="606" t="n">
        <f aca="false">CF113+CF123-CF143</f>
        <v>0</v>
      </c>
      <c r="CG145" s="606" t="n">
        <f aca="false">CG113+CG123-CG143</f>
        <v>0</v>
      </c>
      <c r="CH145" s="606" t="n">
        <f aca="false">CH113+CH123-CH143</f>
        <v>0</v>
      </c>
      <c r="CI145" s="606" t="n">
        <f aca="false">CI113+CI123-CI143</f>
        <v>0</v>
      </c>
      <c r="CJ145" s="606" t="n">
        <f aca="false">CJ113+CJ123-CJ143</f>
        <v>0</v>
      </c>
      <c r="CK145" s="606" t="n">
        <f aca="false">CK113+CK123-CK143</f>
        <v>0</v>
      </c>
      <c r="CL145" s="606" t="n">
        <f aca="false">CL113+CL123-CL143</f>
        <v>0</v>
      </c>
      <c r="CM145" s="606" t="n">
        <f aca="false">CM113+CM123-CM143</f>
        <v>0</v>
      </c>
      <c r="CN145" s="609" t="n">
        <f aca="false">CN113+CN123-CN143</f>
        <v>0</v>
      </c>
      <c r="CO145" s="606" t="n">
        <f aca="false">CO113+CO123-CO143</f>
        <v>0</v>
      </c>
      <c r="CP145" s="606" t="n">
        <f aca="false">CP113+CP123-CP143</f>
        <v>0</v>
      </c>
      <c r="CQ145" s="606" t="n">
        <f aca="false">CQ113+CQ123-CQ143</f>
        <v>0</v>
      </c>
      <c r="CR145" s="606" t="n">
        <f aca="false">CR113+CR123-CR143</f>
        <v>0</v>
      </c>
      <c r="CS145" s="606" t="n">
        <f aca="false">CS113+CS123-CS143</f>
        <v>0</v>
      </c>
      <c r="CT145" s="606" t="n">
        <f aca="false">CT113+CT123-CT143</f>
        <v>0</v>
      </c>
      <c r="CU145" s="606" t="n">
        <f aca="false">CU113+CU123-CU143</f>
        <v>0</v>
      </c>
      <c r="CV145" s="606" t="n">
        <f aca="false">CV113+CV123-CV143</f>
        <v>0</v>
      </c>
      <c r="CW145" s="606" t="n">
        <f aca="false">CW113+CW123-CW143</f>
        <v>0</v>
      </c>
      <c r="CX145" s="606" t="n">
        <f aca="false">CX113+CX123-CX143</f>
        <v>0</v>
      </c>
      <c r="CY145" s="606" t="n">
        <f aca="false">CY113+CY123-CY143</f>
        <v>0</v>
      </c>
      <c r="CZ145" s="609" t="n">
        <f aca="false">CZ113+CZ123-CZ143</f>
        <v>0</v>
      </c>
      <c r="DA145" s="606" t="n">
        <f aca="false">DA113+DA123-DA143</f>
        <v>0</v>
      </c>
      <c r="DB145" s="606" t="n">
        <f aca="false">DB113+DB123-DB143</f>
        <v>0</v>
      </c>
      <c r="DC145" s="606" t="n">
        <f aca="false">DC113+DC123-DC143</f>
        <v>0</v>
      </c>
      <c r="DD145" s="606" t="n">
        <f aca="false">DD113+DD123-DD143</f>
        <v>0</v>
      </c>
      <c r="DE145" s="606" t="n">
        <f aca="false">DE113+DE123-DE143</f>
        <v>0</v>
      </c>
      <c r="DF145" s="606" t="n">
        <f aca="false">DF113+DF123-DF143</f>
        <v>0</v>
      </c>
      <c r="DG145" s="606" t="n">
        <f aca="false">DG113+DG123-DG143</f>
        <v>0</v>
      </c>
      <c r="DH145" s="606" t="n">
        <f aca="false">DH113+DH123-DH143</f>
        <v>0</v>
      </c>
      <c r="DI145" s="606" t="n">
        <f aca="false">DI113+DI123-DI143</f>
        <v>0</v>
      </c>
      <c r="DJ145" s="606" t="n">
        <f aca="false">DJ113+DJ123-DJ143</f>
        <v>0</v>
      </c>
      <c r="DK145" s="606" t="n">
        <f aca="false">DK113+DK123-DK143</f>
        <v>0</v>
      </c>
      <c r="DL145" s="609" t="n">
        <f aca="false">DL113+DL123-DL143</f>
        <v>0</v>
      </c>
      <c r="DM145" s="606" t="n">
        <f aca="false">DM113+DM123-DM143</f>
        <v>0</v>
      </c>
      <c r="DN145" s="606" t="n">
        <f aca="false">DN113+DN123-DN143</f>
        <v>0</v>
      </c>
      <c r="DO145" s="606" t="n">
        <f aca="false">DO113+DO123-DO143</f>
        <v>0</v>
      </c>
      <c r="DP145" s="606" t="n">
        <f aca="false">DP113+DP123-DP143</f>
        <v>0</v>
      </c>
      <c r="DQ145" s="606" t="n">
        <f aca="false">DQ113+DQ123-DQ143</f>
        <v>0</v>
      </c>
      <c r="DR145" s="606" t="n">
        <f aca="false">DR113+DR123-DR143</f>
        <v>0</v>
      </c>
      <c r="DS145" s="606" t="n">
        <f aca="false">DS113+DS123-DS143</f>
        <v>0</v>
      </c>
      <c r="DT145" s="606" t="n">
        <f aca="false">DT113+DT123-DT143</f>
        <v>0</v>
      </c>
      <c r="DU145" s="606" t="n">
        <f aca="false">DU113+DU123-DU143</f>
        <v>0</v>
      </c>
      <c r="DV145" s="606" t="n">
        <f aca="false">DV113+DV123-DV143</f>
        <v>0</v>
      </c>
      <c r="DW145" s="606" t="n">
        <f aca="false">DW113+DW123-DW143</f>
        <v>0</v>
      </c>
      <c r="DX145" s="606" t="n">
        <f aca="false">DX113+DX123-DX143</f>
        <v>0</v>
      </c>
      <c r="DY145" s="606" t="n">
        <f aca="false">DY113+DY123-DY143</f>
        <v>0</v>
      </c>
      <c r="DZ145" s="606" t="n">
        <f aca="false">DZ113+DZ123-DZ143</f>
        <v>0</v>
      </c>
      <c r="EA145" s="606" t="n">
        <f aca="false">EA113+EA123-EA143</f>
        <v>0</v>
      </c>
      <c r="EB145" s="606" t="n">
        <f aca="false">EB113+EB123-EB143</f>
        <v>0</v>
      </c>
      <c r="EC145" s="606" t="n">
        <f aca="false">EC113+EC123-EC143</f>
        <v>0</v>
      </c>
      <c r="ED145" s="606" t="n">
        <f aca="false">ED113+ED123-ED143</f>
        <v>0</v>
      </c>
      <c r="EE145" s="606" t="n">
        <f aca="false">EE113+EE123-EE143</f>
        <v>0</v>
      </c>
      <c r="EF145" s="606" t="n">
        <f aca="false">EF113+EF123-EF143</f>
        <v>0</v>
      </c>
      <c r="EG145" s="606" t="n">
        <f aca="false">EG113+EG123-EG143</f>
        <v>0</v>
      </c>
      <c r="EH145" s="606" t="n">
        <f aca="false">EH113+EH123-EH143</f>
        <v>0</v>
      </c>
      <c r="EI145" s="607" t="n">
        <f aca="false">EI113+EI123-EI143</f>
        <v>0</v>
      </c>
    </row>
    <row r="146" s="514" customFormat="true" ht="13.5" hidden="false" customHeight="true" outlineLevel="0" collapsed="false">
      <c r="A146" s="10"/>
      <c r="B146" s="16"/>
      <c r="C146" s="29"/>
      <c r="D146" s="421"/>
      <c r="E146" s="472"/>
      <c r="F146" s="17"/>
      <c r="G146" s="610"/>
      <c r="H146" s="513"/>
      <c r="I146" s="421"/>
      <c r="J146" s="421"/>
      <c r="K146" s="421"/>
      <c r="L146" s="421"/>
      <c r="M146" s="421"/>
      <c r="N146" s="421"/>
      <c r="O146" s="421"/>
      <c r="P146" s="421"/>
      <c r="Q146" s="421"/>
      <c r="R146" s="421"/>
      <c r="S146" s="421"/>
      <c r="T146" s="513"/>
      <c r="U146" s="421"/>
      <c r="V146" s="421"/>
      <c r="W146" s="421"/>
      <c r="X146" s="421"/>
      <c r="Y146" s="421"/>
      <c r="Z146" s="421"/>
      <c r="AA146" s="421"/>
      <c r="AB146" s="421"/>
      <c r="AC146" s="421"/>
      <c r="AD146" s="421"/>
      <c r="AE146" s="421"/>
      <c r="AF146" s="513"/>
      <c r="AG146" s="421"/>
      <c r="AH146" s="421"/>
      <c r="AI146" s="421"/>
      <c r="AJ146" s="421"/>
      <c r="AK146" s="421"/>
      <c r="AL146" s="421"/>
      <c r="AM146" s="421"/>
      <c r="AN146" s="421"/>
      <c r="AO146" s="421"/>
      <c r="AP146" s="421"/>
      <c r="AQ146" s="421"/>
      <c r="AR146" s="513"/>
      <c r="AS146" s="421"/>
      <c r="AT146" s="421"/>
      <c r="AU146" s="421"/>
      <c r="AV146" s="421"/>
      <c r="AW146" s="421"/>
      <c r="AX146" s="421"/>
      <c r="AY146" s="421"/>
      <c r="AZ146" s="421"/>
      <c r="BA146" s="421"/>
      <c r="BB146" s="421"/>
      <c r="BC146" s="421"/>
      <c r="BD146" s="513"/>
      <c r="BE146" s="421"/>
      <c r="BF146" s="421"/>
      <c r="BG146" s="421"/>
      <c r="BH146" s="421"/>
      <c r="BI146" s="421"/>
      <c r="BJ146" s="421"/>
      <c r="BK146" s="421"/>
      <c r="BL146" s="421"/>
      <c r="BM146" s="421"/>
      <c r="BN146" s="421"/>
      <c r="BO146" s="421"/>
      <c r="BP146" s="513"/>
      <c r="BQ146" s="421"/>
      <c r="BR146" s="421"/>
      <c r="BS146" s="421"/>
      <c r="BT146" s="421"/>
      <c r="BU146" s="421"/>
      <c r="BV146" s="421"/>
      <c r="BW146" s="421"/>
      <c r="BX146" s="421"/>
      <c r="BY146" s="421"/>
      <c r="BZ146" s="421"/>
      <c r="CA146" s="421"/>
      <c r="CB146" s="513"/>
      <c r="CC146" s="421"/>
      <c r="CD146" s="421"/>
      <c r="CE146" s="421"/>
      <c r="CF146" s="421"/>
      <c r="CG146" s="421"/>
      <c r="CH146" s="421"/>
      <c r="CI146" s="421"/>
      <c r="CJ146" s="421"/>
      <c r="CK146" s="421"/>
      <c r="CL146" s="421"/>
      <c r="CM146" s="421"/>
      <c r="CN146" s="513"/>
      <c r="CO146" s="421"/>
      <c r="CP146" s="421"/>
      <c r="CQ146" s="421"/>
      <c r="CR146" s="421"/>
      <c r="CS146" s="421"/>
      <c r="CT146" s="421"/>
      <c r="CU146" s="421"/>
      <c r="CV146" s="421"/>
      <c r="CW146" s="421"/>
      <c r="CX146" s="421"/>
      <c r="CY146" s="421"/>
      <c r="CZ146" s="513"/>
      <c r="DA146" s="421"/>
      <c r="DB146" s="421"/>
      <c r="DC146" s="421"/>
      <c r="DD146" s="421"/>
      <c r="DE146" s="421"/>
      <c r="DF146" s="421"/>
      <c r="DG146" s="421"/>
      <c r="DH146" s="421"/>
      <c r="DI146" s="421"/>
      <c r="DJ146" s="421"/>
      <c r="DK146" s="421"/>
      <c r="DL146" s="513"/>
      <c r="DM146" s="421"/>
      <c r="DN146" s="421"/>
      <c r="DO146" s="421"/>
      <c r="DP146" s="421"/>
      <c r="DQ146" s="421"/>
      <c r="DR146" s="421"/>
      <c r="DS146" s="421"/>
      <c r="DT146" s="421"/>
      <c r="DU146" s="421"/>
      <c r="DV146" s="421"/>
      <c r="DW146" s="421"/>
      <c r="DX146" s="421"/>
      <c r="DY146" s="421"/>
      <c r="DZ146" s="421"/>
      <c r="EA146" s="421"/>
      <c r="EB146" s="421"/>
      <c r="EC146" s="421"/>
      <c r="ED146" s="421"/>
      <c r="EE146" s="421"/>
      <c r="EF146" s="421"/>
      <c r="EG146" s="421"/>
      <c r="EH146" s="421"/>
      <c r="EI146" s="472"/>
    </row>
    <row r="147" s="514" customFormat="true" ht="13.5" hidden="false" customHeight="true" outlineLevel="0" collapsed="false">
      <c r="A147" s="10"/>
      <c r="B147" s="114" t="s">
        <v>618</v>
      </c>
      <c r="C147" s="29"/>
      <c r="D147" s="421"/>
      <c r="E147" s="472" t="n">
        <f aca="false">SUM(G147:EI147)</f>
        <v>4719579.34366664</v>
      </c>
      <c r="F147" s="17"/>
      <c r="G147" s="610" t="n">
        <f aca="false">IF(G$4&lt;='Executive Summary'!$I$13,G145,0)</f>
        <v>-1050.22200000007</v>
      </c>
      <c r="H147" s="513" t="n">
        <f aca="false">IF(H$4&lt;='Executive Summary'!$I$13,H145,0)</f>
        <v>12550.3009010595</v>
      </c>
      <c r="I147" s="421" t="n">
        <f aca="false">IF(I$4&lt;='Executive Summary'!$I$13,I145,0)</f>
        <v>12864.6658128791</v>
      </c>
      <c r="J147" s="421" t="n">
        <f aca="false">IF(J$4&lt;='Executive Summary'!$I$13,J145,0)</f>
        <v>13276.9522402977</v>
      </c>
      <c r="K147" s="421" t="n">
        <f aca="false">IF(K$4&lt;='Executive Summary'!$I$13,K145,0)</f>
        <v>13595.8640719742</v>
      </c>
      <c r="L147" s="421" t="n">
        <f aca="false">IF(L$4&lt;='Executive Summary'!$I$13,L145,0)</f>
        <v>14013.59702046</v>
      </c>
      <c r="M147" s="421" t="n">
        <f aca="false">IF(M$4&lt;='Executive Summary'!$I$13,M145,0)</f>
        <v>14337.8528185372</v>
      </c>
      <c r="N147" s="421" t="n">
        <f aca="false">IF(N$4&lt;='Executive Summary'!$I$13,N145,0)</f>
        <v>14761.0380147784</v>
      </c>
      <c r="O147" s="421" t="n">
        <f aca="false">IF(O$4&lt;='Executive Summary'!$I$13,O145,0)</f>
        <v>15090.6433930338</v>
      </c>
      <c r="P147" s="421" t="n">
        <f aca="false">IF(P$4&lt;='Executive Summary'!$I$13,P145,0)</f>
        <v>15519.2865691807</v>
      </c>
      <c r="Q147" s="421" t="n">
        <f aca="false">IF(Q$4&lt;='Executive Summary'!$I$13,Q145,0)</f>
        <v>15854.2471467286</v>
      </c>
      <c r="R147" s="421" t="n">
        <f aca="false">IF(R$4&lt;='Executive Summary'!$I$13,R145,0)</f>
        <v>16288.3540403968</v>
      </c>
      <c r="S147" s="421" t="n">
        <f aca="false">IF(S$4&lt;='Executive Summary'!$I$13,S145,0)</f>
        <v>16628.6754416912</v>
      </c>
      <c r="T147" s="513" t="n">
        <f aca="false">IF(T$4&lt;='Executive Summary'!$I$13,T145,0)</f>
        <v>16383.3704053778</v>
      </c>
      <c r="U147" s="421" t="n">
        <f aca="false">IF(U$4&lt;='Executive Summary'!$I$13,U145,0)</f>
        <v>16570.3229166295</v>
      </c>
      <c r="V147" s="421" t="n">
        <f aca="false">IF(V$4&lt;='Executive Summary'!$I$13,V145,0)</f>
        <v>16672.3435720976</v>
      </c>
      <c r="W147" s="421" t="n">
        <f aca="false">IF(W$4&lt;='Executive Summary'!$I$13,W145,0)</f>
        <v>16881.5569291352</v>
      </c>
      <c r="X147" s="421" t="n">
        <f aca="false">IF(X$4&lt;='Executive Summary'!$I$13,X145,0)</f>
        <v>17005.8043823633</v>
      </c>
      <c r="Y147" s="421" t="n">
        <f aca="false">IF(Y$4&lt;='Executive Summary'!$I$13,Y145,0)</f>
        <v>17237.421405698</v>
      </c>
      <c r="Z147" s="421" t="n">
        <f aca="false">IF(Z$4&lt;='Executive Summary'!$I$13,Z145,0)</f>
        <v>17384.0387570585</v>
      </c>
      <c r="AA147" s="421" t="n">
        <f aca="false">IF(AA$4&lt;='Executive Summary'!$I$13,AA145,0)</f>
        <v>17638.2030591461</v>
      </c>
      <c r="AB147" s="421" t="n">
        <f aca="false">IF(AB$4&lt;='Executive Summary'!$I$13,AB145,0)</f>
        <v>17807.3342029644</v>
      </c>
      <c r="AC147" s="421" t="n">
        <f aca="false">IF(AC$4&lt;='Executive Summary'!$I$13,AC145,0)</f>
        <v>18084.1901924818</v>
      </c>
      <c r="AD147" s="421" t="n">
        <f aca="false">IF(AD$4&lt;='Executive Summary'!$I$13,AD145,0)</f>
        <v>18275.979821324</v>
      </c>
      <c r="AE147" s="421" t="n">
        <f aca="false">IF(AE$4&lt;='Executive Summary'!$I$13,AE145,0)</f>
        <v>18575.6727074679</v>
      </c>
      <c r="AF147" s="513" t="n">
        <f aca="false">IF(AF$4&lt;='Executive Summary'!$I$13,AF145,0)</f>
        <v>18653.4094760393</v>
      </c>
      <c r="AG147" s="421" t="n">
        <f aca="false">IF(AG$4&lt;='Executive Summary'!$I$13,AG145,0)</f>
        <v>18784.3337279796</v>
      </c>
      <c r="AH147" s="421" t="n">
        <f aca="false">IF(AH$4&lt;='Executive Summary'!$I$13,AH145,0)</f>
        <v>18914.5168794489</v>
      </c>
      <c r="AI147" s="421" t="n">
        <f aca="false">IF(AI$4&lt;='Executive Summary'!$I$13,AI145,0)</f>
        <v>19043.9542243736</v>
      </c>
      <c r="AJ147" s="421" t="n">
        <f aca="false">IF(AJ$4&lt;='Executive Summary'!$I$13,AJ145,0)</f>
        <v>19172.6410373193</v>
      </c>
      <c r="AK147" s="421" t="n">
        <f aca="false">IF(AK$4&lt;='Executive Summary'!$I$13,AK145,0)</f>
        <v>19300.5725734217</v>
      </c>
      <c r="AL147" s="421" t="n">
        <f aca="false">IF(AL$4&lt;='Executive Summary'!$I$13,AL145,0)</f>
        <v>19427.7440683179</v>
      </c>
      <c r="AM147" s="421" t="n">
        <f aca="false">IF(AM$4&lt;='Executive Summary'!$I$13,AM145,0)</f>
        <v>19554.1507380775</v>
      </c>
      <c r="AN147" s="421" t="n">
        <f aca="false">IF(AN$4&lt;='Executive Summary'!$I$13,AN145,0)</f>
        <v>19679.7877791333</v>
      </c>
      <c r="AO147" s="421" t="n">
        <f aca="false">IF(AO$4&lt;='Executive Summary'!$I$13,AO145,0)</f>
        <v>19811.261112143</v>
      </c>
      <c r="AP147" s="421" t="n">
        <f aca="false">IF(AP$4&lt;='Executive Summary'!$I$13,AP145,0)</f>
        <v>19928.7336622621</v>
      </c>
      <c r="AQ147" s="421" t="n">
        <f aca="false">IF(AQ$4&lt;='Executive Summary'!$I$13,AQ145,0)</f>
        <v>20052.0327983897</v>
      </c>
      <c r="AR147" s="513" t="n">
        <f aca="false">IF(AR$4&lt;='Executive Summary'!$I$13,AR145,0)</f>
        <v>12821.0118939362</v>
      </c>
      <c r="AS147" s="421" t="n">
        <f aca="false">IF(AS$4&lt;='Executive Summary'!$I$13,AS145,0)</f>
        <v>12944.9797919103</v>
      </c>
      <c r="AT147" s="421" t="n">
        <f aca="false">IF(AT$4&lt;='Executive Summary'!$I$13,AT145,0)</f>
        <v>13069.2833824011</v>
      </c>
      <c r="AU147" s="421" t="n">
        <f aca="false">IF(AU$4&lt;='Executive Summary'!$I$13,AU145,0)</f>
        <v>13193.9235427885</v>
      </c>
      <c r="AV147" s="421" t="n">
        <f aca="false">IF(AV$4&lt;='Executive Summary'!$I$13,AV145,0)</f>
        <v>13318.9011526984</v>
      </c>
      <c r="AW147" s="421" t="n">
        <f aca="false">IF(AW$4&lt;='Executive Summary'!$I$13,AW145,0)</f>
        <v>13444.2170940078</v>
      </c>
      <c r="AX147" s="421" t="n">
        <f aca="false">IF(AX$4&lt;='Executive Summary'!$I$13,AX145,0)</f>
        <v>13569.8722508504</v>
      </c>
      <c r="AY147" s="421" t="n">
        <f aca="false">IF(AY$4&lt;='Executive Summary'!$I$13,AY145,0)</f>
        <v>13695.8675096229</v>
      </c>
      <c r="AZ147" s="421" t="n">
        <f aca="false">IF(AZ$4&lt;='Executive Summary'!$I$13,AZ145,0)</f>
        <v>13822.20375899</v>
      </c>
      <c r="BA147" s="421" t="n">
        <f aca="false">IF(BA$4&lt;='Executive Summary'!$I$13,BA145,0)</f>
        <v>13948.8818898907</v>
      </c>
      <c r="BB147" s="421" t="n">
        <f aca="false">IF(BB$4&lt;='Executive Summary'!$I$13,BB145,0)</f>
        <v>14075.9027955437</v>
      </c>
      <c r="BC147" s="421" t="n">
        <f aca="false">IF(BC$4&lt;='Executive Summary'!$I$13,BC145,0)</f>
        <v>14203.2673714534</v>
      </c>
      <c r="BD147" s="513" t="n">
        <f aca="false">IF(BD$4&lt;='Executive Summary'!$I$13,BD145,0)</f>
        <v>14277.8559806662</v>
      </c>
      <c r="BE147" s="421" t="n">
        <f aca="false">IF(BE$4&lt;='Executive Summary'!$I$13,BE145,0)</f>
        <v>14405.9105927733</v>
      </c>
      <c r="BF147" s="421" t="n">
        <f aca="false">IF(BF$4&lt;='Executive Summary'!$I$13,BF145,0)</f>
        <v>14534.3115754212</v>
      </c>
      <c r="BG147" s="421" t="n">
        <f aca="false">IF(BG$4&lt;='Executive Summary'!$I$13,BG145,0)</f>
        <v>14663.0598333144</v>
      </c>
      <c r="BH147" s="421" t="n">
        <f aca="false">IF(BH$4&lt;='Executive Summary'!$I$13,BH145,0)</f>
        <v>14792.1562734721</v>
      </c>
      <c r="BI147" s="421" t="n">
        <f aca="false">IF(BI$4&lt;='Executive Summary'!$I$13,BI145,0)</f>
        <v>14921.6018052336</v>
      </c>
      <c r="BJ147" s="421" t="n">
        <f aca="false">IF(BJ$4&lt;='Executive Summary'!$I$13,BJ145,0)</f>
        <v>15051.3973402649</v>
      </c>
      <c r="BK147" s="421" t="n">
        <f aca="false">IF(BK$4&lt;='Executive Summary'!$I$13,BK145,0)</f>
        <v>15181.5437925638</v>
      </c>
      <c r="BL147" s="421" t="n">
        <f aca="false">IF(BL$4&lt;='Executive Summary'!$I$13,BL145,0)</f>
        <v>15312.0420784664</v>
      </c>
      <c r="BM147" s="421" t="n">
        <f aca="false">IF(BM$4&lt;='Executive Summary'!$I$13,BM145,0)</f>
        <v>15442.8931166528</v>
      </c>
      <c r="BN147" s="421" t="n">
        <f aca="false">IF(BN$4&lt;='Executive Summary'!$I$13,BN145,0)</f>
        <v>15574.0978281527</v>
      </c>
      <c r="BO147" s="421" t="n">
        <f aca="false">IF(BO$4&lt;='Executive Summary'!$I$13,BO145,0)</f>
        <v>3778743.5291159</v>
      </c>
      <c r="BP147" s="513" t="n">
        <f aca="false">IF(BP$4&lt;='Executive Summary'!$I$13,BP145,0)</f>
        <v>0</v>
      </c>
      <c r="BQ147" s="421" t="n">
        <f aca="false">IF(BQ$4&lt;='Executive Summary'!$I$13,BQ145,0)</f>
        <v>0</v>
      </c>
      <c r="BR147" s="421" t="n">
        <f aca="false">IF(BR$4&lt;='Executive Summary'!$I$13,BR145,0)</f>
        <v>0</v>
      </c>
      <c r="BS147" s="421" t="n">
        <f aca="false">IF(BS$4&lt;='Executive Summary'!$I$13,BS145,0)</f>
        <v>0</v>
      </c>
      <c r="BT147" s="421" t="n">
        <f aca="false">IF(BT$4&lt;='Executive Summary'!$I$13,BT145,0)</f>
        <v>0</v>
      </c>
      <c r="BU147" s="421" t="n">
        <f aca="false">IF(BU$4&lt;='Executive Summary'!$I$13,BU145,0)</f>
        <v>0</v>
      </c>
      <c r="BV147" s="421" t="n">
        <f aca="false">IF(BV$4&lt;='Executive Summary'!$I$13,BV145,0)</f>
        <v>0</v>
      </c>
      <c r="BW147" s="421" t="n">
        <f aca="false">IF(BW$4&lt;='Executive Summary'!$I$13,BW145,0)</f>
        <v>0</v>
      </c>
      <c r="BX147" s="421" t="n">
        <f aca="false">IF(BX$4&lt;='Executive Summary'!$I$13,BX145,0)</f>
        <v>0</v>
      </c>
      <c r="BY147" s="421" t="n">
        <f aca="false">IF(BY$4&lt;='Executive Summary'!$I$13,BY145,0)</f>
        <v>0</v>
      </c>
      <c r="BZ147" s="421" t="n">
        <f aca="false">IF(BZ$4&lt;='Executive Summary'!$I$13,BZ145,0)</f>
        <v>0</v>
      </c>
      <c r="CA147" s="421" t="n">
        <f aca="false">IF(CA$4&lt;='Executive Summary'!$I$13,CA145,0)</f>
        <v>0</v>
      </c>
      <c r="CB147" s="513" t="n">
        <f aca="false">IF(CB$4&lt;='Executive Summary'!$I$13,CB145,0)</f>
        <v>0</v>
      </c>
      <c r="CC147" s="421" t="n">
        <f aca="false">IF(CC$4&lt;='Executive Summary'!$I$13,CC145,0)</f>
        <v>0</v>
      </c>
      <c r="CD147" s="421" t="n">
        <f aca="false">IF(CD$4&lt;='Executive Summary'!$I$13,CD145,0)</f>
        <v>0</v>
      </c>
      <c r="CE147" s="421" t="n">
        <f aca="false">IF(CE$4&lt;='Executive Summary'!$I$13,CE145,0)</f>
        <v>0</v>
      </c>
      <c r="CF147" s="421" t="n">
        <f aca="false">IF(CF$4&lt;='Executive Summary'!$I$13,CF145,0)</f>
        <v>0</v>
      </c>
      <c r="CG147" s="421" t="n">
        <f aca="false">IF(CG$4&lt;='Executive Summary'!$I$13,CG145,0)</f>
        <v>0</v>
      </c>
      <c r="CH147" s="421" t="n">
        <f aca="false">IF(CH$4&lt;='Executive Summary'!$I$13,CH145,0)</f>
        <v>0</v>
      </c>
      <c r="CI147" s="421" t="n">
        <f aca="false">IF(CI$4&lt;='Executive Summary'!$I$13,CI145,0)</f>
        <v>0</v>
      </c>
      <c r="CJ147" s="421" t="n">
        <f aca="false">IF(CJ$4&lt;='Executive Summary'!$I$13,CJ145,0)</f>
        <v>0</v>
      </c>
      <c r="CK147" s="421" t="n">
        <f aca="false">IF(CK$4&lt;='Executive Summary'!$I$13,CK145,0)</f>
        <v>0</v>
      </c>
      <c r="CL147" s="421" t="n">
        <f aca="false">IF(CL$4&lt;='Executive Summary'!$I$13,CL145,0)</f>
        <v>0</v>
      </c>
      <c r="CM147" s="421" t="n">
        <f aca="false">IF(CM$4&lt;='Executive Summary'!$I$13,CM145,0)</f>
        <v>0</v>
      </c>
      <c r="CN147" s="513" t="n">
        <f aca="false">IF(CN$4&lt;='Executive Summary'!$I$13,CN145,0)</f>
        <v>0</v>
      </c>
      <c r="CO147" s="421" t="n">
        <f aca="false">IF(CO$4&lt;='Executive Summary'!$I$13,CO145,0)</f>
        <v>0</v>
      </c>
      <c r="CP147" s="421" t="n">
        <f aca="false">IF(CP$4&lt;='Executive Summary'!$I$13,CP145,0)</f>
        <v>0</v>
      </c>
      <c r="CQ147" s="421" t="n">
        <f aca="false">IF(CQ$4&lt;='Executive Summary'!$I$13,CQ145,0)</f>
        <v>0</v>
      </c>
      <c r="CR147" s="421" t="n">
        <f aca="false">IF(CR$4&lt;='Executive Summary'!$I$13,CR145,0)</f>
        <v>0</v>
      </c>
      <c r="CS147" s="421" t="n">
        <f aca="false">IF(CS$4&lt;='Executive Summary'!$I$13,CS145,0)</f>
        <v>0</v>
      </c>
      <c r="CT147" s="421" t="n">
        <f aca="false">IF(CT$4&lt;='Executive Summary'!$I$13,CT145,0)</f>
        <v>0</v>
      </c>
      <c r="CU147" s="421" t="n">
        <f aca="false">IF(CU$4&lt;='Executive Summary'!$I$13,CU145,0)</f>
        <v>0</v>
      </c>
      <c r="CV147" s="421" t="n">
        <f aca="false">IF(CV$4&lt;='Executive Summary'!$I$13,CV145,0)</f>
        <v>0</v>
      </c>
      <c r="CW147" s="421" t="n">
        <f aca="false">IF(CW$4&lt;='Executive Summary'!$I$13,CW145,0)</f>
        <v>0</v>
      </c>
      <c r="CX147" s="421" t="n">
        <f aca="false">IF(CX$4&lt;='Executive Summary'!$I$13,CX145,0)</f>
        <v>0</v>
      </c>
      <c r="CY147" s="421" t="n">
        <f aca="false">IF(CY$4&lt;='Executive Summary'!$I$13,CY145,0)</f>
        <v>0</v>
      </c>
      <c r="CZ147" s="513" t="n">
        <f aca="false">IF(CZ$4&lt;='Executive Summary'!$I$13,CZ145,0)</f>
        <v>0</v>
      </c>
      <c r="DA147" s="421" t="n">
        <f aca="false">IF(DA$4&lt;='Executive Summary'!$I$13,DA145,0)</f>
        <v>0</v>
      </c>
      <c r="DB147" s="421" t="n">
        <f aca="false">IF(DB$4&lt;='Executive Summary'!$I$13,DB145,0)</f>
        <v>0</v>
      </c>
      <c r="DC147" s="421" t="n">
        <f aca="false">IF(DC$4&lt;='Executive Summary'!$I$13,DC145,0)</f>
        <v>0</v>
      </c>
      <c r="DD147" s="421" t="n">
        <f aca="false">IF(DD$4&lt;='Executive Summary'!$I$13,DD145,0)</f>
        <v>0</v>
      </c>
      <c r="DE147" s="421" t="n">
        <f aca="false">IF(DE$4&lt;='Executive Summary'!$I$13,DE145,0)</f>
        <v>0</v>
      </c>
      <c r="DF147" s="421" t="n">
        <f aca="false">IF(DF$4&lt;='Executive Summary'!$I$13,DF145,0)</f>
        <v>0</v>
      </c>
      <c r="DG147" s="421" t="n">
        <f aca="false">IF(DG$4&lt;='Executive Summary'!$I$13,DG145,0)</f>
        <v>0</v>
      </c>
      <c r="DH147" s="421" t="n">
        <f aca="false">IF(DH$4&lt;='Executive Summary'!$I$13,DH145,0)</f>
        <v>0</v>
      </c>
      <c r="DI147" s="421" t="n">
        <f aca="false">IF(DI$4&lt;='Executive Summary'!$I$13,DI145,0)</f>
        <v>0</v>
      </c>
      <c r="DJ147" s="421" t="n">
        <f aca="false">IF(DJ$4&lt;='Executive Summary'!$I$13,DJ145,0)</f>
        <v>0</v>
      </c>
      <c r="DK147" s="421" t="n">
        <f aca="false">IF(DK$4&lt;='Executive Summary'!$I$13,DK145,0)</f>
        <v>0</v>
      </c>
      <c r="DL147" s="513" t="n">
        <f aca="false">IF(DL$4&lt;='Executive Summary'!$I$13,DL145,0)</f>
        <v>0</v>
      </c>
      <c r="DM147" s="421" t="n">
        <f aca="false">IF(DM$4&lt;='Executive Summary'!$I$13,DM145,0)</f>
        <v>0</v>
      </c>
      <c r="DN147" s="421" t="n">
        <f aca="false">IF(DN$4&lt;='Executive Summary'!$I$13,DN145,0)</f>
        <v>0</v>
      </c>
      <c r="DO147" s="421" t="n">
        <f aca="false">IF(DO$4&lt;='Executive Summary'!$I$13,DO145,0)</f>
        <v>0</v>
      </c>
      <c r="DP147" s="421" t="n">
        <f aca="false">IF(DP$4&lt;='Executive Summary'!$I$13,DP145,0)</f>
        <v>0</v>
      </c>
      <c r="DQ147" s="421" t="n">
        <f aca="false">IF(DQ$4&lt;='Executive Summary'!$I$13,DQ145,0)</f>
        <v>0</v>
      </c>
      <c r="DR147" s="421" t="n">
        <f aca="false">IF(DR$4&lt;='Executive Summary'!$I$13,DR145,0)</f>
        <v>0</v>
      </c>
      <c r="DS147" s="421" t="n">
        <f aca="false">IF(DS$4&lt;='Executive Summary'!$I$13,DS145,0)</f>
        <v>0</v>
      </c>
      <c r="DT147" s="421" t="n">
        <f aca="false">IF(DT$4&lt;='Executive Summary'!$I$13,DT145,0)</f>
        <v>0</v>
      </c>
      <c r="DU147" s="421" t="n">
        <f aca="false">IF(DU$4&lt;='Executive Summary'!$I$13,DU145,0)</f>
        <v>0</v>
      </c>
      <c r="DV147" s="421" t="n">
        <f aca="false">IF(DV$4&lt;='Executive Summary'!$I$13,DV145,0)</f>
        <v>0</v>
      </c>
      <c r="DW147" s="421" t="n">
        <f aca="false">IF(DW$4&lt;='Executive Summary'!$I$13,DW145,0)</f>
        <v>0</v>
      </c>
      <c r="DX147" s="421" t="n">
        <f aca="false">IF(DX$4&lt;='Executive Summary'!$I$13,DX145,0)</f>
        <v>0</v>
      </c>
      <c r="DY147" s="421" t="n">
        <f aca="false">IF(DY$4&lt;='Executive Summary'!$I$13,DY145,0)</f>
        <v>0</v>
      </c>
      <c r="DZ147" s="421" t="n">
        <f aca="false">IF(DZ$4&lt;='Executive Summary'!$I$13,DZ145,0)</f>
        <v>0</v>
      </c>
      <c r="EA147" s="421" t="n">
        <f aca="false">IF(EA$4&lt;='Executive Summary'!$I$13,EA145,0)</f>
        <v>0</v>
      </c>
      <c r="EB147" s="421" t="n">
        <f aca="false">IF(EB$4&lt;='Executive Summary'!$I$13,EB145,0)</f>
        <v>0</v>
      </c>
      <c r="EC147" s="421" t="n">
        <f aca="false">IF(EC$4&lt;='Executive Summary'!$I$13,EC145,0)</f>
        <v>0</v>
      </c>
      <c r="ED147" s="421" t="n">
        <f aca="false">IF(ED$4&lt;='Executive Summary'!$I$13,ED145,0)</f>
        <v>0</v>
      </c>
      <c r="EE147" s="421" t="n">
        <f aca="false">IF(EE$4&lt;='Executive Summary'!$I$13,EE145,0)</f>
        <v>0</v>
      </c>
      <c r="EF147" s="421" t="n">
        <f aca="false">IF(EF$4&lt;='Executive Summary'!$I$13,EF145,0)</f>
        <v>0</v>
      </c>
      <c r="EG147" s="421" t="n">
        <f aca="false">IF(EG$4&lt;='Executive Summary'!$I$13,EG145,0)</f>
        <v>0</v>
      </c>
      <c r="EH147" s="421" t="n">
        <f aca="false">IF(EH$4&lt;='Executive Summary'!$I$13,EH145,0)</f>
        <v>0</v>
      </c>
      <c r="EI147" s="472" t="n">
        <f aca="false">IF(EI$4&lt;='Executive Summary'!$I$13,EI145,0)</f>
        <v>0</v>
      </c>
    </row>
    <row r="148" s="514" customFormat="true" ht="13.5" hidden="false" customHeight="true" outlineLevel="0" collapsed="false">
      <c r="A148" s="10"/>
      <c r="B148" s="16"/>
      <c r="C148" s="29"/>
      <c r="D148" s="421"/>
      <c r="E148" s="472"/>
      <c r="F148" s="17"/>
      <c r="G148" s="610"/>
      <c r="H148" s="513"/>
      <c r="I148" s="421"/>
      <c r="J148" s="421"/>
      <c r="K148" s="421"/>
      <c r="L148" s="421"/>
      <c r="M148" s="421"/>
      <c r="N148" s="421"/>
      <c r="O148" s="421"/>
      <c r="P148" s="421"/>
      <c r="Q148" s="421"/>
      <c r="R148" s="421"/>
      <c r="S148" s="421"/>
      <c r="T148" s="513"/>
      <c r="U148" s="421"/>
      <c r="V148" s="421"/>
      <c r="W148" s="421"/>
      <c r="X148" s="421"/>
      <c r="Y148" s="421"/>
      <c r="Z148" s="421"/>
      <c r="AA148" s="421"/>
      <c r="AB148" s="421"/>
      <c r="AC148" s="421"/>
      <c r="AD148" s="421"/>
      <c r="AE148" s="421"/>
      <c r="AF148" s="513"/>
      <c r="AG148" s="421"/>
      <c r="AH148" s="421"/>
      <c r="AI148" s="421"/>
      <c r="AJ148" s="421"/>
      <c r="AK148" s="421"/>
      <c r="AL148" s="421"/>
      <c r="AM148" s="421"/>
      <c r="AN148" s="421"/>
      <c r="AO148" s="421"/>
      <c r="AP148" s="421"/>
      <c r="AQ148" s="421"/>
      <c r="AR148" s="513"/>
      <c r="AS148" s="421"/>
      <c r="AT148" s="421"/>
      <c r="AU148" s="421"/>
      <c r="AV148" s="421"/>
      <c r="AW148" s="421"/>
      <c r="AX148" s="421"/>
      <c r="AY148" s="421"/>
      <c r="AZ148" s="421"/>
      <c r="BA148" s="421"/>
      <c r="BB148" s="421"/>
      <c r="BC148" s="421"/>
      <c r="BD148" s="513"/>
      <c r="BE148" s="421"/>
      <c r="BF148" s="421"/>
      <c r="BG148" s="421"/>
      <c r="BH148" s="421"/>
      <c r="BI148" s="421"/>
      <c r="BJ148" s="421"/>
      <c r="BK148" s="421"/>
      <c r="BL148" s="421"/>
      <c r="BM148" s="421"/>
      <c r="BN148" s="421"/>
      <c r="BO148" s="421"/>
      <c r="BP148" s="513"/>
      <c r="BQ148" s="421"/>
      <c r="BR148" s="421"/>
      <c r="BS148" s="421"/>
      <c r="BT148" s="421"/>
      <c r="BU148" s="421"/>
      <c r="BV148" s="421"/>
      <c r="BW148" s="421"/>
      <c r="BX148" s="421"/>
      <c r="BY148" s="421"/>
      <c r="BZ148" s="421"/>
      <c r="CA148" s="421"/>
      <c r="CB148" s="513"/>
      <c r="CC148" s="421"/>
      <c r="CD148" s="421"/>
      <c r="CE148" s="421"/>
      <c r="CF148" s="421"/>
      <c r="CG148" s="421"/>
      <c r="CH148" s="421"/>
      <c r="CI148" s="421"/>
      <c r="CJ148" s="421"/>
      <c r="CK148" s="421"/>
      <c r="CL148" s="421"/>
      <c r="CM148" s="421"/>
      <c r="CN148" s="513"/>
      <c r="CO148" s="421"/>
      <c r="CP148" s="421"/>
      <c r="CQ148" s="421"/>
      <c r="CR148" s="421"/>
      <c r="CS148" s="421"/>
      <c r="CT148" s="421"/>
      <c r="CU148" s="421"/>
      <c r="CV148" s="421"/>
      <c r="CW148" s="421"/>
      <c r="CX148" s="421"/>
      <c r="CY148" s="421"/>
      <c r="CZ148" s="513"/>
      <c r="DA148" s="421"/>
      <c r="DB148" s="421"/>
      <c r="DC148" s="421"/>
      <c r="DD148" s="421"/>
      <c r="DE148" s="421"/>
      <c r="DF148" s="421"/>
      <c r="DG148" s="421"/>
      <c r="DH148" s="421"/>
      <c r="DI148" s="421"/>
      <c r="DJ148" s="421"/>
      <c r="DK148" s="421"/>
      <c r="DL148" s="513"/>
      <c r="DM148" s="421"/>
      <c r="DN148" s="421"/>
      <c r="DO148" s="421"/>
      <c r="DP148" s="421"/>
      <c r="DQ148" s="421"/>
      <c r="DR148" s="421"/>
      <c r="DS148" s="421"/>
      <c r="DT148" s="421"/>
      <c r="DU148" s="421"/>
      <c r="DV148" s="421"/>
      <c r="DW148" s="421"/>
      <c r="DX148" s="421"/>
      <c r="DY148" s="421"/>
      <c r="DZ148" s="421"/>
      <c r="EA148" s="421"/>
      <c r="EB148" s="421"/>
      <c r="EC148" s="421"/>
      <c r="ED148" s="421"/>
      <c r="EE148" s="421"/>
      <c r="EF148" s="421"/>
      <c r="EG148" s="421"/>
      <c r="EH148" s="421"/>
      <c r="EI148" s="472"/>
    </row>
    <row r="149" s="514" customFormat="true" ht="13.5" hidden="false" customHeight="true" outlineLevel="0" collapsed="false">
      <c r="A149" s="10"/>
      <c r="B149" s="16" t="s">
        <v>57</v>
      </c>
      <c r="C149" s="628" t="n">
        <f aca="false">'Executive Summary'!O12</f>
        <v>0.01</v>
      </c>
      <c r="D149" s="421"/>
      <c r="E149" s="472" t="n">
        <f aca="false">SUM(G149:EI149)</f>
        <v>43342.3551899411</v>
      </c>
      <c r="F149" s="17"/>
      <c r="G149" s="610" t="n">
        <f aca="false">IF(G$4&lt;='Executive Summary'!$I$13,$C$149*G37,0)</f>
        <v>0</v>
      </c>
      <c r="H149" s="513" t="n">
        <f aca="false">IF(H$4&lt;='Executive Summary'!$I$13,$C$149*H37,0)</f>
        <v>638.26306568275</v>
      </c>
      <c r="I149" s="421" t="n">
        <f aca="false">IF(I$4&lt;='Executive Summary'!$I$13,$C$149*I37,0)</f>
        <v>642.00038349222</v>
      </c>
      <c r="J149" s="421" t="n">
        <f aca="false">IF(J$4&lt;='Executive Summary'!$I$13,$C$149*J37,0)</f>
        <v>646.753224214802</v>
      </c>
      <c r="K149" s="421" t="n">
        <f aca="false">IF(K$4&lt;='Executive Summary'!$I$13,$C$149*K37,0)</f>
        <v>650.539246036143</v>
      </c>
      <c r="L149" s="421" t="n">
        <f aca="false">IF(L$4&lt;='Executive Summary'!$I$13,$C$149*L37,0)</f>
        <v>655.350115681794</v>
      </c>
      <c r="M149" s="421" t="n">
        <f aca="false">IF(M$4&lt;='Executive Summary'!$I$13,$C$149*M37,0)</f>
        <v>659.193106306736</v>
      </c>
      <c r="N149" s="421" t="n">
        <f aca="false">IF(N$4&lt;='Executive Summary'!$I$13,$C$149*N37,0)</f>
        <v>664.062069470089</v>
      </c>
      <c r="O149" s="421" t="n">
        <f aca="false">IF(O$4&lt;='Executive Summary'!$I$13,$C$149*O37,0)</f>
        <v>667.962092331879</v>
      </c>
      <c r="P149" s="421" t="n">
        <f aca="false">IF(P$4&lt;='Executive Summary'!$I$13,$C$149*P37,0)</f>
        <v>672.889213681527</v>
      </c>
      <c r="Q149" s="421" t="n">
        <f aca="false">IF(Q$4&lt;='Executive Summary'!$I$13,$C$149*Q37,0)</f>
        <v>676.846332286099</v>
      </c>
      <c r="R149" s="421" t="n">
        <f aca="false">IF(R$4&lt;='Executive Summary'!$I$13,$C$149*R37,0)</f>
        <v>681.831676564686</v>
      </c>
      <c r="S149" s="421" t="n">
        <f aca="false">IF(S$4&lt;='Executive Summary'!$I$13,$C$149*S37,0)</f>
        <v>685.845954490755</v>
      </c>
      <c r="T149" s="513" t="n">
        <f aca="false">IF(T$4&lt;='Executive Summary'!$I$13,$C$149*T37,0)</f>
        <v>688.472444323557</v>
      </c>
      <c r="U149" s="421" t="n">
        <f aca="false">IF(U$4&lt;='Executive Summary'!$I$13,$C$149*U37,0)</f>
        <v>690.906748905627</v>
      </c>
      <c r="V149" s="421" t="n">
        <f aca="false">IF(V$4&lt;='Executive Summary'!$I$13,$C$149*V37,0)</f>
        <v>692.461751420919</v>
      </c>
      <c r="W149" s="421" t="n">
        <f aca="false">IF(W$4&lt;='Executive Summary'!$I$13,$C$149*W37,0)</f>
        <v>695.128381280507</v>
      </c>
      <c r="X149" s="421" t="n">
        <f aca="false">IF(X$4&lt;='Executive Summary'!$I$13,$C$149*X37,0)</f>
        <v>696.915358957477</v>
      </c>
      <c r="Y149" s="421" t="n">
        <f aca="false">IF(Y$4&lt;='Executive Summary'!$I$13,$C$149*Y37,0)</f>
        <v>699.815799531252</v>
      </c>
      <c r="Z149" s="421" t="n">
        <f aca="false">IF(Z$4&lt;='Executive Summary'!$I$13,$C$149*Z37,0)</f>
        <v>701.836240715657</v>
      </c>
      <c r="AA149" s="421" t="n">
        <f aca="false">IF(AA$4&lt;='Executive Summary'!$I$13,$C$149*AA37,0)</f>
        <v>704.971985664924</v>
      </c>
      <c r="AB149" s="421" t="n">
        <f aca="false">IF(AB$4&lt;='Executive Summary'!$I$13,$C$149*AB37,0)</f>
        <v>707.227386947997</v>
      </c>
      <c r="AC149" s="421" t="n">
        <f aca="false">IF(AC$4&lt;='Executive Summary'!$I$13,$C$149*AC37,0)</f>
        <v>710.59993820307</v>
      </c>
      <c r="AD149" s="421" t="n">
        <f aca="false">IF(AD$4&lt;='Executive Summary'!$I$13,$C$149*AD37,0)</f>
        <v>713.091804466013</v>
      </c>
      <c r="AE149" s="421" t="n">
        <f aca="false">IF(AE$4&lt;='Executive Summary'!$I$13,$C$149*AE37,0)</f>
        <v>716.702672270824</v>
      </c>
      <c r="AF149" s="513" t="n">
        <f aca="false">IF(AF$4&lt;='Executive Summary'!$I$13,$C$149*AF37,0)</f>
        <v>718.014311129413</v>
      </c>
      <c r="AG149" s="421" t="n">
        <f aca="false">IF(AG$4&lt;='Executive Summary'!$I$13,$C$149*AG37,0)</f>
        <v>719.877951445235</v>
      </c>
      <c r="AH149" s="421" t="n">
        <f aca="false">IF(AH$4&lt;='Executive Summary'!$I$13,$C$149*AH37,0)</f>
        <v>721.734749170332</v>
      </c>
      <c r="AI149" s="421" t="n">
        <f aca="false">IF(AI$4&lt;='Executive Summary'!$I$13,$C$149*AI37,0)</f>
        <v>723.58465691982</v>
      </c>
      <c r="AJ149" s="421" t="n">
        <f aca="false">IF(AJ$4&lt;='Executive Summary'!$I$13,$C$149*AJ37,0)</f>
        <v>725.427627110465</v>
      </c>
      <c r="AK149" s="421" t="n">
        <f aca="false">IF(AK$4&lt;='Executive Summary'!$I$13,$C$149*AK37,0)</f>
        <v>727.263611959975</v>
      </c>
      <c r="AL149" s="421" t="n">
        <f aca="false">IF(AL$4&lt;='Executive Summary'!$I$13,$C$149*AL37,0)</f>
        <v>729.092563486291</v>
      </c>
      <c r="AM149" s="421" t="n">
        <f aca="false">IF(AM$4&lt;='Executive Summary'!$I$13,$C$149*AM37,0)</f>
        <v>730.914433506877</v>
      </c>
      <c r="AN149" s="421" t="n">
        <f aca="false">IF(AN$4&lt;='Executive Summary'!$I$13,$C$149*AN37,0)</f>
        <v>732.729173638005</v>
      </c>
      <c r="AO149" s="421" t="n">
        <f aca="false">IF(AO$4&lt;='Executive Summary'!$I$13,$C$149*AO37,0)</f>
        <v>734.605240412501</v>
      </c>
      <c r="AP149" s="421" t="n">
        <f aca="false">IF(AP$4&lt;='Executive Summary'!$I$13,$C$149*AP37,0)</f>
        <v>736.337069686714</v>
      </c>
      <c r="AQ149" s="421" t="n">
        <f aca="false">IF(AQ$4&lt;='Executive Summary'!$I$13,$C$149*AQ37,0)</f>
        <v>738.130127824419</v>
      </c>
      <c r="AR149" s="513" t="n">
        <f aca="false">IF(AR$4&lt;='Executive Summary'!$I$13,$C$149*AR37,0)</f>
        <v>739.393058962222</v>
      </c>
      <c r="AS149" s="421" t="n">
        <f aca="false">IF(AS$4&lt;='Executive Summary'!$I$13,$C$149*AS37,0)</f>
        <v>741.194750954775</v>
      </c>
      <c r="AT149" s="421" t="n">
        <f aca="false">IF(AT$4&lt;='Executive Summary'!$I$13,$C$149*AT37,0)</f>
        <v>743.000775577298</v>
      </c>
      <c r="AU149" s="421" t="n">
        <f aca="false">IF(AU$4&lt;='Executive Summary'!$I$13,$C$149*AU37,0)</f>
        <v>744.811143332183</v>
      </c>
      <c r="AV149" s="421" t="n">
        <f aca="false">IF(AV$4&lt;='Executive Summary'!$I$13,$C$149*AV37,0)</f>
        <v>746.625864747421</v>
      </c>
      <c r="AW149" s="421" t="n">
        <f aca="false">IF(AW$4&lt;='Executive Summary'!$I$13,$C$149*AW37,0)</f>
        <v>748.444950376666</v>
      </c>
      <c r="AX149" s="421" t="n">
        <f aca="false">IF(AX$4&lt;='Executive Summary'!$I$13,$C$149*AX37,0)</f>
        <v>750.268410799296</v>
      </c>
      <c r="AY149" s="421" t="n">
        <f aca="false">IF(AY$4&lt;='Executive Summary'!$I$13,$C$149*AY37,0)</f>
        <v>752.096256620476</v>
      </c>
      <c r="AZ149" s="421" t="n">
        <f aca="false">IF(AZ$4&lt;='Executive Summary'!$I$13,$C$149*AZ37,0)</f>
        <v>753.928498471225</v>
      </c>
      <c r="BA149" s="421" t="n">
        <f aca="false">IF(BA$4&lt;='Executive Summary'!$I$13,$C$149*BA37,0)</f>
        <v>755.765147008473</v>
      </c>
      <c r="BB149" s="421" t="n">
        <f aca="false">IF(BB$4&lt;='Executive Summary'!$I$13,$C$149*BB37,0)</f>
        <v>757.606212915128</v>
      </c>
      <c r="BC149" s="421" t="n">
        <f aca="false">IF(BC$4&lt;='Executive Summary'!$I$13,$C$149*BC37,0)</f>
        <v>759.451706900142</v>
      </c>
      <c r="BD149" s="513" t="n">
        <f aca="false">IF(BD$4&lt;='Executive Summary'!$I$13,$C$149*BD37,0)</f>
        <v>760.751167835883</v>
      </c>
      <c r="BE149" s="421" t="n">
        <f aca="false">IF(BE$4&lt;='Executive Summary'!$I$13,$C$149*BE37,0)</f>
        <v>762.605550208944</v>
      </c>
      <c r="BF149" s="421" t="n">
        <f aca="false">IF(BF$4&lt;='Executive Summary'!$I$13,$C$149*BF37,0)</f>
        <v>764.464392944098</v>
      </c>
      <c r="BG149" s="421" t="n">
        <f aca="false">IF(BG$4&lt;='Executive Summary'!$I$13,$C$149*BG37,0)</f>
        <v>766.327706855096</v>
      </c>
      <c r="BH149" s="421" t="n">
        <f aca="false">IF(BH$4&lt;='Executive Summary'!$I$13,$C$149*BH37,0)</f>
        <v>768.195502782053</v>
      </c>
      <c r="BI149" s="421" t="n">
        <f aca="false">IF(BI$4&lt;='Executive Summary'!$I$13,$C$149*BI37,0)</f>
        <v>770.06779159151</v>
      </c>
      <c r="BJ149" s="421" t="n">
        <f aca="false">IF(BJ$4&lt;='Executive Summary'!$I$13,$C$149*BJ37,0)</f>
        <v>771.944584176496</v>
      </c>
      <c r="BK149" s="421" t="n">
        <f aca="false">IF(BK$4&lt;='Executive Summary'!$I$13,$C$149*BK37,0)</f>
        <v>773.825891456598</v>
      </c>
      <c r="BL149" s="421" t="n">
        <f aca="false">IF(BL$4&lt;='Executive Summary'!$I$13,$C$149*BL37,0)</f>
        <v>775.711724378022</v>
      </c>
      <c r="BM149" s="421" t="n">
        <f aca="false">IF(BM$4&lt;='Executive Summary'!$I$13,$C$149*BM37,0)</f>
        <v>777.602093913659</v>
      </c>
      <c r="BN149" s="421" t="n">
        <f aca="false">IF(BN$4&lt;='Executive Summary'!$I$13,$C$149*BN37,0)</f>
        <v>779.49701106315</v>
      </c>
      <c r="BO149" s="421" t="n">
        <f aca="false">IF(BO$4&lt;='Executive Summary'!$I$13,$C$149*BO37,0)</f>
        <v>781.396486852956</v>
      </c>
      <c r="BP149" s="513" t="n">
        <f aca="false">IF(BP$4&lt;='Executive Summary'!$I$13,$C$149*BP37,0)</f>
        <v>0</v>
      </c>
      <c r="BQ149" s="421" t="n">
        <f aca="false">IF(BQ$4&lt;='Executive Summary'!$I$13,$C$149*BQ37,0)</f>
        <v>0</v>
      </c>
      <c r="BR149" s="421" t="n">
        <f aca="false">IF(BR$4&lt;='Executive Summary'!$I$13,$C$149*BR37,0)</f>
        <v>0</v>
      </c>
      <c r="BS149" s="421" t="n">
        <f aca="false">IF(BS$4&lt;='Executive Summary'!$I$13,$C$149*BS37,0)</f>
        <v>0</v>
      </c>
      <c r="BT149" s="421" t="n">
        <f aca="false">IF(BT$4&lt;='Executive Summary'!$I$13,$C$149*BT37,0)</f>
        <v>0</v>
      </c>
      <c r="BU149" s="421" t="n">
        <f aca="false">IF(BU$4&lt;='Executive Summary'!$I$13,$C$149*BU37,0)</f>
        <v>0</v>
      </c>
      <c r="BV149" s="421" t="n">
        <f aca="false">IF(BV$4&lt;='Executive Summary'!$I$13,$C$149*BV37,0)</f>
        <v>0</v>
      </c>
      <c r="BW149" s="421" t="n">
        <f aca="false">IF(BW$4&lt;='Executive Summary'!$I$13,$C$149*BW37,0)</f>
        <v>0</v>
      </c>
      <c r="BX149" s="421" t="n">
        <f aca="false">IF(BX$4&lt;='Executive Summary'!$I$13,$C$149*BX37,0)</f>
        <v>0</v>
      </c>
      <c r="BY149" s="421" t="n">
        <f aca="false">IF(BY$4&lt;='Executive Summary'!$I$13,$C$149*BY37,0)</f>
        <v>0</v>
      </c>
      <c r="BZ149" s="421" t="n">
        <f aca="false">IF(BZ$4&lt;='Executive Summary'!$I$13,$C$149*BZ37,0)</f>
        <v>0</v>
      </c>
      <c r="CA149" s="421" t="n">
        <f aca="false">IF(CA$4&lt;='Executive Summary'!$I$13,$C$149*CA37,0)</f>
        <v>0</v>
      </c>
      <c r="CB149" s="513" t="n">
        <f aca="false">IF(CB$4&lt;='Executive Summary'!$I$13,$C$149*CB37,0)</f>
        <v>0</v>
      </c>
      <c r="CC149" s="421" t="n">
        <f aca="false">IF(CC$4&lt;='Executive Summary'!$I$13,$C$149*CC37,0)</f>
        <v>0</v>
      </c>
      <c r="CD149" s="421" t="n">
        <f aca="false">IF(CD$4&lt;='Executive Summary'!$I$13,$C$149*CD37,0)</f>
        <v>0</v>
      </c>
      <c r="CE149" s="421" t="n">
        <f aca="false">IF(CE$4&lt;='Executive Summary'!$I$13,$C$149*CE37,0)</f>
        <v>0</v>
      </c>
      <c r="CF149" s="421" t="n">
        <f aca="false">IF(CF$4&lt;='Executive Summary'!$I$13,$C$149*CF37,0)</f>
        <v>0</v>
      </c>
      <c r="CG149" s="421" t="n">
        <f aca="false">IF(CG$4&lt;='Executive Summary'!$I$13,$C$149*CG37,0)</f>
        <v>0</v>
      </c>
      <c r="CH149" s="421" t="n">
        <f aca="false">IF(CH$4&lt;='Executive Summary'!$I$13,$C$149*CH37,0)</f>
        <v>0</v>
      </c>
      <c r="CI149" s="421" t="n">
        <f aca="false">IF(CI$4&lt;='Executive Summary'!$I$13,$C$149*CI37,0)</f>
        <v>0</v>
      </c>
      <c r="CJ149" s="421" t="n">
        <f aca="false">IF(CJ$4&lt;='Executive Summary'!$I$13,$C$149*CJ37,0)</f>
        <v>0</v>
      </c>
      <c r="CK149" s="421" t="n">
        <f aca="false">IF(CK$4&lt;='Executive Summary'!$I$13,$C$149*CK37,0)</f>
        <v>0</v>
      </c>
      <c r="CL149" s="421" t="n">
        <f aca="false">IF(CL$4&lt;='Executive Summary'!$I$13,$C$149*CL37,0)</f>
        <v>0</v>
      </c>
      <c r="CM149" s="421" t="n">
        <f aca="false">IF(CM$4&lt;='Executive Summary'!$I$13,$C$149*CM37,0)</f>
        <v>0</v>
      </c>
      <c r="CN149" s="513" t="n">
        <f aca="false">IF(CN$4&lt;='Executive Summary'!$I$13,$C$149*CN37,0)</f>
        <v>0</v>
      </c>
      <c r="CO149" s="421" t="n">
        <f aca="false">IF(CO$4&lt;='Executive Summary'!$I$13,$C$149*CO37,0)</f>
        <v>0</v>
      </c>
      <c r="CP149" s="421" t="n">
        <f aca="false">IF(CP$4&lt;='Executive Summary'!$I$13,$C$149*CP37,0)</f>
        <v>0</v>
      </c>
      <c r="CQ149" s="421" t="n">
        <f aca="false">IF(CQ$4&lt;='Executive Summary'!$I$13,$C$149*CQ37,0)</f>
        <v>0</v>
      </c>
      <c r="CR149" s="421" t="n">
        <f aca="false">IF(CR$4&lt;='Executive Summary'!$I$13,$C$149*CR37,0)</f>
        <v>0</v>
      </c>
      <c r="CS149" s="421" t="n">
        <f aca="false">IF(CS$4&lt;='Executive Summary'!$I$13,$C$149*CS37,0)</f>
        <v>0</v>
      </c>
      <c r="CT149" s="421" t="n">
        <f aca="false">IF(CT$4&lt;='Executive Summary'!$I$13,$C$149*CT37,0)</f>
        <v>0</v>
      </c>
      <c r="CU149" s="421" t="n">
        <f aca="false">IF(CU$4&lt;='Executive Summary'!$I$13,$C$149*CU37,0)</f>
        <v>0</v>
      </c>
      <c r="CV149" s="421" t="n">
        <f aca="false">IF(CV$4&lt;='Executive Summary'!$I$13,$C$149*CV37,0)</f>
        <v>0</v>
      </c>
      <c r="CW149" s="421" t="n">
        <f aca="false">IF(CW$4&lt;='Executive Summary'!$I$13,$C$149*CW37,0)</f>
        <v>0</v>
      </c>
      <c r="CX149" s="421" t="n">
        <f aca="false">IF(CX$4&lt;='Executive Summary'!$I$13,$C$149*CX37,0)</f>
        <v>0</v>
      </c>
      <c r="CY149" s="421" t="n">
        <f aca="false">IF(CY$4&lt;='Executive Summary'!$I$13,$C$149*CY37,0)</f>
        <v>0</v>
      </c>
      <c r="CZ149" s="513" t="n">
        <f aca="false">IF(CZ$4&lt;='Executive Summary'!$I$13,$C$149*CZ37,0)</f>
        <v>0</v>
      </c>
      <c r="DA149" s="421" t="n">
        <f aca="false">IF(DA$4&lt;='Executive Summary'!$I$13,$C$149*DA37,0)</f>
        <v>0</v>
      </c>
      <c r="DB149" s="421" t="n">
        <f aca="false">IF(DB$4&lt;='Executive Summary'!$I$13,$C$149*DB37,0)</f>
        <v>0</v>
      </c>
      <c r="DC149" s="421" t="n">
        <f aca="false">IF(DC$4&lt;='Executive Summary'!$I$13,$C$149*DC37,0)</f>
        <v>0</v>
      </c>
      <c r="DD149" s="421" t="n">
        <f aca="false">IF(DD$4&lt;='Executive Summary'!$I$13,$C$149*DD37,0)</f>
        <v>0</v>
      </c>
      <c r="DE149" s="421" t="n">
        <f aca="false">IF(DE$4&lt;='Executive Summary'!$I$13,$C$149*DE37,0)</f>
        <v>0</v>
      </c>
      <c r="DF149" s="421" t="n">
        <f aca="false">IF(DF$4&lt;='Executive Summary'!$I$13,$C$149*DF37,0)</f>
        <v>0</v>
      </c>
      <c r="DG149" s="421" t="n">
        <f aca="false">IF(DG$4&lt;='Executive Summary'!$I$13,$C$149*DG37,0)</f>
        <v>0</v>
      </c>
      <c r="DH149" s="421" t="n">
        <f aca="false">IF(DH$4&lt;='Executive Summary'!$I$13,$C$149*DH37,0)</f>
        <v>0</v>
      </c>
      <c r="DI149" s="421" t="n">
        <f aca="false">IF(DI$4&lt;='Executive Summary'!$I$13,$C$149*DI37,0)</f>
        <v>0</v>
      </c>
      <c r="DJ149" s="421" t="n">
        <f aca="false">IF(DJ$4&lt;='Executive Summary'!$I$13,$C$149*DJ37,0)</f>
        <v>0</v>
      </c>
      <c r="DK149" s="421" t="n">
        <f aca="false">IF(DK$4&lt;='Executive Summary'!$I$13,$C$149*DK37,0)</f>
        <v>0</v>
      </c>
      <c r="DL149" s="513" t="n">
        <f aca="false">IF(DL$4&lt;='Executive Summary'!$I$13,$C$149*DL37,0)</f>
        <v>0</v>
      </c>
      <c r="DM149" s="421" t="n">
        <f aca="false">IF(DM$4&lt;='Executive Summary'!$I$13,$C$149*DM37,0)</f>
        <v>0</v>
      </c>
      <c r="DN149" s="421" t="n">
        <f aca="false">IF(DN$4&lt;='Executive Summary'!$I$13,$C$149*DN37,0)</f>
        <v>0</v>
      </c>
      <c r="DO149" s="421" t="n">
        <f aca="false">IF(DO$4&lt;='Executive Summary'!$I$13,$C$149*DO37,0)</f>
        <v>0</v>
      </c>
      <c r="DP149" s="421" t="n">
        <f aca="false">IF(DP$4&lt;='Executive Summary'!$I$13,$C$149*DP37,0)</f>
        <v>0</v>
      </c>
      <c r="DQ149" s="421" t="n">
        <f aca="false">IF(DQ$4&lt;='Executive Summary'!$I$13,$C$149*DQ37,0)</f>
        <v>0</v>
      </c>
      <c r="DR149" s="421" t="n">
        <f aca="false">IF(DR$4&lt;='Executive Summary'!$I$13,$C$149*DR37,0)</f>
        <v>0</v>
      </c>
      <c r="DS149" s="421" t="n">
        <f aca="false">IF(DS$4&lt;='Executive Summary'!$I$13,$C$149*DS37,0)</f>
        <v>0</v>
      </c>
      <c r="DT149" s="421" t="n">
        <f aca="false">IF(DT$4&lt;='Executive Summary'!$I$13,$C$149*DT37,0)</f>
        <v>0</v>
      </c>
      <c r="DU149" s="421" t="n">
        <f aca="false">IF(DU$4&lt;='Executive Summary'!$I$13,$C$149*DU37,0)</f>
        <v>0</v>
      </c>
      <c r="DV149" s="421" t="n">
        <f aca="false">IF(DV$4&lt;='Executive Summary'!$I$13,$C$149*DV37,0)</f>
        <v>0</v>
      </c>
      <c r="DW149" s="421" t="n">
        <f aca="false">IF(DW$4&lt;='Executive Summary'!$I$13,$C$149*DW37,0)</f>
        <v>0</v>
      </c>
      <c r="DX149" s="421" t="n">
        <f aca="false">IF(DX$4&lt;='Executive Summary'!$I$13,$C$149*DX37,0)</f>
        <v>0</v>
      </c>
      <c r="DY149" s="421" t="n">
        <f aca="false">IF(DY$4&lt;='Executive Summary'!$I$13,$C$149*DY37,0)</f>
        <v>0</v>
      </c>
      <c r="DZ149" s="421" t="n">
        <f aca="false">IF(DZ$4&lt;='Executive Summary'!$I$13,$C$149*DZ37,0)</f>
        <v>0</v>
      </c>
      <c r="EA149" s="421" t="n">
        <f aca="false">IF(EA$4&lt;='Executive Summary'!$I$13,$C$149*EA37,0)</f>
        <v>0</v>
      </c>
      <c r="EB149" s="421" t="n">
        <f aca="false">IF(EB$4&lt;='Executive Summary'!$I$13,$C$149*EB37,0)</f>
        <v>0</v>
      </c>
      <c r="EC149" s="421" t="n">
        <f aca="false">IF(EC$4&lt;='Executive Summary'!$I$13,$C$149*EC37,0)</f>
        <v>0</v>
      </c>
      <c r="ED149" s="421" t="n">
        <f aca="false">IF(ED$4&lt;='Executive Summary'!$I$13,$C$149*ED37,0)</f>
        <v>0</v>
      </c>
      <c r="EE149" s="421" t="n">
        <f aca="false">IF(EE$4&lt;='Executive Summary'!$I$13,$C$149*EE37,0)</f>
        <v>0</v>
      </c>
      <c r="EF149" s="421" t="n">
        <f aca="false">IF(EF$4&lt;='Executive Summary'!$I$13,$C$149*EF37,0)</f>
        <v>0</v>
      </c>
      <c r="EG149" s="421" t="n">
        <f aca="false">IF(EG$4&lt;='Executive Summary'!$I$13,$C$149*EG37,0)</f>
        <v>0</v>
      </c>
      <c r="EH149" s="421" t="n">
        <f aca="false">IF(EH$4&lt;='Executive Summary'!$I$13,$C$149*EH37,0)</f>
        <v>0</v>
      </c>
      <c r="EI149" s="472" t="n">
        <f aca="false">IF(EI$4&lt;='Executive Summary'!$I$13,$C$149*EI37,0)</f>
        <v>0</v>
      </c>
    </row>
    <row r="150" s="514" customFormat="true" ht="13.5" hidden="false" customHeight="true" outlineLevel="0" collapsed="false">
      <c r="A150" s="10"/>
      <c r="B150" s="16" t="s">
        <v>66</v>
      </c>
      <c r="C150" s="628" t="n">
        <f aca="false">'Executive Summary'!O15</f>
        <v>0</v>
      </c>
      <c r="D150" s="421"/>
      <c r="E150" s="472" t="n">
        <f aca="false">SUM(G150:EI150)</f>
        <v>0</v>
      </c>
      <c r="F150" s="17"/>
      <c r="G150" s="610" t="n">
        <f aca="false">$C$150*G147</f>
        <v>-0</v>
      </c>
      <c r="H150" s="513" t="n">
        <f aca="false">$C$150*H147</f>
        <v>0</v>
      </c>
      <c r="I150" s="421" t="n">
        <f aca="false">$C$150*I147</f>
        <v>0</v>
      </c>
      <c r="J150" s="421" t="n">
        <f aca="false">$C$150*J147</f>
        <v>0</v>
      </c>
      <c r="K150" s="421" t="n">
        <f aca="false">$C$150*K147</f>
        <v>0</v>
      </c>
      <c r="L150" s="421" t="n">
        <f aca="false">$C$150*L147</f>
        <v>0</v>
      </c>
      <c r="M150" s="421" t="n">
        <f aca="false">$C$150*M147</f>
        <v>0</v>
      </c>
      <c r="N150" s="421" t="n">
        <f aca="false">$C$150*N147</f>
        <v>0</v>
      </c>
      <c r="O150" s="421" t="n">
        <f aca="false">$C$150*O147</f>
        <v>0</v>
      </c>
      <c r="P150" s="421" t="n">
        <f aca="false">$C$150*P147</f>
        <v>0</v>
      </c>
      <c r="Q150" s="421" t="n">
        <f aca="false">$C$150*Q147</f>
        <v>0</v>
      </c>
      <c r="R150" s="421" t="n">
        <f aca="false">$C$150*R147</f>
        <v>0</v>
      </c>
      <c r="S150" s="421" t="n">
        <f aca="false">$C$150*S147</f>
        <v>0</v>
      </c>
      <c r="T150" s="513" t="n">
        <f aca="false">$C$150*T147</f>
        <v>0</v>
      </c>
      <c r="U150" s="421" t="n">
        <f aca="false">$C$150*U147</f>
        <v>0</v>
      </c>
      <c r="V150" s="421" t="n">
        <f aca="false">$C$150*V147</f>
        <v>0</v>
      </c>
      <c r="W150" s="421" t="n">
        <f aca="false">$C$150*W147</f>
        <v>0</v>
      </c>
      <c r="X150" s="421" t="n">
        <f aca="false">$C$150*X147</f>
        <v>0</v>
      </c>
      <c r="Y150" s="421" t="n">
        <f aca="false">$C$150*Y147</f>
        <v>0</v>
      </c>
      <c r="Z150" s="421" t="n">
        <f aca="false">$C$150*Z147</f>
        <v>0</v>
      </c>
      <c r="AA150" s="421" t="n">
        <f aca="false">$C$150*AA147</f>
        <v>0</v>
      </c>
      <c r="AB150" s="421" t="n">
        <f aca="false">$C$150*AB147</f>
        <v>0</v>
      </c>
      <c r="AC150" s="421" t="n">
        <f aca="false">$C$150*AC147</f>
        <v>0</v>
      </c>
      <c r="AD150" s="421" t="n">
        <f aca="false">$C$150*AD147</f>
        <v>0</v>
      </c>
      <c r="AE150" s="421" t="n">
        <f aca="false">$C$150*AE147</f>
        <v>0</v>
      </c>
      <c r="AF150" s="513" t="n">
        <f aca="false">$C$150*AF147</f>
        <v>0</v>
      </c>
      <c r="AG150" s="421" t="n">
        <f aca="false">$C$150*AG147</f>
        <v>0</v>
      </c>
      <c r="AH150" s="421" t="n">
        <f aca="false">$C$150*AH147</f>
        <v>0</v>
      </c>
      <c r="AI150" s="421" t="n">
        <f aca="false">$C$150*AI147</f>
        <v>0</v>
      </c>
      <c r="AJ150" s="421" t="n">
        <f aca="false">$C$150*AJ147</f>
        <v>0</v>
      </c>
      <c r="AK150" s="421" t="n">
        <f aca="false">$C$150*AK147</f>
        <v>0</v>
      </c>
      <c r="AL150" s="421" t="n">
        <f aca="false">$C$150*AL147</f>
        <v>0</v>
      </c>
      <c r="AM150" s="421" t="n">
        <f aca="false">$C$150*AM147</f>
        <v>0</v>
      </c>
      <c r="AN150" s="421" t="n">
        <f aca="false">$C$150*AN147</f>
        <v>0</v>
      </c>
      <c r="AO150" s="421" t="n">
        <f aca="false">$C$150*AO147</f>
        <v>0</v>
      </c>
      <c r="AP150" s="421" t="n">
        <f aca="false">$C$150*AP147</f>
        <v>0</v>
      </c>
      <c r="AQ150" s="421" t="n">
        <f aca="false">$C$150*AQ147</f>
        <v>0</v>
      </c>
      <c r="AR150" s="513" t="n">
        <f aca="false">$C$150*AR147</f>
        <v>0</v>
      </c>
      <c r="AS150" s="421" t="n">
        <f aca="false">$C$150*AS147</f>
        <v>0</v>
      </c>
      <c r="AT150" s="421" t="n">
        <f aca="false">$C$150*AT147</f>
        <v>0</v>
      </c>
      <c r="AU150" s="421" t="n">
        <f aca="false">$C$150*AU147</f>
        <v>0</v>
      </c>
      <c r="AV150" s="421" t="n">
        <f aca="false">$C$150*AV147</f>
        <v>0</v>
      </c>
      <c r="AW150" s="421" t="n">
        <f aca="false">$C$150*AW147</f>
        <v>0</v>
      </c>
      <c r="AX150" s="421" t="n">
        <f aca="false">$C$150*AX147</f>
        <v>0</v>
      </c>
      <c r="AY150" s="421" t="n">
        <f aca="false">$C$150*AY147</f>
        <v>0</v>
      </c>
      <c r="AZ150" s="421" t="n">
        <f aca="false">$C$150*AZ147</f>
        <v>0</v>
      </c>
      <c r="BA150" s="421" t="n">
        <f aca="false">$C$150*BA147</f>
        <v>0</v>
      </c>
      <c r="BB150" s="421" t="n">
        <f aca="false">$C$150*BB147</f>
        <v>0</v>
      </c>
      <c r="BC150" s="421" t="n">
        <f aca="false">$C$150*BC147</f>
        <v>0</v>
      </c>
      <c r="BD150" s="513" t="n">
        <f aca="false">$C$150*BD147</f>
        <v>0</v>
      </c>
      <c r="BE150" s="421" t="n">
        <f aca="false">$C$150*BE147</f>
        <v>0</v>
      </c>
      <c r="BF150" s="421" t="n">
        <f aca="false">$C$150*BF147</f>
        <v>0</v>
      </c>
      <c r="BG150" s="421" t="n">
        <f aca="false">$C$150*BG147</f>
        <v>0</v>
      </c>
      <c r="BH150" s="421" t="n">
        <f aca="false">$C$150*BH147</f>
        <v>0</v>
      </c>
      <c r="BI150" s="421" t="n">
        <f aca="false">$C$150*BI147</f>
        <v>0</v>
      </c>
      <c r="BJ150" s="421" t="n">
        <f aca="false">$C$150*BJ147</f>
        <v>0</v>
      </c>
      <c r="BK150" s="421" t="n">
        <f aca="false">$C$150*BK147</f>
        <v>0</v>
      </c>
      <c r="BL150" s="421" t="n">
        <f aca="false">$C$150*BL147</f>
        <v>0</v>
      </c>
      <c r="BM150" s="421" t="n">
        <f aca="false">$C$150*BM147</f>
        <v>0</v>
      </c>
      <c r="BN150" s="421" t="n">
        <f aca="false">$C$150*BN147</f>
        <v>0</v>
      </c>
      <c r="BO150" s="421" t="n">
        <f aca="false">$C$150*BO147</f>
        <v>0</v>
      </c>
      <c r="BP150" s="513" t="n">
        <f aca="false">$C$150*BP147</f>
        <v>0</v>
      </c>
      <c r="BQ150" s="421" t="n">
        <f aca="false">$C$150*BQ147</f>
        <v>0</v>
      </c>
      <c r="BR150" s="421" t="n">
        <f aca="false">$C$150*BR147</f>
        <v>0</v>
      </c>
      <c r="BS150" s="421" t="n">
        <f aca="false">$C$150*BS147</f>
        <v>0</v>
      </c>
      <c r="BT150" s="421" t="n">
        <f aca="false">$C$150*BT147</f>
        <v>0</v>
      </c>
      <c r="BU150" s="421" t="n">
        <f aca="false">$C$150*BU147</f>
        <v>0</v>
      </c>
      <c r="BV150" s="421" t="n">
        <f aca="false">$C$150*BV147</f>
        <v>0</v>
      </c>
      <c r="BW150" s="421" t="n">
        <f aca="false">$C$150*BW147</f>
        <v>0</v>
      </c>
      <c r="BX150" s="421" t="n">
        <f aca="false">$C$150*BX147</f>
        <v>0</v>
      </c>
      <c r="BY150" s="421" t="n">
        <f aca="false">$C$150*BY147</f>
        <v>0</v>
      </c>
      <c r="BZ150" s="421" t="n">
        <f aca="false">$C$150*BZ147</f>
        <v>0</v>
      </c>
      <c r="CA150" s="421" t="n">
        <f aca="false">$C$150*CA147</f>
        <v>0</v>
      </c>
      <c r="CB150" s="513" t="n">
        <f aca="false">$C$150*CB147</f>
        <v>0</v>
      </c>
      <c r="CC150" s="421" t="n">
        <f aca="false">$C$150*CC147</f>
        <v>0</v>
      </c>
      <c r="CD150" s="421" t="n">
        <f aca="false">$C$150*CD147</f>
        <v>0</v>
      </c>
      <c r="CE150" s="421" t="n">
        <f aca="false">$C$150*CE147</f>
        <v>0</v>
      </c>
      <c r="CF150" s="421" t="n">
        <f aca="false">$C$150*CF147</f>
        <v>0</v>
      </c>
      <c r="CG150" s="421" t="n">
        <f aca="false">$C$150*CG147</f>
        <v>0</v>
      </c>
      <c r="CH150" s="421" t="n">
        <f aca="false">$C$150*CH147</f>
        <v>0</v>
      </c>
      <c r="CI150" s="421" t="n">
        <f aca="false">$C$150*CI147</f>
        <v>0</v>
      </c>
      <c r="CJ150" s="421" t="n">
        <f aca="false">$C$150*CJ147</f>
        <v>0</v>
      </c>
      <c r="CK150" s="421" t="n">
        <f aca="false">$C$150*CK147</f>
        <v>0</v>
      </c>
      <c r="CL150" s="421" t="n">
        <f aca="false">$C$150*CL147</f>
        <v>0</v>
      </c>
      <c r="CM150" s="421" t="n">
        <f aca="false">$C$150*CM147</f>
        <v>0</v>
      </c>
      <c r="CN150" s="513" t="n">
        <f aca="false">$C$150*CN147</f>
        <v>0</v>
      </c>
      <c r="CO150" s="421" t="n">
        <f aca="false">$C$150*CO147</f>
        <v>0</v>
      </c>
      <c r="CP150" s="421" t="n">
        <f aca="false">$C$150*CP147</f>
        <v>0</v>
      </c>
      <c r="CQ150" s="421" t="n">
        <f aca="false">$C$150*CQ147</f>
        <v>0</v>
      </c>
      <c r="CR150" s="421" t="n">
        <f aca="false">$C$150*CR147</f>
        <v>0</v>
      </c>
      <c r="CS150" s="421" t="n">
        <f aca="false">$C$150*CS147</f>
        <v>0</v>
      </c>
      <c r="CT150" s="421" t="n">
        <f aca="false">$C$150*CT147</f>
        <v>0</v>
      </c>
      <c r="CU150" s="421" t="n">
        <f aca="false">$C$150*CU147</f>
        <v>0</v>
      </c>
      <c r="CV150" s="421" t="n">
        <f aca="false">$C$150*CV147</f>
        <v>0</v>
      </c>
      <c r="CW150" s="421" t="n">
        <f aca="false">$C$150*CW147</f>
        <v>0</v>
      </c>
      <c r="CX150" s="421" t="n">
        <f aca="false">$C$150*CX147</f>
        <v>0</v>
      </c>
      <c r="CY150" s="421" t="n">
        <f aca="false">$C$150*CY147</f>
        <v>0</v>
      </c>
      <c r="CZ150" s="513" t="n">
        <f aca="false">$C$150*CZ147</f>
        <v>0</v>
      </c>
      <c r="DA150" s="421" t="n">
        <f aca="false">$C$150*DA147</f>
        <v>0</v>
      </c>
      <c r="DB150" s="421" t="n">
        <f aca="false">$C$150*DB147</f>
        <v>0</v>
      </c>
      <c r="DC150" s="421" t="n">
        <f aca="false">$C$150*DC147</f>
        <v>0</v>
      </c>
      <c r="DD150" s="421" t="n">
        <f aca="false">$C$150*DD147</f>
        <v>0</v>
      </c>
      <c r="DE150" s="421" t="n">
        <f aca="false">$C$150*DE147</f>
        <v>0</v>
      </c>
      <c r="DF150" s="421" t="n">
        <f aca="false">$C$150*DF147</f>
        <v>0</v>
      </c>
      <c r="DG150" s="421" t="n">
        <f aca="false">$C$150*DG147</f>
        <v>0</v>
      </c>
      <c r="DH150" s="421" t="n">
        <f aca="false">$C$150*DH147</f>
        <v>0</v>
      </c>
      <c r="DI150" s="421" t="n">
        <f aca="false">$C$150*DI147</f>
        <v>0</v>
      </c>
      <c r="DJ150" s="421" t="n">
        <f aca="false">$C$150*DJ147</f>
        <v>0</v>
      </c>
      <c r="DK150" s="421" t="n">
        <f aca="false">$C$150*DK147</f>
        <v>0</v>
      </c>
      <c r="DL150" s="513" t="n">
        <f aca="false">$C$150*DL147</f>
        <v>0</v>
      </c>
      <c r="DM150" s="421" t="n">
        <f aca="false">$C$150*DM147</f>
        <v>0</v>
      </c>
      <c r="DN150" s="421" t="n">
        <f aca="false">$C$150*DN147</f>
        <v>0</v>
      </c>
      <c r="DO150" s="421" t="n">
        <f aca="false">$C$150*DO147</f>
        <v>0</v>
      </c>
      <c r="DP150" s="421" t="n">
        <f aca="false">$C$150*DP147</f>
        <v>0</v>
      </c>
      <c r="DQ150" s="421" t="n">
        <f aca="false">$C$150*DQ147</f>
        <v>0</v>
      </c>
      <c r="DR150" s="421" t="n">
        <f aca="false">$C$150*DR147</f>
        <v>0</v>
      </c>
      <c r="DS150" s="421" t="n">
        <f aca="false">$C$150*DS147</f>
        <v>0</v>
      </c>
      <c r="DT150" s="421" t="n">
        <f aca="false">$C$150*DT147</f>
        <v>0</v>
      </c>
      <c r="DU150" s="421" t="n">
        <f aca="false">$C$150*DU147</f>
        <v>0</v>
      </c>
      <c r="DV150" s="421" t="n">
        <f aca="false">$C$150*DV147</f>
        <v>0</v>
      </c>
      <c r="DW150" s="421" t="n">
        <f aca="false">$C$150*DW147</f>
        <v>0</v>
      </c>
      <c r="DX150" s="421" t="n">
        <f aca="false">$C$150*DX147</f>
        <v>0</v>
      </c>
      <c r="DY150" s="421" t="n">
        <f aca="false">$C$150*DY147</f>
        <v>0</v>
      </c>
      <c r="DZ150" s="421" t="n">
        <f aca="false">$C$150*DZ147</f>
        <v>0</v>
      </c>
      <c r="EA150" s="421" t="n">
        <f aca="false">$C$150*EA147</f>
        <v>0</v>
      </c>
      <c r="EB150" s="421" t="n">
        <f aca="false">$C$150*EB147</f>
        <v>0</v>
      </c>
      <c r="EC150" s="421" t="n">
        <f aca="false">$C$150*EC147</f>
        <v>0</v>
      </c>
      <c r="ED150" s="421" t="n">
        <f aca="false">$C$150*ED147</f>
        <v>0</v>
      </c>
      <c r="EE150" s="421" t="n">
        <f aca="false">$C$150*EE147</f>
        <v>0</v>
      </c>
      <c r="EF150" s="421" t="n">
        <f aca="false">$C$150*EF147</f>
        <v>0</v>
      </c>
      <c r="EG150" s="421" t="n">
        <f aca="false">$C$150*EG147</f>
        <v>0</v>
      </c>
      <c r="EH150" s="421" t="n">
        <f aca="false">$C$150*EH147</f>
        <v>0</v>
      </c>
      <c r="EI150" s="472" t="n">
        <f aca="false">$C$150*EI147</f>
        <v>0</v>
      </c>
    </row>
    <row r="151" s="514" customFormat="true" ht="13.5" hidden="false" customHeight="true" outlineLevel="0" collapsed="false">
      <c r="A151" s="10"/>
      <c r="B151" s="16"/>
      <c r="C151" s="29"/>
      <c r="D151" s="421"/>
      <c r="E151" s="472"/>
      <c r="F151" s="17"/>
      <c r="G151" s="610"/>
      <c r="H151" s="513"/>
      <c r="I151" s="421"/>
      <c r="J151" s="421"/>
      <c r="K151" s="421"/>
      <c r="L151" s="421"/>
      <c r="M151" s="421"/>
      <c r="N151" s="421"/>
      <c r="O151" s="421"/>
      <c r="P151" s="421"/>
      <c r="Q151" s="421"/>
      <c r="R151" s="421"/>
      <c r="S151" s="421"/>
      <c r="T151" s="513"/>
      <c r="U151" s="421"/>
      <c r="V151" s="421"/>
      <c r="W151" s="421"/>
      <c r="X151" s="421"/>
      <c r="Y151" s="421"/>
      <c r="Z151" s="421"/>
      <c r="AA151" s="421"/>
      <c r="AB151" s="421"/>
      <c r="AC151" s="421"/>
      <c r="AD151" s="421"/>
      <c r="AE151" s="421"/>
      <c r="AF151" s="513"/>
      <c r="AG151" s="421"/>
      <c r="AH151" s="421"/>
      <c r="AI151" s="421"/>
      <c r="AJ151" s="421"/>
      <c r="AK151" s="421"/>
      <c r="AL151" s="421"/>
      <c r="AM151" s="421"/>
      <c r="AN151" s="421"/>
      <c r="AO151" s="421"/>
      <c r="AP151" s="421"/>
      <c r="AQ151" s="421"/>
      <c r="AR151" s="513"/>
      <c r="AS151" s="421"/>
      <c r="AT151" s="421"/>
      <c r="AU151" s="421"/>
      <c r="AV151" s="421"/>
      <c r="AW151" s="421"/>
      <c r="AX151" s="421"/>
      <c r="AY151" s="421"/>
      <c r="AZ151" s="421"/>
      <c r="BA151" s="421"/>
      <c r="BB151" s="421"/>
      <c r="BC151" s="421"/>
      <c r="BD151" s="513"/>
      <c r="BE151" s="421"/>
      <c r="BF151" s="421"/>
      <c r="BG151" s="421"/>
      <c r="BH151" s="421"/>
      <c r="BI151" s="421"/>
      <c r="BJ151" s="421"/>
      <c r="BK151" s="421"/>
      <c r="BL151" s="421"/>
      <c r="BM151" s="421"/>
      <c r="BN151" s="421"/>
      <c r="BO151" s="421"/>
      <c r="BP151" s="513"/>
      <c r="BQ151" s="421"/>
      <c r="BR151" s="421"/>
      <c r="BS151" s="421"/>
      <c r="BT151" s="421"/>
      <c r="BU151" s="421"/>
      <c r="BV151" s="421"/>
      <c r="BW151" s="421"/>
      <c r="BX151" s="421"/>
      <c r="BY151" s="421"/>
      <c r="BZ151" s="421"/>
      <c r="CA151" s="421"/>
      <c r="CB151" s="513"/>
      <c r="CC151" s="421"/>
      <c r="CD151" s="421"/>
      <c r="CE151" s="421"/>
      <c r="CF151" s="421"/>
      <c r="CG151" s="421"/>
      <c r="CH151" s="421"/>
      <c r="CI151" s="421"/>
      <c r="CJ151" s="421"/>
      <c r="CK151" s="421"/>
      <c r="CL151" s="421"/>
      <c r="CM151" s="421"/>
      <c r="CN151" s="513"/>
      <c r="CO151" s="421"/>
      <c r="CP151" s="421"/>
      <c r="CQ151" s="421"/>
      <c r="CR151" s="421"/>
      <c r="CS151" s="421"/>
      <c r="CT151" s="421"/>
      <c r="CU151" s="421"/>
      <c r="CV151" s="421"/>
      <c r="CW151" s="421"/>
      <c r="CX151" s="421"/>
      <c r="CY151" s="421"/>
      <c r="CZ151" s="513"/>
      <c r="DA151" s="421"/>
      <c r="DB151" s="421"/>
      <c r="DC151" s="421"/>
      <c r="DD151" s="421"/>
      <c r="DE151" s="421"/>
      <c r="DF151" s="421"/>
      <c r="DG151" s="421"/>
      <c r="DH151" s="421"/>
      <c r="DI151" s="421"/>
      <c r="DJ151" s="421"/>
      <c r="DK151" s="421"/>
      <c r="DL151" s="513"/>
      <c r="DM151" s="421"/>
      <c r="DN151" s="421"/>
      <c r="DO151" s="421"/>
      <c r="DP151" s="421"/>
      <c r="DQ151" s="421"/>
      <c r="DR151" s="421"/>
      <c r="DS151" s="421"/>
      <c r="DT151" s="421"/>
      <c r="DU151" s="421"/>
      <c r="DV151" s="421"/>
      <c r="DW151" s="421"/>
      <c r="DX151" s="421"/>
      <c r="DY151" s="421"/>
      <c r="DZ151" s="421"/>
      <c r="EA151" s="421"/>
      <c r="EB151" s="421"/>
      <c r="EC151" s="421"/>
      <c r="ED151" s="421"/>
      <c r="EE151" s="421"/>
      <c r="EF151" s="421"/>
      <c r="EG151" s="421"/>
      <c r="EH151" s="421"/>
      <c r="EI151" s="472"/>
    </row>
    <row r="152" s="514" customFormat="true" ht="13.5" hidden="false" customHeight="true" outlineLevel="0" collapsed="false">
      <c r="A152" s="10"/>
      <c r="B152" s="92" t="s">
        <v>619</v>
      </c>
      <c r="C152" s="605"/>
      <c r="D152" s="606"/>
      <c r="E152" s="607" t="n">
        <f aca="false">SUM(G152:EI152)</f>
        <v>2594057.9884767</v>
      </c>
      <c r="F152" s="17"/>
      <c r="G152" s="608" t="n">
        <f aca="false">-G116+G147-G149-G150</f>
        <v>-2083229.222</v>
      </c>
      <c r="H152" s="609" t="n">
        <f aca="false">-H116+H147-H149-H150</f>
        <v>11912.0378353767</v>
      </c>
      <c r="I152" s="606" t="n">
        <f aca="false">-I116+I147-I149-I150</f>
        <v>12222.6654293869</v>
      </c>
      <c r="J152" s="606" t="n">
        <f aca="false">-J116+J147-J149-J150</f>
        <v>12630.1990160829</v>
      </c>
      <c r="K152" s="606" t="n">
        <f aca="false">-K116+K147-K149-K150</f>
        <v>12945.3248259381</v>
      </c>
      <c r="L152" s="606" t="n">
        <f aca="false">-L116+L147-L149-L150</f>
        <v>13358.2469047782</v>
      </c>
      <c r="M152" s="606" t="n">
        <f aca="false">-M116+M147-M149-M150</f>
        <v>13678.6597122305</v>
      </c>
      <c r="N152" s="606" t="n">
        <f aca="false">-N116+N147-N149-N150</f>
        <v>14096.9759453083</v>
      </c>
      <c r="O152" s="606" t="n">
        <f aca="false">-O116+O147-O149-O150</f>
        <v>14422.681300702</v>
      </c>
      <c r="P152" s="606" t="n">
        <f aca="false">-P116+P147-P149-P150</f>
        <v>14846.3973554992</v>
      </c>
      <c r="Q152" s="606" t="n">
        <f aca="false">-Q116+Q147-Q149-Q150</f>
        <v>15177.4008144425</v>
      </c>
      <c r="R152" s="606" t="n">
        <f aca="false">-R116+R147-R149-R150</f>
        <v>15606.5223638321</v>
      </c>
      <c r="S152" s="606" t="n">
        <f aca="false">-S116+S147-S149-S150</f>
        <v>15942.8294872004</v>
      </c>
      <c r="T152" s="609" t="n">
        <f aca="false">-T116+T147-T149-T150</f>
        <v>15694.8979610543</v>
      </c>
      <c r="U152" s="606" t="n">
        <f aca="false">-U116+U147-U149-U150</f>
        <v>15879.4161677238</v>
      </c>
      <c r="V152" s="606" t="n">
        <f aca="false">-V116+V147-V149-V150</f>
        <v>15979.8818206767</v>
      </c>
      <c r="W152" s="606" t="n">
        <f aca="false">-W116+W147-W149-W150</f>
        <v>16186.4285478547</v>
      </c>
      <c r="X152" s="606" t="n">
        <f aca="false">-X116+X147-X149-X150</f>
        <v>16308.8890234058</v>
      </c>
      <c r="Y152" s="606" t="n">
        <f aca="false">-Y116+Y147-Y149-Y150</f>
        <v>16537.6056061667</v>
      </c>
      <c r="Z152" s="606" t="n">
        <f aca="false">-Z116+Z147-Z149-Z150</f>
        <v>16682.2025163428</v>
      </c>
      <c r="AA152" s="606" t="n">
        <f aca="false">-AA116+AA147-AA149-AA150</f>
        <v>16933.2310734812</v>
      </c>
      <c r="AB152" s="606" t="n">
        <f aca="false">-AB116+AB147-AB149-AB150</f>
        <v>17100.1068160164</v>
      </c>
      <c r="AC152" s="606" t="n">
        <f aca="false">-AC116+AC147-AC149-AC150</f>
        <v>17373.5902542788</v>
      </c>
      <c r="AD152" s="606" t="n">
        <f aca="false">-AD116+AD147-AD149-AD150</f>
        <v>17562.888016858</v>
      </c>
      <c r="AE152" s="606" t="n">
        <f aca="false">-AE116+AE147-AE149-AE150</f>
        <v>17858.970035197</v>
      </c>
      <c r="AF152" s="609" t="n">
        <f aca="false">-AF116+AF147-AF149-AF150</f>
        <v>17935.3951649099</v>
      </c>
      <c r="AG152" s="606" t="n">
        <f aca="false">-AG116+AG147-AG149-AG150</f>
        <v>18064.4557765344</v>
      </c>
      <c r="AH152" s="606" t="n">
        <f aca="false">-AH116+AH147-AH149-AH150</f>
        <v>18192.7821302785</v>
      </c>
      <c r="AI152" s="606" t="n">
        <f aca="false">-AI116+AI147-AI149-AI150</f>
        <v>18320.3695674537</v>
      </c>
      <c r="AJ152" s="606" t="n">
        <f aca="false">-AJ116+AJ147-AJ149-AJ150</f>
        <v>18447.2134102088</v>
      </c>
      <c r="AK152" s="606" t="n">
        <f aca="false">-AK116+AK147-AK149-AK150</f>
        <v>18573.3089614617</v>
      </c>
      <c r="AL152" s="606" t="n">
        <f aca="false">-AL116+AL147-AL149-AL150</f>
        <v>18698.6515048316</v>
      </c>
      <c r="AM152" s="606" t="n">
        <f aca="false">-AM116+AM147-AM149-AM150</f>
        <v>18823.2363045707</v>
      </c>
      <c r="AN152" s="606" t="n">
        <f aca="false">-AN116+AN147-AN149-AN150</f>
        <v>18947.0586054953</v>
      </c>
      <c r="AO152" s="606" t="n">
        <f aca="false">-AO116+AO147-AO149-AO150</f>
        <v>19076.6558717305</v>
      </c>
      <c r="AP152" s="606" t="n">
        <f aca="false">-AP116+AP147-AP149-AP150</f>
        <v>19192.3965925754</v>
      </c>
      <c r="AQ152" s="606" t="n">
        <f aca="false">-AQ116+AQ147-AQ149-AQ150</f>
        <v>19313.9026705653</v>
      </c>
      <c r="AR152" s="609" t="n">
        <f aca="false">-AR116+AR147-AR149-AR150</f>
        <v>12081.6188349739</v>
      </c>
      <c r="AS152" s="606" t="n">
        <f aca="false">-AS116+AS147-AS149-AS150</f>
        <v>12203.7850409556</v>
      </c>
      <c r="AT152" s="606" t="n">
        <f aca="false">-AT116+AT147-AT149-AT150</f>
        <v>12326.2826068238</v>
      </c>
      <c r="AU152" s="606" t="n">
        <f aca="false">-AU116+AU147-AU149-AU150</f>
        <v>12449.1123994564</v>
      </c>
      <c r="AV152" s="606" t="n">
        <f aca="false">-AV116+AV147-AV149-AV150</f>
        <v>12572.275287951</v>
      </c>
      <c r="AW152" s="606" t="n">
        <f aca="false">-AW116+AW147-AW149-AW150</f>
        <v>12695.7721436311</v>
      </c>
      <c r="AX152" s="606" t="n">
        <f aca="false">-AX116+AX147-AX149-AX150</f>
        <v>12819.6038400511</v>
      </c>
      <c r="AY152" s="606" t="n">
        <f aca="false">-AY116+AY147-AY149-AY150</f>
        <v>12943.7712530024</v>
      </c>
      <c r="AZ152" s="606" t="n">
        <f aca="false">-AZ116+AZ147-AZ149-AZ150</f>
        <v>13068.2752605187</v>
      </c>
      <c r="BA152" s="606" t="n">
        <f aca="false">-BA116+BA147-BA149-BA150</f>
        <v>13193.1167428822</v>
      </c>
      <c r="BB152" s="606" t="n">
        <f aca="false">-BB116+BB147-BB149-BB150</f>
        <v>13318.2965826285</v>
      </c>
      <c r="BC152" s="606" t="n">
        <f aca="false">-BC116+BC147-BC149-BC150</f>
        <v>13443.8156645532</v>
      </c>
      <c r="BD152" s="609" t="n">
        <f aca="false">-BD116+BD147-BD149-BD150</f>
        <v>13517.1048128303</v>
      </c>
      <c r="BE152" s="606" t="n">
        <f aca="false">-BE116+BE147-BE149-BE150</f>
        <v>13643.3050425644</v>
      </c>
      <c r="BF152" s="606" t="n">
        <f aca="false">-BF116+BF147-BF149-BF150</f>
        <v>13769.8471824771</v>
      </c>
      <c r="BG152" s="606" t="n">
        <f aca="false">-BG116+BG147-BG149-BG150</f>
        <v>13896.7321264593</v>
      </c>
      <c r="BH152" s="606" t="n">
        <f aca="false">-BH116+BH147-BH149-BH150</f>
        <v>14023.96077069</v>
      </c>
      <c r="BI152" s="606" t="n">
        <f aca="false">-BI116+BI147-BI149-BI150</f>
        <v>14151.5340136421</v>
      </c>
      <c r="BJ152" s="606" t="n">
        <f aca="false">-BJ116+BJ147-BJ149-BJ150</f>
        <v>14279.4527560884</v>
      </c>
      <c r="BK152" s="606" t="n">
        <f aca="false">-BK116+BK147-BK149-BK150</f>
        <v>14407.7179011072</v>
      </c>
      <c r="BL152" s="606" t="n">
        <f aca="false">-BL116+BL147-BL149-BL150</f>
        <v>14536.3303540884</v>
      </c>
      <c r="BM152" s="606" t="n">
        <f aca="false">-BM116+BM147-BM149-BM150</f>
        <v>14665.2910227391</v>
      </c>
      <c r="BN152" s="606" t="n">
        <f aca="false">-BN116+BN147-BN149-BN150</f>
        <v>14794.6008170895</v>
      </c>
      <c r="BO152" s="606" t="n">
        <f aca="false">-BO116+BO147-BO149-BO150</f>
        <v>3777962.13262905</v>
      </c>
      <c r="BP152" s="609" t="n">
        <f aca="false">-BP116+BP147-BP149-BP150</f>
        <v>0</v>
      </c>
      <c r="BQ152" s="606" t="n">
        <f aca="false">-BQ116+BQ147-BQ149-BQ150</f>
        <v>0</v>
      </c>
      <c r="BR152" s="606" t="n">
        <f aca="false">-BR116+BR147-BR149-BR150</f>
        <v>0</v>
      </c>
      <c r="BS152" s="606" t="n">
        <f aca="false">-BS116+BS147-BS149-BS150</f>
        <v>0</v>
      </c>
      <c r="BT152" s="606" t="n">
        <f aca="false">-BT116+BT147-BT149-BT150</f>
        <v>0</v>
      </c>
      <c r="BU152" s="606" t="n">
        <f aca="false">-BU116+BU147-BU149-BU150</f>
        <v>0</v>
      </c>
      <c r="BV152" s="606" t="n">
        <f aca="false">-BV116+BV147-BV149-BV150</f>
        <v>0</v>
      </c>
      <c r="BW152" s="606" t="n">
        <f aca="false">-BW116+BW147-BW149-BW150</f>
        <v>0</v>
      </c>
      <c r="BX152" s="606" t="n">
        <f aca="false">-BX116+BX147-BX149-BX150</f>
        <v>0</v>
      </c>
      <c r="BY152" s="606" t="n">
        <f aca="false">-BY116+BY147-BY149-BY150</f>
        <v>0</v>
      </c>
      <c r="BZ152" s="606" t="n">
        <f aca="false">-BZ116+BZ147-BZ149-BZ150</f>
        <v>0</v>
      </c>
      <c r="CA152" s="606" t="n">
        <f aca="false">-CA116+CA147-CA149-CA150</f>
        <v>0</v>
      </c>
      <c r="CB152" s="609" t="n">
        <f aca="false">-CB116+CB147-CB149-CB150</f>
        <v>0</v>
      </c>
      <c r="CC152" s="606" t="n">
        <f aca="false">-CC116+CC147-CC149-CC150</f>
        <v>0</v>
      </c>
      <c r="CD152" s="606" t="n">
        <f aca="false">-CD116+CD147-CD149-CD150</f>
        <v>0</v>
      </c>
      <c r="CE152" s="606" t="n">
        <f aca="false">-CE116+CE147-CE149-CE150</f>
        <v>0</v>
      </c>
      <c r="CF152" s="606" t="n">
        <f aca="false">-CF116+CF147-CF149-CF150</f>
        <v>0</v>
      </c>
      <c r="CG152" s="606" t="n">
        <f aca="false">-CG116+CG147-CG149-CG150</f>
        <v>0</v>
      </c>
      <c r="CH152" s="606" t="n">
        <f aca="false">-CH116+CH147-CH149-CH150</f>
        <v>0</v>
      </c>
      <c r="CI152" s="606" t="n">
        <f aca="false">-CI116+CI147-CI149-CI150</f>
        <v>0</v>
      </c>
      <c r="CJ152" s="606" t="n">
        <f aca="false">-CJ116+CJ147-CJ149-CJ150</f>
        <v>0</v>
      </c>
      <c r="CK152" s="606" t="n">
        <f aca="false">-CK116+CK147-CK149-CK150</f>
        <v>0</v>
      </c>
      <c r="CL152" s="606" t="n">
        <f aca="false">-CL116+CL147-CL149-CL150</f>
        <v>0</v>
      </c>
      <c r="CM152" s="606" t="n">
        <f aca="false">-CM116+CM147-CM149-CM150</f>
        <v>0</v>
      </c>
      <c r="CN152" s="609" t="n">
        <f aca="false">-CN116+CN147-CN149-CN150</f>
        <v>0</v>
      </c>
      <c r="CO152" s="606" t="n">
        <f aca="false">-CO116+CO147-CO149-CO150</f>
        <v>0</v>
      </c>
      <c r="CP152" s="606" t="n">
        <f aca="false">-CP116+CP147-CP149-CP150</f>
        <v>0</v>
      </c>
      <c r="CQ152" s="606" t="n">
        <f aca="false">-CQ116+CQ147-CQ149-CQ150</f>
        <v>0</v>
      </c>
      <c r="CR152" s="606" t="n">
        <f aca="false">-CR116+CR147-CR149-CR150</f>
        <v>0</v>
      </c>
      <c r="CS152" s="606" t="n">
        <f aca="false">-CS116+CS147-CS149-CS150</f>
        <v>0</v>
      </c>
      <c r="CT152" s="606" t="n">
        <f aca="false">-CT116+CT147-CT149-CT150</f>
        <v>0</v>
      </c>
      <c r="CU152" s="606" t="n">
        <f aca="false">-CU116+CU147-CU149-CU150</f>
        <v>0</v>
      </c>
      <c r="CV152" s="606" t="n">
        <f aca="false">-CV116+CV147-CV149-CV150</f>
        <v>0</v>
      </c>
      <c r="CW152" s="606" t="n">
        <f aca="false">-CW116+CW147-CW149-CW150</f>
        <v>0</v>
      </c>
      <c r="CX152" s="606" t="n">
        <f aca="false">-CX116+CX147-CX149-CX150</f>
        <v>0</v>
      </c>
      <c r="CY152" s="606" t="n">
        <f aca="false">-CY116+CY147-CY149-CY150</f>
        <v>0</v>
      </c>
      <c r="CZ152" s="609" t="n">
        <f aca="false">-CZ116+CZ147-CZ149-CZ150</f>
        <v>0</v>
      </c>
      <c r="DA152" s="606" t="n">
        <f aca="false">-DA116+DA147-DA149-DA150</f>
        <v>0</v>
      </c>
      <c r="DB152" s="606" t="n">
        <f aca="false">-DB116+DB147-DB149-DB150</f>
        <v>0</v>
      </c>
      <c r="DC152" s="606" t="n">
        <f aca="false">-DC116+DC147-DC149-DC150</f>
        <v>0</v>
      </c>
      <c r="DD152" s="606" t="n">
        <f aca="false">-DD116+DD147-DD149-DD150</f>
        <v>0</v>
      </c>
      <c r="DE152" s="606" t="n">
        <f aca="false">-DE116+DE147-DE149-DE150</f>
        <v>0</v>
      </c>
      <c r="DF152" s="606" t="n">
        <f aca="false">-DF116+DF147-DF149-DF150</f>
        <v>0</v>
      </c>
      <c r="DG152" s="606" t="n">
        <f aca="false">-DG116+DG147-DG149-DG150</f>
        <v>0</v>
      </c>
      <c r="DH152" s="606" t="n">
        <f aca="false">-DH116+DH147-DH149-DH150</f>
        <v>0</v>
      </c>
      <c r="DI152" s="606" t="n">
        <f aca="false">-DI116+DI147-DI149-DI150</f>
        <v>0</v>
      </c>
      <c r="DJ152" s="606" t="n">
        <f aca="false">-DJ116+DJ147-DJ149-DJ150</f>
        <v>0</v>
      </c>
      <c r="DK152" s="606" t="n">
        <f aca="false">-DK116+DK147-DK149-DK150</f>
        <v>0</v>
      </c>
      <c r="DL152" s="609" t="n">
        <f aca="false">-DL116+DL147-DL149-DL150</f>
        <v>0</v>
      </c>
      <c r="DM152" s="606" t="n">
        <f aca="false">-DM116+DM147-DM149-DM150</f>
        <v>0</v>
      </c>
      <c r="DN152" s="606" t="n">
        <f aca="false">-DN116+DN147-DN149-DN150</f>
        <v>0</v>
      </c>
      <c r="DO152" s="606" t="n">
        <f aca="false">-DO116+DO147-DO149-DO150</f>
        <v>0</v>
      </c>
      <c r="DP152" s="606" t="n">
        <f aca="false">-DP116+DP147-DP149-DP150</f>
        <v>0</v>
      </c>
      <c r="DQ152" s="606" t="n">
        <f aca="false">-DQ116+DQ147-DQ149-DQ150</f>
        <v>0</v>
      </c>
      <c r="DR152" s="606" t="n">
        <f aca="false">-DR116+DR147-DR149-DR150</f>
        <v>0</v>
      </c>
      <c r="DS152" s="606" t="n">
        <f aca="false">-DS116+DS147-DS149-DS150</f>
        <v>0</v>
      </c>
      <c r="DT152" s="606" t="n">
        <f aca="false">-DT116+DT147-DT149-DT150</f>
        <v>0</v>
      </c>
      <c r="DU152" s="606" t="n">
        <f aca="false">-DU116+DU147-DU149-DU150</f>
        <v>0</v>
      </c>
      <c r="DV152" s="606" t="n">
        <f aca="false">-DV116+DV147-DV149-DV150</f>
        <v>0</v>
      </c>
      <c r="DW152" s="606" t="n">
        <f aca="false">-DW116+DW147-DW149-DW150</f>
        <v>0</v>
      </c>
      <c r="DX152" s="606" t="n">
        <f aca="false">-DX116+DX147-DX149-DX150</f>
        <v>0</v>
      </c>
      <c r="DY152" s="606" t="n">
        <f aca="false">-DY116+DY147-DY149-DY150</f>
        <v>0</v>
      </c>
      <c r="DZ152" s="606" t="n">
        <f aca="false">-DZ116+DZ147-DZ149-DZ150</f>
        <v>0</v>
      </c>
      <c r="EA152" s="606" t="n">
        <f aca="false">-EA116+EA147-EA149-EA150</f>
        <v>0</v>
      </c>
      <c r="EB152" s="606" t="n">
        <f aca="false">-EB116+EB147-EB149-EB150</f>
        <v>0</v>
      </c>
      <c r="EC152" s="606" t="n">
        <f aca="false">-EC116+EC147-EC149-EC150</f>
        <v>0</v>
      </c>
      <c r="ED152" s="606" t="n">
        <f aca="false">-ED116+ED147-ED149-ED150</f>
        <v>0</v>
      </c>
      <c r="EE152" s="606" t="n">
        <f aca="false">-EE116+EE147-EE149-EE150</f>
        <v>0</v>
      </c>
      <c r="EF152" s="606" t="n">
        <f aca="false">-EF116+EF147-EF149-EF150</f>
        <v>0</v>
      </c>
      <c r="EG152" s="606" t="n">
        <f aca="false">-EG116+EG147-EG149-EG150</f>
        <v>0</v>
      </c>
      <c r="EH152" s="606" t="n">
        <f aca="false">-EH116+EH147-EH149-EH150</f>
        <v>0</v>
      </c>
      <c r="EI152" s="607" t="n">
        <f aca="false">-EI116+EI147-EI149-EI150</f>
        <v>0</v>
      </c>
    </row>
    <row r="153" customFormat="false" ht="13.5" hidden="false" customHeight="true" outlineLevel="0" collapsed="false">
      <c r="E153" s="522"/>
      <c r="G153" s="522"/>
    </row>
    <row r="154" s="576" customFormat="true" ht="13.5" hidden="false" customHeight="true" outlineLevel="0" collapsed="false">
      <c r="B154" s="629" t="s">
        <v>620</v>
      </c>
      <c r="C154" s="630"/>
      <c r="D154" s="631"/>
      <c r="E154" s="632" t="n">
        <f aca="false">MIN(G154:EI154)</f>
        <v>-2083229.222</v>
      </c>
      <c r="F154" s="512"/>
      <c r="G154" s="629" t="n">
        <f aca="false">G152</f>
        <v>-2083229.222</v>
      </c>
      <c r="H154" s="631" t="n">
        <f aca="false">G154+H147</f>
        <v>-2070678.92109894</v>
      </c>
      <c r="I154" s="631" t="n">
        <f aca="false">H154+I147</f>
        <v>-2057814.25528606</v>
      </c>
      <c r="J154" s="631" t="n">
        <f aca="false">I154+J147</f>
        <v>-2044537.30304576</v>
      </c>
      <c r="K154" s="631" t="n">
        <f aca="false">J154+K147</f>
        <v>-2030941.43897379</v>
      </c>
      <c r="L154" s="631" t="n">
        <f aca="false">K154+L147</f>
        <v>-2016927.84195333</v>
      </c>
      <c r="M154" s="631" t="n">
        <f aca="false">L154+M147</f>
        <v>-2002589.98913479</v>
      </c>
      <c r="N154" s="631" t="n">
        <f aca="false">M154+N147</f>
        <v>-1987828.95112001</v>
      </c>
      <c r="O154" s="631" t="n">
        <f aca="false">N154+O147</f>
        <v>-1972738.30772698</v>
      </c>
      <c r="P154" s="631" t="n">
        <f aca="false">O154+P147</f>
        <v>-1957219.0211578</v>
      </c>
      <c r="Q154" s="631" t="n">
        <f aca="false">P154+Q147</f>
        <v>-1941364.77401107</v>
      </c>
      <c r="R154" s="631" t="n">
        <f aca="false">Q154+R147</f>
        <v>-1925076.41997067</v>
      </c>
      <c r="S154" s="631" t="n">
        <f aca="false">R154+S147</f>
        <v>-1908447.74452898</v>
      </c>
      <c r="T154" s="631" t="n">
        <f aca="false">S154+T147</f>
        <v>-1892064.3741236</v>
      </c>
      <c r="U154" s="631" t="n">
        <f aca="false">T154+U147</f>
        <v>-1875494.05120698</v>
      </c>
      <c r="V154" s="631" t="n">
        <f aca="false">U154+V147</f>
        <v>-1858821.70763488</v>
      </c>
      <c r="W154" s="631" t="n">
        <f aca="false">V154+W147</f>
        <v>-1841940.15070574</v>
      </c>
      <c r="X154" s="631" t="n">
        <f aca="false">W154+X147</f>
        <v>-1824934.34632338</v>
      </c>
      <c r="Y154" s="631" t="n">
        <f aca="false">X154+Y147</f>
        <v>-1807696.92491768</v>
      </c>
      <c r="Z154" s="631" t="n">
        <f aca="false">Y154+Z147</f>
        <v>-1790312.88616062</v>
      </c>
      <c r="AA154" s="631" t="n">
        <f aca="false">Z154+AA147</f>
        <v>-1772674.68310148</v>
      </c>
      <c r="AB154" s="631" t="n">
        <f aca="false">AA154+AB147</f>
        <v>-1754867.34889851</v>
      </c>
      <c r="AC154" s="631" t="n">
        <f aca="false">AB154+AC147</f>
        <v>-1736783.15870603</v>
      </c>
      <c r="AD154" s="631" t="n">
        <f aca="false">AC154+AD147</f>
        <v>-1718507.17888471</v>
      </c>
      <c r="AE154" s="631" t="n">
        <f aca="false">AD154+AE147</f>
        <v>-1699931.50617724</v>
      </c>
      <c r="AF154" s="631" t="n">
        <f aca="false">AE154+AF147</f>
        <v>-1681278.0967012</v>
      </c>
      <c r="AG154" s="631" t="n">
        <f aca="false">AF154+AG147</f>
        <v>-1662493.76297322</v>
      </c>
      <c r="AH154" s="631" t="n">
        <f aca="false">AG154+AH147</f>
        <v>-1643579.24609377</v>
      </c>
      <c r="AI154" s="631" t="n">
        <f aca="false">AH154+AI147</f>
        <v>-1624535.2918694</v>
      </c>
      <c r="AJ154" s="631" t="n">
        <f aca="false">AI154+AJ147</f>
        <v>-1605362.65083208</v>
      </c>
      <c r="AK154" s="631" t="n">
        <f aca="false">AJ154+AK147</f>
        <v>-1586062.07825866</v>
      </c>
      <c r="AL154" s="631" t="n">
        <f aca="false">AK154+AL147</f>
        <v>-1566634.33419034</v>
      </c>
      <c r="AM154" s="631" t="n">
        <f aca="false">AL154+AM147</f>
        <v>-1547080.18345226</v>
      </c>
      <c r="AN154" s="631" t="n">
        <f aca="false">AM154+AN147</f>
        <v>-1527400.39567313</v>
      </c>
      <c r="AO154" s="631" t="n">
        <f aca="false">AN154+AO147</f>
        <v>-1507589.13456098</v>
      </c>
      <c r="AP154" s="631" t="n">
        <f aca="false">AO154+AP147</f>
        <v>-1487660.40089872</v>
      </c>
      <c r="AQ154" s="631" t="n">
        <f aca="false">AP154+AQ147</f>
        <v>-1467608.36810033</v>
      </c>
      <c r="AR154" s="631" t="n">
        <f aca="false">AQ154+AR147</f>
        <v>-1454787.3562064</v>
      </c>
      <c r="AS154" s="631" t="n">
        <f aca="false">AR154+AS147</f>
        <v>-1441842.37641449</v>
      </c>
      <c r="AT154" s="631" t="n">
        <f aca="false">AS154+AT147</f>
        <v>-1428773.09303209</v>
      </c>
      <c r="AU154" s="631" t="n">
        <f aca="false">AT154+AU147</f>
        <v>-1415579.1694893</v>
      </c>
      <c r="AV154" s="631" t="n">
        <f aca="false">AU154+AV147</f>
        <v>-1402260.2683366</v>
      </c>
      <c r="AW154" s="631" t="n">
        <f aca="false">AV154+AW147</f>
        <v>-1388816.05124259</v>
      </c>
      <c r="AX154" s="631" t="n">
        <f aca="false">AW154+AX147</f>
        <v>-1375246.17899174</v>
      </c>
      <c r="AY154" s="631" t="n">
        <f aca="false">AX154+AY147</f>
        <v>-1361550.31148212</v>
      </c>
      <c r="AZ154" s="631" t="n">
        <f aca="false">AY154+AZ147</f>
        <v>-1347728.10772313</v>
      </c>
      <c r="BA154" s="631" t="n">
        <f aca="false">AZ154+BA147</f>
        <v>-1333779.22583324</v>
      </c>
      <c r="BB154" s="631" t="n">
        <f aca="false">BA154+BB147</f>
        <v>-1319703.32303769</v>
      </c>
      <c r="BC154" s="631" t="n">
        <f aca="false">BB154+BC147</f>
        <v>-1305500.05566624</v>
      </c>
      <c r="BD154" s="631" t="n">
        <f aca="false">BC154+BD147</f>
        <v>-1291222.19968557</v>
      </c>
      <c r="BE154" s="631" t="n">
        <f aca="false">BD154+BE147</f>
        <v>-1276816.2890928</v>
      </c>
      <c r="BF154" s="631" t="n">
        <f aca="false">BE154+BF147</f>
        <v>-1262281.97751738</v>
      </c>
      <c r="BG154" s="631" t="n">
        <f aca="false">BF154+BG147</f>
        <v>-1247618.91768406</v>
      </c>
      <c r="BH154" s="631" t="n">
        <f aca="false">BG154+BH147</f>
        <v>-1232826.76141059</v>
      </c>
      <c r="BI154" s="631" t="n">
        <f aca="false">BH154+BI147</f>
        <v>-1217905.15960536</v>
      </c>
      <c r="BJ154" s="631" t="n">
        <f aca="false">BI154+BJ147</f>
        <v>-1202853.76226509</v>
      </c>
      <c r="BK154" s="631" t="n">
        <f aca="false">BJ154+BK147</f>
        <v>-1187672.21847253</v>
      </c>
      <c r="BL154" s="631" t="n">
        <f aca="false">BK154+BL147</f>
        <v>-1172360.17639406</v>
      </c>
      <c r="BM154" s="631" t="n">
        <f aca="false">BL154+BM147</f>
        <v>-1156917.28327741</v>
      </c>
      <c r="BN154" s="631" t="n">
        <f aca="false">BM154+BN147</f>
        <v>-1141343.18544926</v>
      </c>
      <c r="BO154" s="631" t="n">
        <f aca="false">BN154+BO147</f>
        <v>2637400.34366664</v>
      </c>
      <c r="BP154" s="631" t="n">
        <f aca="false">BO154+BP147</f>
        <v>2637400.34366664</v>
      </c>
      <c r="BQ154" s="631" t="n">
        <f aca="false">BP154+BQ147</f>
        <v>2637400.34366664</v>
      </c>
      <c r="BR154" s="631" t="n">
        <f aca="false">BQ154+BR147</f>
        <v>2637400.34366664</v>
      </c>
      <c r="BS154" s="631" t="n">
        <f aca="false">BR154+BS147</f>
        <v>2637400.34366664</v>
      </c>
      <c r="BT154" s="631" t="n">
        <f aca="false">BS154+BT147</f>
        <v>2637400.34366664</v>
      </c>
      <c r="BU154" s="631" t="n">
        <f aca="false">BT154+BU147</f>
        <v>2637400.34366664</v>
      </c>
      <c r="BV154" s="631" t="n">
        <f aca="false">BU154+BV147</f>
        <v>2637400.34366664</v>
      </c>
      <c r="BW154" s="631" t="n">
        <f aca="false">BV154+BW147</f>
        <v>2637400.34366664</v>
      </c>
      <c r="BX154" s="631" t="n">
        <f aca="false">BW154+BX147</f>
        <v>2637400.34366664</v>
      </c>
      <c r="BY154" s="631" t="n">
        <f aca="false">BX154+BY147</f>
        <v>2637400.34366664</v>
      </c>
      <c r="BZ154" s="631" t="n">
        <f aca="false">BY154+BZ147</f>
        <v>2637400.34366664</v>
      </c>
      <c r="CA154" s="631" t="n">
        <f aca="false">BZ154+CA147</f>
        <v>2637400.34366664</v>
      </c>
      <c r="CB154" s="631" t="n">
        <f aca="false">CA154+CB147</f>
        <v>2637400.34366664</v>
      </c>
      <c r="CC154" s="631" t="n">
        <f aca="false">CB154+CC147</f>
        <v>2637400.34366664</v>
      </c>
      <c r="CD154" s="631" t="n">
        <f aca="false">CC154+CD147</f>
        <v>2637400.34366664</v>
      </c>
      <c r="CE154" s="631" t="n">
        <f aca="false">CD154+CE147</f>
        <v>2637400.34366664</v>
      </c>
      <c r="CF154" s="631" t="n">
        <f aca="false">CE154+CF147</f>
        <v>2637400.34366664</v>
      </c>
      <c r="CG154" s="631" t="n">
        <f aca="false">CF154+CG147</f>
        <v>2637400.34366664</v>
      </c>
      <c r="CH154" s="631" t="n">
        <f aca="false">CG154+CH147</f>
        <v>2637400.34366664</v>
      </c>
      <c r="CI154" s="631" t="n">
        <f aca="false">CH154+CI147</f>
        <v>2637400.34366664</v>
      </c>
      <c r="CJ154" s="631" t="n">
        <f aca="false">CI154+CJ147</f>
        <v>2637400.34366664</v>
      </c>
      <c r="CK154" s="631" t="n">
        <f aca="false">CJ154+CK147</f>
        <v>2637400.34366664</v>
      </c>
      <c r="CL154" s="631" t="n">
        <f aca="false">CK154+CL147</f>
        <v>2637400.34366664</v>
      </c>
      <c r="CM154" s="631" t="n">
        <f aca="false">CL154+CM147</f>
        <v>2637400.34366664</v>
      </c>
      <c r="CN154" s="631" t="n">
        <f aca="false">CM154+CN147</f>
        <v>2637400.34366664</v>
      </c>
      <c r="CO154" s="631" t="n">
        <f aca="false">CN154+CO147</f>
        <v>2637400.34366664</v>
      </c>
      <c r="CP154" s="631" t="n">
        <f aca="false">CO154+CP147</f>
        <v>2637400.34366664</v>
      </c>
      <c r="CQ154" s="631" t="n">
        <f aca="false">CP154+CQ147</f>
        <v>2637400.34366664</v>
      </c>
      <c r="CR154" s="631" t="n">
        <f aca="false">CQ154+CR147</f>
        <v>2637400.34366664</v>
      </c>
      <c r="CS154" s="631" t="n">
        <f aca="false">CR154+CS147</f>
        <v>2637400.34366664</v>
      </c>
      <c r="CT154" s="631" t="n">
        <f aca="false">CS154+CT147</f>
        <v>2637400.34366664</v>
      </c>
      <c r="CU154" s="631" t="n">
        <f aca="false">CT154+CU147</f>
        <v>2637400.34366664</v>
      </c>
      <c r="CV154" s="631" t="n">
        <f aca="false">CU154+CV147</f>
        <v>2637400.34366664</v>
      </c>
      <c r="CW154" s="631" t="n">
        <f aca="false">CV154+CW147</f>
        <v>2637400.34366664</v>
      </c>
      <c r="CX154" s="631" t="n">
        <f aca="false">CW154+CX147</f>
        <v>2637400.34366664</v>
      </c>
      <c r="CY154" s="631" t="n">
        <f aca="false">CX154+CY147</f>
        <v>2637400.34366664</v>
      </c>
      <c r="CZ154" s="631" t="n">
        <f aca="false">CY154+CZ147</f>
        <v>2637400.34366664</v>
      </c>
      <c r="DA154" s="631" t="n">
        <f aca="false">CZ154+DA147</f>
        <v>2637400.34366664</v>
      </c>
      <c r="DB154" s="631" t="n">
        <f aca="false">DA154+DB147</f>
        <v>2637400.34366664</v>
      </c>
      <c r="DC154" s="631" t="n">
        <f aca="false">DB154+DC147</f>
        <v>2637400.34366664</v>
      </c>
      <c r="DD154" s="631" t="n">
        <f aca="false">DC154+DD147</f>
        <v>2637400.34366664</v>
      </c>
      <c r="DE154" s="631" t="n">
        <f aca="false">DD154+DE147</f>
        <v>2637400.34366664</v>
      </c>
      <c r="DF154" s="631" t="n">
        <f aca="false">DE154+DF147</f>
        <v>2637400.34366664</v>
      </c>
      <c r="DG154" s="631" t="n">
        <f aca="false">DF154+DG147</f>
        <v>2637400.34366664</v>
      </c>
      <c r="DH154" s="631" t="n">
        <f aca="false">DG154+DH147</f>
        <v>2637400.34366664</v>
      </c>
      <c r="DI154" s="631" t="n">
        <f aca="false">DH154+DI147</f>
        <v>2637400.34366664</v>
      </c>
      <c r="DJ154" s="631" t="n">
        <f aca="false">DI154+DJ147</f>
        <v>2637400.34366664</v>
      </c>
      <c r="DK154" s="631" t="n">
        <f aca="false">DJ154+DK147</f>
        <v>2637400.34366664</v>
      </c>
      <c r="DL154" s="631" t="n">
        <f aca="false">DK154+DL147</f>
        <v>2637400.34366664</v>
      </c>
      <c r="DM154" s="631" t="n">
        <f aca="false">DL154+DM147</f>
        <v>2637400.34366664</v>
      </c>
      <c r="DN154" s="631" t="n">
        <f aca="false">DM154+DN147</f>
        <v>2637400.34366664</v>
      </c>
      <c r="DO154" s="631" t="n">
        <f aca="false">DN154+DO147</f>
        <v>2637400.34366664</v>
      </c>
      <c r="DP154" s="631" t="n">
        <f aca="false">DO154+DP147</f>
        <v>2637400.34366664</v>
      </c>
      <c r="DQ154" s="631" t="n">
        <f aca="false">DP154+DQ147</f>
        <v>2637400.34366664</v>
      </c>
      <c r="DR154" s="631" t="n">
        <f aca="false">DQ154+DR147</f>
        <v>2637400.34366664</v>
      </c>
      <c r="DS154" s="631" t="n">
        <f aca="false">DR154+DS147</f>
        <v>2637400.34366664</v>
      </c>
      <c r="DT154" s="631" t="n">
        <f aca="false">DS154+DT147</f>
        <v>2637400.34366664</v>
      </c>
      <c r="DU154" s="631" t="n">
        <f aca="false">DT154+DU147</f>
        <v>2637400.34366664</v>
      </c>
      <c r="DV154" s="631" t="n">
        <f aca="false">DU154+DV147</f>
        <v>2637400.34366664</v>
      </c>
      <c r="DW154" s="631" t="n">
        <f aca="false">DV154+DW147</f>
        <v>2637400.34366664</v>
      </c>
      <c r="DX154" s="631" t="n">
        <f aca="false">DW154+DX147</f>
        <v>2637400.34366664</v>
      </c>
      <c r="DY154" s="631" t="n">
        <f aca="false">DX154+DY147</f>
        <v>2637400.34366664</v>
      </c>
      <c r="DZ154" s="631" t="n">
        <f aca="false">DY154+DZ147</f>
        <v>2637400.34366664</v>
      </c>
      <c r="EA154" s="631" t="n">
        <f aca="false">DZ154+EA147</f>
        <v>2637400.34366664</v>
      </c>
      <c r="EB154" s="631" t="n">
        <f aca="false">EA154+EB147</f>
        <v>2637400.34366664</v>
      </c>
      <c r="EC154" s="631" t="n">
        <f aca="false">EB154+EC147</f>
        <v>2637400.34366664</v>
      </c>
      <c r="ED154" s="631" t="n">
        <f aca="false">EC154+ED147</f>
        <v>2637400.34366664</v>
      </c>
      <c r="EE154" s="631" t="n">
        <f aca="false">ED154+EE147</f>
        <v>2637400.34366664</v>
      </c>
      <c r="EF154" s="631" t="n">
        <f aca="false">EE154+EF147</f>
        <v>2637400.34366664</v>
      </c>
      <c r="EG154" s="631" t="n">
        <f aca="false">EF154+EG147</f>
        <v>2637400.34366664</v>
      </c>
      <c r="EH154" s="631" t="n">
        <f aca="false">EG154+EH147</f>
        <v>2637400.34366664</v>
      </c>
      <c r="EI154" s="632" t="n">
        <f aca="false">EH154+EI147</f>
        <v>2637400.34366664</v>
      </c>
      <c r="EK154" s="629" t="n">
        <f aca="true">OFFSET($G154,0,EK24*12)*((EK24*12-11)&lt;='Executive Summary'!$I$13)</f>
        <v>-1908447.74452898</v>
      </c>
      <c r="EL154" s="631" t="n">
        <f aca="true">OFFSET($G154,0,EL24*12)*((EL24*12-11)&lt;='Executive Summary'!$I$13)</f>
        <v>-1699931.50617724</v>
      </c>
      <c r="EM154" s="631" t="n">
        <f aca="true">OFFSET($G154,0,EM24*12)*((EM24*12-11)&lt;='Executive Summary'!$I$13)</f>
        <v>-1467608.36810033</v>
      </c>
      <c r="EN154" s="631" t="n">
        <f aca="true">OFFSET($G154,0,EN24*12)*((EN24*12-11)&lt;='Executive Summary'!$I$13)</f>
        <v>-1305500.05566624</v>
      </c>
      <c r="EO154" s="631" t="n">
        <f aca="true">OFFSET($G154,0,EO24*12)*((EO24*12-11)&lt;='Executive Summary'!$I$13)</f>
        <v>2637400.34366664</v>
      </c>
      <c r="EP154" s="631" t="n">
        <f aca="true">OFFSET($G154,0,EP24*12)*((EP24*12-11)&lt;='Executive Summary'!$I$13)</f>
        <v>0</v>
      </c>
      <c r="EQ154" s="631" t="n">
        <f aca="true">OFFSET($G154,0,EQ24*12)*((EQ24*12-11)&lt;='Executive Summary'!$I$13)</f>
        <v>0</v>
      </c>
      <c r="ER154" s="631" t="n">
        <f aca="true">OFFSET($G154,0,ER24*12)*((ER24*12-11)&lt;='Executive Summary'!$I$13)</f>
        <v>0</v>
      </c>
      <c r="ES154" s="631" t="n">
        <f aca="true">OFFSET($G154,0,ES24*12)*((ES24*12-11)&lt;='Executive Summary'!$I$13)</f>
        <v>0</v>
      </c>
      <c r="ET154" s="632" t="n">
        <f aca="true">OFFSET($G154,0,ET24*12)*((ET24*12-11)&lt;='Executive Summary'!$I$13)</f>
        <v>0</v>
      </c>
    </row>
    <row r="155" s="590" customFormat="true" ht="13.5" hidden="false" customHeight="true" outlineLevel="0" collapsed="false">
      <c r="B155" s="633" t="s">
        <v>601</v>
      </c>
      <c r="C155" s="634"/>
      <c r="D155" s="635"/>
      <c r="E155" s="636" t="n">
        <f aca="true">AVERAGE(OFFSET(G155,0,0,1,'Executive Summary'!$I$13+1))</f>
        <v>1.41220131063981</v>
      </c>
      <c r="F155" s="635"/>
      <c r="G155" s="633"/>
      <c r="H155" s="635" t="n">
        <f aca="false">H103</f>
        <v>1.18539177242644</v>
      </c>
      <c r="I155" s="635" t="n">
        <f aca="false">I103</f>
        <v>1.19659942227379</v>
      </c>
      <c r="J155" s="635" t="n">
        <f aca="false">J103</f>
        <v>1.21126496048376</v>
      </c>
      <c r="K155" s="635" t="n">
        <f aca="false">K103</f>
        <v>1.22263352088728</v>
      </c>
      <c r="L155" s="635" t="n">
        <f aca="false">L103</f>
        <v>1.23749173610104</v>
      </c>
      <c r="M155" s="635" t="n">
        <f aca="false">M103</f>
        <v>1.24904935278114</v>
      </c>
      <c r="N155" s="635" t="n">
        <f aca="false">N103</f>
        <v>1.26410044838641</v>
      </c>
      <c r="O155" s="635" t="n">
        <f aca="false">O103</f>
        <v>1.27584732074576</v>
      </c>
      <c r="P155" s="635" t="n">
        <f aca="false">P103</f>
        <v>1.29109150032704</v>
      </c>
      <c r="Q155" s="635" t="n">
        <f aca="false">Q103</f>
        <v>1.30302782796064</v>
      </c>
      <c r="R155" s="635" t="n">
        <f aca="false">R103</f>
        <v>1.31846529529928</v>
      </c>
      <c r="S155" s="635" t="n">
        <f aca="false">S103</f>
        <v>1.33059127799459</v>
      </c>
      <c r="T155" s="635" t="n">
        <f aca="false">T103</f>
        <v>1.3220383563683</v>
      </c>
      <c r="U155" s="635" t="n">
        <f aca="false">U103</f>
        <v>1.32874908252686</v>
      </c>
      <c r="V155" s="635" t="n">
        <f aca="false">V103</f>
        <v>1.33246095613315</v>
      </c>
      <c r="W155" s="635" t="n">
        <f aca="false">W103</f>
        <v>1.33995809724449</v>
      </c>
      <c r="X155" s="635" t="n">
        <f aca="false">X103</f>
        <v>1.34445518412846</v>
      </c>
      <c r="Y155" s="635" t="n">
        <f aca="false">Y103</f>
        <v>1.35274378452856</v>
      </c>
      <c r="Z155" s="635" t="n">
        <f aca="false">Z103</f>
        <v>1.35803113891035</v>
      </c>
      <c r="AA155" s="635" t="n">
        <f aca="false">AA103</f>
        <v>1.36711627090354</v>
      </c>
      <c r="AB155" s="635" t="n">
        <f aca="false">AB103</f>
        <v>1.37319897504256</v>
      </c>
      <c r="AC155" s="635" t="n">
        <f aca="false">AC103</f>
        <v>1.38308573905252</v>
      </c>
      <c r="AD155" s="635" t="n">
        <f aca="false">AD103</f>
        <v>1.38996890339887</v>
      </c>
      <c r="AE155" s="635" t="n">
        <f aca="false">AE103</f>
        <v>1.40066242812045</v>
      </c>
      <c r="AF155" s="635" t="n">
        <f aca="false">AF103</f>
        <v>1.40351863279775</v>
      </c>
      <c r="AG155" s="635" t="n">
        <f aca="false">AG103</f>
        <v>1.40825312705257</v>
      </c>
      <c r="AH155" s="635" t="n">
        <f aca="false">AH103</f>
        <v>1.41296163629363</v>
      </c>
      <c r="AI155" s="635" t="n">
        <f aca="false">AI103</f>
        <v>1.41764399464848</v>
      </c>
      <c r="AJ155" s="635" t="n">
        <f aca="false">AJ103</f>
        <v>1.42230003556148</v>
      </c>
      <c r="AK155" s="635" t="n">
        <f aca="false">AK103</f>
        <v>1.42692959179144</v>
      </c>
      <c r="AL155" s="635" t="n">
        <f aca="false">AL103</f>
        <v>1.43153249540914</v>
      </c>
      <c r="AM155" s="635" t="n">
        <f aca="false">AM103</f>
        <v>1.4361085777949</v>
      </c>
      <c r="AN155" s="635" t="n">
        <f aca="false">AN103</f>
        <v>1.44065766963618</v>
      </c>
      <c r="AO155" s="635" t="n">
        <f aca="false">AO103</f>
        <v>1.44541303323142</v>
      </c>
      <c r="AP155" s="635" t="n">
        <f aca="false">AP103</f>
        <v>1.44967420095584</v>
      </c>
      <c r="AQ155" s="635" t="n">
        <f aca="false">AQ103</f>
        <v>1.45414129832252</v>
      </c>
      <c r="AR155" s="635" t="n">
        <f aca="false">AR103</f>
        <v>1.45679926612662</v>
      </c>
      <c r="AS155" s="635" t="n">
        <f aca="false">AS103</f>
        <v>1.46129035265225</v>
      </c>
      <c r="AT155" s="635" t="n">
        <f aca="false">AT103</f>
        <v>1.46579348053508</v>
      </c>
      <c r="AU155" s="635" t="n">
        <f aca="false">AU103</f>
        <v>1.47030868106632</v>
      </c>
      <c r="AV155" s="635" t="n">
        <f aca="false">AV103</f>
        <v>1.47483598561699</v>
      </c>
      <c r="AW155" s="635" t="n">
        <f aca="false">AW103</f>
        <v>1.47937542563814</v>
      </c>
      <c r="AX155" s="635" t="n">
        <f aca="false">AX103</f>
        <v>1.483927032661</v>
      </c>
      <c r="AY155" s="635" t="n">
        <f aca="false">AY103</f>
        <v>1.48849083829722</v>
      </c>
      <c r="AZ155" s="635" t="n">
        <f aca="false">AZ103</f>
        <v>1.49306687423906</v>
      </c>
      <c r="BA155" s="635" t="n">
        <f aca="false">BA103</f>
        <v>1.4976551722596</v>
      </c>
      <c r="BB155" s="635" t="n">
        <f aca="false">BB103</f>
        <v>1.50225576421294</v>
      </c>
      <c r="BC155" s="635" t="n">
        <f aca="false">BC103</f>
        <v>1.50686868203439</v>
      </c>
      <c r="BD155" s="635" t="n">
        <f aca="false">BD103</f>
        <v>1.50961821590749</v>
      </c>
      <c r="BE155" s="635" t="n">
        <f aca="false">BE103</f>
        <v>1.51425588159707</v>
      </c>
      <c r="BF155" s="635" t="n">
        <f aca="false">BF103</f>
        <v>1.51890596945014</v>
      </c>
      <c r="BG155" s="635" t="n">
        <f aca="false">BG103</f>
        <v>1.52356851172896</v>
      </c>
      <c r="BH155" s="635" t="n">
        <f aca="false">BH103</f>
        <v>1.52824354077805</v>
      </c>
      <c r="BI155" s="635" t="n">
        <f aca="false">BI103</f>
        <v>1.53293108902439</v>
      </c>
      <c r="BJ155" s="635" t="n">
        <f aca="false">BJ103</f>
        <v>1.53763118897765</v>
      </c>
      <c r="BK155" s="635" t="n">
        <f aca="false">BK103</f>
        <v>1.54234387323034</v>
      </c>
      <c r="BL155" s="635" t="n">
        <f aca="false">BL103</f>
        <v>1.54706917445808</v>
      </c>
      <c r="BM155" s="635" t="n">
        <f aca="false">BM103</f>
        <v>1.55180712541978</v>
      </c>
      <c r="BN155" s="635" t="n">
        <f aca="false">BN103</f>
        <v>1.55655775895784</v>
      </c>
      <c r="BO155" s="635" t="n">
        <f aca="false">BO103</f>
        <v>1.56132110799839</v>
      </c>
      <c r="BP155" s="635" t="n">
        <f aca="false">BP103</f>
        <v>0</v>
      </c>
      <c r="BQ155" s="635" t="n">
        <f aca="false">BQ103</f>
        <v>0</v>
      </c>
      <c r="BR155" s="635" t="n">
        <f aca="false">BR103</f>
        <v>0</v>
      </c>
      <c r="BS155" s="635" t="n">
        <f aca="false">BS103</f>
        <v>0</v>
      </c>
      <c r="BT155" s="635" t="n">
        <f aca="false">BT103</f>
        <v>0</v>
      </c>
      <c r="BU155" s="635" t="n">
        <f aca="false">BU103</f>
        <v>0</v>
      </c>
      <c r="BV155" s="635" t="n">
        <f aca="false">BV103</f>
        <v>0</v>
      </c>
      <c r="BW155" s="635" t="n">
        <f aca="false">BW103</f>
        <v>0</v>
      </c>
      <c r="BX155" s="635" t="n">
        <f aca="false">BX103</f>
        <v>0</v>
      </c>
      <c r="BY155" s="635" t="n">
        <f aca="false">BY103</f>
        <v>0</v>
      </c>
      <c r="BZ155" s="635" t="n">
        <f aca="false">BZ103</f>
        <v>0</v>
      </c>
      <c r="CA155" s="635" t="n">
        <f aca="false">CA103</f>
        <v>0</v>
      </c>
      <c r="CB155" s="635" t="n">
        <f aca="false">CB103</f>
        <v>0</v>
      </c>
      <c r="CC155" s="635" t="n">
        <f aca="false">CC103</f>
        <v>0</v>
      </c>
      <c r="CD155" s="635" t="n">
        <f aca="false">CD103</f>
        <v>0</v>
      </c>
      <c r="CE155" s="635" t="n">
        <f aca="false">CE103</f>
        <v>0</v>
      </c>
      <c r="CF155" s="635" t="n">
        <f aca="false">CF103</f>
        <v>0</v>
      </c>
      <c r="CG155" s="635" t="n">
        <f aca="false">CG103</f>
        <v>0</v>
      </c>
      <c r="CH155" s="635" t="n">
        <f aca="false">CH103</f>
        <v>0</v>
      </c>
      <c r="CI155" s="635" t="n">
        <f aca="false">CI103</f>
        <v>0</v>
      </c>
      <c r="CJ155" s="635" t="n">
        <f aca="false">CJ103</f>
        <v>0</v>
      </c>
      <c r="CK155" s="635" t="n">
        <f aca="false">CK103</f>
        <v>0</v>
      </c>
      <c r="CL155" s="635" t="n">
        <f aca="false">CL103</f>
        <v>0</v>
      </c>
      <c r="CM155" s="635" t="n">
        <f aca="false">CM103</f>
        <v>0</v>
      </c>
      <c r="CN155" s="635" t="n">
        <f aca="false">CN103</f>
        <v>0</v>
      </c>
      <c r="CO155" s="635" t="n">
        <f aca="false">CO103</f>
        <v>0</v>
      </c>
      <c r="CP155" s="635" t="n">
        <f aca="false">CP103</f>
        <v>0</v>
      </c>
      <c r="CQ155" s="635" t="n">
        <f aca="false">CQ103</f>
        <v>0</v>
      </c>
      <c r="CR155" s="635" t="n">
        <f aca="false">CR103</f>
        <v>0</v>
      </c>
      <c r="CS155" s="635" t="n">
        <f aca="false">CS103</f>
        <v>0</v>
      </c>
      <c r="CT155" s="635" t="n">
        <f aca="false">CT103</f>
        <v>0</v>
      </c>
      <c r="CU155" s="635" t="n">
        <f aca="false">CU103</f>
        <v>0</v>
      </c>
      <c r="CV155" s="635" t="n">
        <f aca="false">CV103</f>
        <v>0</v>
      </c>
      <c r="CW155" s="635" t="n">
        <f aca="false">CW103</f>
        <v>0</v>
      </c>
      <c r="CX155" s="635" t="n">
        <f aca="false">CX103</f>
        <v>0</v>
      </c>
      <c r="CY155" s="635" t="n">
        <f aca="false">CY103</f>
        <v>0</v>
      </c>
      <c r="CZ155" s="635" t="n">
        <f aca="false">CZ103</f>
        <v>0</v>
      </c>
      <c r="DA155" s="635" t="n">
        <f aca="false">DA103</f>
        <v>0</v>
      </c>
      <c r="DB155" s="635" t="n">
        <f aca="false">DB103</f>
        <v>0</v>
      </c>
      <c r="DC155" s="635" t="n">
        <f aca="false">DC103</f>
        <v>0</v>
      </c>
      <c r="DD155" s="635" t="n">
        <f aca="false">DD103</f>
        <v>0</v>
      </c>
      <c r="DE155" s="635" t="n">
        <f aca="false">DE103</f>
        <v>0</v>
      </c>
      <c r="DF155" s="635" t="n">
        <f aca="false">DF103</f>
        <v>0</v>
      </c>
      <c r="DG155" s="635" t="n">
        <f aca="false">DG103</f>
        <v>0</v>
      </c>
      <c r="DH155" s="635" t="n">
        <f aca="false">DH103</f>
        <v>0</v>
      </c>
      <c r="DI155" s="635" t="n">
        <f aca="false">DI103</f>
        <v>0</v>
      </c>
      <c r="DJ155" s="635" t="n">
        <f aca="false">DJ103</f>
        <v>0</v>
      </c>
      <c r="DK155" s="635" t="n">
        <f aca="false">DK103</f>
        <v>0</v>
      </c>
      <c r="DL155" s="635" t="n">
        <f aca="false">DL103</f>
        <v>0</v>
      </c>
      <c r="DM155" s="635" t="n">
        <f aca="false">DM103</f>
        <v>0</v>
      </c>
      <c r="DN155" s="635" t="n">
        <f aca="false">DN103</f>
        <v>0</v>
      </c>
      <c r="DO155" s="635" t="n">
        <f aca="false">DO103</f>
        <v>0</v>
      </c>
      <c r="DP155" s="635" t="n">
        <f aca="false">DP103</f>
        <v>0</v>
      </c>
      <c r="DQ155" s="635" t="n">
        <f aca="false">DQ103</f>
        <v>0</v>
      </c>
      <c r="DR155" s="635" t="n">
        <f aca="false">DR103</f>
        <v>0</v>
      </c>
      <c r="DS155" s="635" t="n">
        <f aca="false">DS103</f>
        <v>0</v>
      </c>
      <c r="DT155" s="635" t="n">
        <f aca="false">DT103</f>
        <v>0</v>
      </c>
      <c r="DU155" s="635" t="n">
        <f aca="false">DU103</f>
        <v>0</v>
      </c>
      <c r="DV155" s="635" t="n">
        <f aca="false">DV103</f>
        <v>0</v>
      </c>
      <c r="DW155" s="635" t="n">
        <f aca="false">DW103</f>
        <v>0</v>
      </c>
      <c r="DX155" s="635" t="n">
        <f aca="false">DX103</f>
        <v>0</v>
      </c>
      <c r="DY155" s="635" t="n">
        <f aca="false">DY103</f>
        <v>0</v>
      </c>
      <c r="DZ155" s="635" t="n">
        <f aca="false">DZ103</f>
        <v>0</v>
      </c>
      <c r="EA155" s="635" t="n">
        <f aca="false">EA103</f>
        <v>0</v>
      </c>
      <c r="EB155" s="635" t="n">
        <f aca="false">EB103</f>
        <v>0</v>
      </c>
      <c r="EC155" s="635" t="n">
        <f aca="false">EC103</f>
        <v>0</v>
      </c>
      <c r="ED155" s="635" t="n">
        <f aca="false">ED103</f>
        <v>0</v>
      </c>
      <c r="EE155" s="635" t="n">
        <f aca="false">EE103</f>
        <v>0</v>
      </c>
      <c r="EF155" s="635" t="n">
        <f aca="false">EF103</f>
        <v>0</v>
      </c>
      <c r="EG155" s="635" t="n">
        <f aca="false">EG103</f>
        <v>0</v>
      </c>
      <c r="EH155" s="635" t="n">
        <f aca="false">EH103</f>
        <v>0</v>
      </c>
      <c r="EI155" s="636" t="n">
        <f aca="false">EI103</f>
        <v>0</v>
      </c>
      <c r="EK155" s="633" t="n">
        <f aca="true">IF(EK24*12-11&lt;='Executive Summary'!$I$13, AVERAGEIF(OFFSET($G155,0,EK$24*12-11,1,12), "&gt;0"), 0)</f>
        <v>1.2571295363056</v>
      </c>
      <c r="EL155" s="635" t="n">
        <f aca="true">IF(EL24*12-11&lt;='Executive Summary'!$I$13, AVERAGEIF(OFFSET($G155,0,EL$24*12-11,1,12), "&gt;0"), 0)</f>
        <v>1.35770574302984</v>
      </c>
      <c r="EM155" s="635" t="n">
        <f aca="true">IF(EM24*12-11&lt;='Executive Summary'!$I$13, AVERAGEIF(OFFSET($G155,0,EM$24*12-11,1,12), "&gt;0"), 0)</f>
        <v>1.42909452445794</v>
      </c>
      <c r="EN155" s="635" t="n">
        <f aca="true">IF(EN24*12-11&lt;='Executive Summary'!$I$13, AVERAGEIF(OFFSET($G155,0,EN$24*12-11,1,12), "&gt;0"), 0)</f>
        <v>1.4817222962783</v>
      </c>
      <c r="EO155" s="635" t="n">
        <f aca="true">IF(EO24*12-11&lt;='Executive Summary'!$I$13, AVERAGEIF(OFFSET($G155,0,EO$24*12-11,1,12), "&gt;0"), 0)</f>
        <v>1.53535445312735</v>
      </c>
      <c r="EP155" s="635" t="n">
        <f aca="true">IF(EP24*12-11&lt;='Executive Summary'!$I$13, AVERAGEIF(OFFSET($G155,0,EP$24*12-11,1,12), "&gt;0"), 0)</f>
        <v>0</v>
      </c>
      <c r="EQ155" s="635" t="n">
        <f aca="true">IF(EQ24*12-11&lt;='Executive Summary'!$I$13, AVERAGEIF(OFFSET($G155,0,EQ$24*12-11,1,12), "&gt;0"), 0)</f>
        <v>0</v>
      </c>
      <c r="ER155" s="635" t="n">
        <f aca="true">IF(ER24*12-11&lt;='Executive Summary'!$I$13, AVERAGEIF(OFFSET($G155,0,ER$24*12-11,1,12), "&gt;0"), 0)</f>
        <v>0</v>
      </c>
      <c r="ES155" s="635" t="n">
        <f aca="true">IF(ES24*12-11&lt;='Executive Summary'!$I$13, AVERAGEIF(OFFSET($G155,0,ES$24*12-11,1,12), "&gt;0"), 0)</f>
        <v>0</v>
      </c>
      <c r="ET155" s="636" t="n">
        <f aca="true">IF(ET24*12-11&lt;='Executive Summary'!$I$13, AVERAGEIF(OFFSET($G155,0,ET$24*12-11,1,12), "&gt;0"), 0)</f>
        <v>0</v>
      </c>
    </row>
    <row r="156" s="637" customFormat="true" ht="13.5" hidden="false" customHeight="true" outlineLevel="0" collapsed="false">
      <c r="B156" s="638" t="s">
        <v>621</v>
      </c>
      <c r="C156" s="639"/>
      <c r="D156" s="518"/>
      <c r="E156" s="640" t="n">
        <f aca="true">AVERAGE(OFFSET(G156,0,0,1,'Executive Summary'!$I$13+1))*12</f>
        <v>0.109621591498218</v>
      </c>
      <c r="F156" s="518"/>
      <c r="G156" s="638"/>
      <c r="H156" s="518" t="n">
        <f aca="false">(H55-H65+H74)/'Executive Summary'!$P$7*(H4&lt;='Executive Summary'!$I$13)</f>
        <v>0.00602748414092135</v>
      </c>
      <c r="I156" s="518" t="n">
        <f aca="false">(I55-I65+I74)/'Executive Summary'!$P$7*(I4&lt;='Executive Summary'!$I$13)</f>
        <v>0.00617846295293493</v>
      </c>
      <c r="J156" s="518" t="n">
        <f aca="false">(J55-J65+J74)/'Executive Summary'!$P$7*(J4&lt;='Executive Summary'!$I$13)</f>
        <v>0.00637647014992355</v>
      </c>
      <c r="K156" s="518" t="n">
        <f aca="false">(K55-K65+K74)/'Executive Summary'!$P$7*(K4&lt;='Executive Summary'!$I$13)</f>
        <v>0.00652963269343041</v>
      </c>
      <c r="L156" s="518" t="n">
        <f aca="false">(L55-L65+L74)/'Executive Summary'!$P$7*(L4&lt;='Executive Summary'!$I$13)</f>
        <v>0.00673025566988235</v>
      </c>
      <c r="M156" s="518" t="n">
        <f aca="false">(M55-M65+M74)/'Executive Summary'!$P$7*(M4&lt;='Executive Summary'!$I$13)</f>
        <v>0.00688598473932224</v>
      </c>
      <c r="N156" s="518" t="n">
        <f aca="false">(N55-N65+N74)/'Executive Summary'!$P$7*(N4&lt;='Executive Summary'!$I$13)</f>
        <v>0.00708922624557177</v>
      </c>
      <c r="O156" s="518" t="n">
        <f aca="false">(O55-O65+O74)/'Executive Summary'!$P$7*(O4&lt;='Executive Summary'!$I$13)</f>
        <v>0.00724752453705173</v>
      </c>
      <c r="P156" s="518" t="n">
        <f aca="false">(P55-P65+P74)/'Executive Summary'!$P$7*(P4&lt;='Executive Summary'!$I$13)</f>
        <v>0.00745338732605638</v>
      </c>
      <c r="Q156" s="518" t="n">
        <f aca="false">(Q55-Q65+Q74)/'Executive Summary'!$P$7*(Q4&lt;='Executive Summary'!$I$13)</f>
        <v>0.00761425753824652</v>
      </c>
      <c r="R156" s="518" t="n">
        <f aca="false">(R55-R65+R74)/'Executive Summary'!$P$7*(R4&lt;='Executive Summary'!$I$13)</f>
        <v>0.00782274436558856</v>
      </c>
      <c r="S156" s="518" t="n">
        <f aca="false">(S55-S65+S74)/'Executive Summary'!$P$7*(S4&lt;='Executive Summary'!$I$13)</f>
        <v>0.00798618919972356</v>
      </c>
      <c r="T156" s="518" t="n">
        <f aca="false">(T55-T65+T74)/'Executive Summary'!$P$7*(T4&lt;='Executive Summary'!$I$13)</f>
        <v>0.00786837750518943</v>
      </c>
      <c r="U156" s="518" t="n">
        <f aca="false">(U55-U65+U74)/'Executive Summary'!$P$7*(U4&lt;='Executive Summary'!$I$13)</f>
        <v>0.007958164459746</v>
      </c>
      <c r="V156" s="518" t="n">
        <f aca="false">(V55-V65+V74)/'Executive Summary'!$P$7*(V4&lt;='Executive Summary'!$I$13)</f>
        <v>0.00800716152266332</v>
      </c>
      <c r="W156" s="518" t="n">
        <f aca="false">(W55-W65+W74)/'Executive Summary'!$P$7*(W4&lt;='Executive Summary'!$I$13)</f>
        <v>0.0081076396069383</v>
      </c>
      <c r="X156" s="518" t="n">
        <f aca="false">(X55-X65+X74)/'Executive Summary'!$P$7*(X4&lt;='Executive Summary'!$I$13)</f>
        <v>0.00816731144746119</v>
      </c>
      <c r="Y156" s="518" t="n">
        <f aca="false">(Y55-Y65+Y74)/'Executive Summary'!$P$7*(Y4&lt;='Executive Summary'!$I$13)</f>
        <v>0.00827854925330531</v>
      </c>
      <c r="Z156" s="518" t="n">
        <f aca="false">(Z55-Z65+Z74)/'Executive Summary'!$P$7*(Z4&lt;='Executive Summary'!$I$13)</f>
        <v>0.00834896459769235</v>
      </c>
      <c r="AA156" s="518" t="n">
        <f aca="false">(AA55-AA65+AA74)/'Executive Summary'!$P$7*(AA4&lt;='Executive Summary'!$I$13)</f>
        <v>0.00847103109730053</v>
      </c>
      <c r="AB156" s="518" t="n">
        <f aca="false">(AB55-AB65+AB74)/'Executive Summary'!$P$7*(AB4&lt;='Executive Summary'!$I$13)</f>
        <v>0.00855225905311908</v>
      </c>
      <c r="AC156" s="518" t="n">
        <f aca="false">(AC55-AC65+AC74)/'Executive Summary'!$P$7*(AC4&lt;='Executive Summary'!$I$13)</f>
        <v>0.00868522360108416</v>
      </c>
      <c r="AD156" s="518" t="n">
        <f aca="false">(AD55-AD65+AD74)/'Executive Summary'!$P$7*(AD4&lt;='Executive Summary'!$I$13)</f>
        <v>0.00877733365926946</v>
      </c>
      <c r="AE156" s="518" t="n">
        <f aca="false">(AE55-AE65+AE74)/'Executive Summary'!$P$7*(AE4&lt;='Executive Summary'!$I$13)</f>
        <v>0.00892126599464688</v>
      </c>
      <c r="AF156" s="518" t="n">
        <f aca="false">(AF55-AF65+AF74)/'Executive Summary'!$P$7*(AF4&lt;='Executive Summary'!$I$13)</f>
        <v>0.0089586003297696</v>
      </c>
      <c r="AG156" s="518" t="n">
        <f aca="false">(AG55-AG65+AG74)/'Executive Summary'!$P$7*(AG4&lt;='Executive Summary'!$I$13)</f>
        <v>0.0090214788104095</v>
      </c>
      <c r="AH156" s="518" t="n">
        <f aca="false">(AH55-AH65+AH74)/'Executive Summary'!$P$7*(AH4&lt;='Executive Summary'!$I$13)</f>
        <v>0.00908400136561211</v>
      </c>
      <c r="AI156" s="518" t="n">
        <f aca="false">(AI55-AI65+AI74)/'Executive Summary'!$P$7*(AI4&lt;='Executive Summary'!$I$13)</f>
        <v>0.00914616573520987</v>
      </c>
      <c r="AJ156" s="518" t="n">
        <f aca="false">(AJ55-AJ65+AJ74)/'Executive Summary'!$P$7*(AJ4&lt;='Executive Summary'!$I$13)</f>
        <v>0.00920796964973677</v>
      </c>
      <c r="AK156" s="518" t="n">
        <f aca="false">(AK55-AK65+AK74)/'Executive Summary'!$P$7*(AK4&lt;='Executive Summary'!$I$13)</f>
        <v>0.0092694108303953</v>
      </c>
      <c r="AL156" s="518" t="n">
        <f aca="false">(AL55-AL65+AL74)/'Executive Summary'!$P$7*(AL4&lt;='Executive Summary'!$I$13)</f>
        <v>0.00933048698902347</v>
      </c>
      <c r="AM156" s="518" t="n">
        <f aca="false">(AM55-AM65+AM74)/'Executive Summary'!$P$7*(AM4&lt;='Executive Summary'!$I$13)</f>
        <v>0.00939119582806163</v>
      </c>
      <c r="AN156" s="518" t="n">
        <f aca="false">(AN55-AN65+AN74)/'Executive Summary'!$P$7*(AN4&lt;='Executive Summary'!$I$13)</f>
        <v>0.00945153504051922</v>
      </c>
      <c r="AO156" s="518" t="n">
        <f aca="false">(AO55-AO65+AO74)/'Executive Summary'!$P$7*(AO4&lt;='Executive Summary'!$I$13)</f>
        <v>0.00951467722618613</v>
      </c>
      <c r="AP156" s="518" t="n">
        <f aca="false">(AP55-AP65+AP74)/'Executive Summary'!$P$7*(AP4&lt;='Executive Summary'!$I$13)</f>
        <v>0.00957109531037539</v>
      </c>
      <c r="AQ156" s="518" t="n">
        <f aca="false">(AQ55-AQ65+AQ74)/'Executive Summary'!$P$7*(AQ4&lt;='Executive Summary'!$I$13)</f>
        <v>0.00963031170633732</v>
      </c>
      <c r="AR156" s="518" t="n">
        <f aca="false">(AR55-AR65+AR74)/'Executive Summary'!$P$7*(AR4&lt;='Executive Summary'!$I$13)</f>
        <v>0.00966491955988401</v>
      </c>
      <c r="AS156" s="518" t="n">
        <f aca="false">(AS55-AS65+AS74)/'Executive Summary'!$P$7*(AS4&lt;='Executive Summary'!$I$13)</f>
        <v>0.00973863297049984</v>
      </c>
      <c r="AT156" s="518" t="n">
        <f aca="false">(AT55-AT65+AT74)/'Executive Summary'!$P$7*(AT4&lt;='Executive Summary'!$I$13)</f>
        <v>0.00981256489683701</v>
      </c>
      <c r="AU156" s="518" t="n">
        <f aca="false">(AU55-AU65+AU74)/'Executive Summary'!$P$7*(AU4&lt;='Executive Summary'!$I$13)</f>
        <v>0.00988671599183465</v>
      </c>
      <c r="AV156" s="518" t="n">
        <f aca="false">(AV55-AV65+AV74)/'Executive Summary'!$P$7*(AV4&lt;='Executive Summary'!$I$13)</f>
        <v>0.00996108691044627</v>
      </c>
      <c r="AW156" s="518" t="n">
        <f aca="false">(AW55-AW65+AW74)/'Executive Summary'!$P$7*(AW4&lt;='Executive Summary'!$I$13)</f>
        <v>0.0100356783096463</v>
      </c>
      <c r="AX156" s="518" t="n">
        <f aca="false">(AX55-AX65+AX74)/'Executive Summary'!$P$7*(AX4&lt;='Executive Summary'!$I$13)</f>
        <v>0.0101104908484364</v>
      </c>
      <c r="AY156" s="518" t="n">
        <f aca="false">(AY55-AY65+AY74)/'Executive Summary'!$P$7*(AY4&lt;='Executive Summary'!$I$13)</f>
        <v>0.0101855251878525</v>
      </c>
      <c r="AZ156" s="518" t="n">
        <f aca="false">(AZ55-AZ65+AZ74)/'Executive Summary'!$P$7*(AZ4&lt;='Executive Summary'!$I$13)</f>
        <v>0.0102607819909707</v>
      </c>
      <c r="BA156" s="518" t="n">
        <f aca="false">(BA55-BA65+BA74)/'Executive Summary'!$P$7*(BA4&lt;='Executive Summary'!$I$13)</f>
        <v>0.0103362619229146</v>
      </c>
      <c r="BB156" s="518" t="n">
        <f aca="false">(BB55-BB65+BB74)/'Executive Summary'!$P$7*(BB4&lt;='Executive Summary'!$I$13)</f>
        <v>0.0104119656508611</v>
      </c>
      <c r="BC156" s="518" t="n">
        <f aca="false">(BC55-BC65+BC74)/'Executive Summary'!$P$7*(BC4&lt;='Executive Summary'!$I$13)</f>
        <v>0.010487893844048</v>
      </c>
      <c r="BD156" s="518" t="n">
        <f aca="false">(BD55-BD65+BD74)/'Executive Summary'!$P$7*(BD4&lt;='Executive Summary'!$I$13)</f>
        <v>0.0105385351814154</v>
      </c>
      <c r="BE156" s="518" t="n">
        <f aca="false">(BE55-BE65+BE74)/'Executive Summary'!$P$7*(BE4&lt;='Executive Summary'!$I$13)</f>
        <v>0.0106149143210703</v>
      </c>
      <c r="BF156" s="518" t="n">
        <f aca="false">(BF55-BF65+BF74)/'Executive Summary'!$P$7*(BF4&lt;='Executive Summary'!$I$13)</f>
        <v>0.0106915199461071</v>
      </c>
      <c r="BG156" s="518" t="n">
        <f aca="false">(BG55-BG65+BG74)/'Executive Summary'!$P$7*(BG4&lt;='Executive Summary'!$I$13)</f>
        <v>0.0107683527340718</v>
      </c>
      <c r="BH156" s="518" t="n">
        <f aca="false">(BH55-BH65+BH74)/'Executive Summary'!$P$7*(BH4&lt;='Executive Summary'!$I$13)</f>
        <v>0.0108454133646043</v>
      </c>
      <c r="BI156" s="518" t="n">
        <f aca="false">(BI55-BI65+BI74)/'Executive Summary'!$P$7*(BI4&lt;='Executive Summary'!$I$13)</f>
        <v>0.0109227025194452</v>
      </c>
      <c r="BJ156" s="518" t="n">
        <f aca="false">(BJ55-BJ65+BJ74)/'Executive Summary'!$P$7*(BJ4&lt;='Executive Summary'!$I$13)</f>
        <v>0.0110002208824425</v>
      </c>
      <c r="BK156" s="518" t="n">
        <f aca="false">(BK55-BK65+BK74)/'Executive Summary'!$P$7*(BK4&lt;='Executive Summary'!$I$13)</f>
        <v>0.0110779691395588</v>
      </c>
      <c r="BL156" s="518" t="n">
        <f aca="false">(BL55-BL65+BL74)/'Executive Summary'!$P$7*(BL4&lt;='Executive Summary'!$I$13)</f>
        <v>0.0111559479788775</v>
      </c>
      <c r="BM156" s="518" t="n">
        <f aca="false">(BM55-BM65+BM74)/'Executive Summary'!$P$7*(BM4&lt;='Executive Summary'!$I$13)</f>
        <v>0.0112341580906105</v>
      </c>
      <c r="BN156" s="518" t="n">
        <f aca="false">(BN55-BN65+BN74)/'Executive Summary'!$P$7*(BN4&lt;='Executive Summary'!$I$13)</f>
        <v>0.0113126001671042</v>
      </c>
      <c r="BO156" s="518" t="n">
        <f aca="false">(BO55-BO65+BO74)/'Executive Summary'!$P$7*(BO4&lt;='Executive Summary'!$I$13)</f>
        <v>0.0113912749028473</v>
      </c>
      <c r="BP156" s="518" t="n">
        <f aca="false">(BP55-BP65+BP74)/'Executive Summary'!$P$7*(BP4&lt;='Executive Summary'!$I$13)</f>
        <v>0</v>
      </c>
      <c r="BQ156" s="518" t="n">
        <f aca="false">(BQ55-BQ65+BQ74)/'Executive Summary'!$P$7*(BQ4&lt;='Executive Summary'!$I$13)</f>
        <v>0</v>
      </c>
      <c r="BR156" s="518" t="n">
        <f aca="false">(BR55-BR65+BR74)/'Executive Summary'!$P$7*(BR4&lt;='Executive Summary'!$I$13)</f>
        <v>0</v>
      </c>
      <c r="BS156" s="518" t="n">
        <f aca="false">(BS55-BS65+BS74)/'Executive Summary'!$P$7*(BS4&lt;='Executive Summary'!$I$13)</f>
        <v>0</v>
      </c>
      <c r="BT156" s="518" t="n">
        <f aca="false">(BT55-BT65+BT74)/'Executive Summary'!$P$7*(BT4&lt;='Executive Summary'!$I$13)</f>
        <v>0</v>
      </c>
      <c r="BU156" s="518" t="n">
        <f aca="false">(BU55-BU65+BU74)/'Executive Summary'!$P$7*(BU4&lt;='Executive Summary'!$I$13)</f>
        <v>0</v>
      </c>
      <c r="BV156" s="518" t="n">
        <f aca="false">(BV55-BV65+BV74)/'Executive Summary'!$P$7*(BV4&lt;='Executive Summary'!$I$13)</f>
        <v>0</v>
      </c>
      <c r="BW156" s="518" t="n">
        <f aca="false">(BW55-BW65+BW74)/'Executive Summary'!$P$7*(BW4&lt;='Executive Summary'!$I$13)</f>
        <v>0</v>
      </c>
      <c r="BX156" s="518" t="n">
        <f aca="false">(BX55-BX65+BX74)/'Executive Summary'!$P$7*(BX4&lt;='Executive Summary'!$I$13)</f>
        <v>0</v>
      </c>
      <c r="BY156" s="518" t="n">
        <f aca="false">(BY55-BY65+BY74)/'Executive Summary'!$P$7*(BY4&lt;='Executive Summary'!$I$13)</f>
        <v>0</v>
      </c>
      <c r="BZ156" s="518" t="n">
        <f aca="false">(BZ55-BZ65+BZ74)/'Executive Summary'!$P$7*(BZ4&lt;='Executive Summary'!$I$13)</f>
        <v>0</v>
      </c>
      <c r="CA156" s="518" t="n">
        <f aca="false">(CA55-CA65+CA74)/'Executive Summary'!$P$7*(CA4&lt;='Executive Summary'!$I$13)</f>
        <v>0</v>
      </c>
      <c r="CB156" s="518" t="n">
        <f aca="false">(CB55-CB65+CB74)/'Executive Summary'!$P$7*(CB4&lt;='Executive Summary'!$I$13)</f>
        <v>0</v>
      </c>
      <c r="CC156" s="518" t="n">
        <f aca="false">(CC55-CC65+CC74)/'Executive Summary'!$P$7*(CC4&lt;='Executive Summary'!$I$13)</f>
        <v>0</v>
      </c>
      <c r="CD156" s="518" t="n">
        <f aca="false">(CD55-CD65+CD74)/'Executive Summary'!$P$7*(CD4&lt;='Executive Summary'!$I$13)</f>
        <v>0</v>
      </c>
      <c r="CE156" s="518" t="n">
        <f aca="false">(CE55-CE65+CE74)/'Executive Summary'!$P$7*(CE4&lt;='Executive Summary'!$I$13)</f>
        <v>0</v>
      </c>
      <c r="CF156" s="518" t="n">
        <f aca="false">(CF55-CF65+CF74)/'Executive Summary'!$P$7*(CF4&lt;='Executive Summary'!$I$13)</f>
        <v>0</v>
      </c>
      <c r="CG156" s="518" t="n">
        <f aca="false">(CG55-CG65+CG74)/'Executive Summary'!$P$7*(CG4&lt;='Executive Summary'!$I$13)</f>
        <v>0</v>
      </c>
      <c r="CH156" s="518" t="n">
        <f aca="false">(CH55-CH65+CH74)/'Executive Summary'!$P$7*(CH4&lt;='Executive Summary'!$I$13)</f>
        <v>0</v>
      </c>
      <c r="CI156" s="518" t="n">
        <f aca="false">(CI55-CI65+CI74)/'Executive Summary'!$P$7*(CI4&lt;='Executive Summary'!$I$13)</f>
        <v>0</v>
      </c>
      <c r="CJ156" s="518" t="n">
        <f aca="false">(CJ55-CJ65+CJ74)/'Executive Summary'!$P$7*(CJ4&lt;='Executive Summary'!$I$13)</f>
        <v>0</v>
      </c>
      <c r="CK156" s="518" t="n">
        <f aca="false">(CK55-CK65+CK74)/'Executive Summary'!$P$7*(CK4&lt;='Executive Summary'!$I$13)</f>
        <v>0</v>
      </c>
      <c r="CL156" s="518" t="n">
        <f aca="false">(CL55-CL65+CL74)/'Executive Summary'!$P$7*(CL4&lt;='Executive Summary'!$I$13)</f>
        <v>0</v>
      </c>
      <c r="CM156" s="518" t="n">
        <f aca="false">(CM55-CM65+CM74)/'Executive Summary'!$P$7*(CM4&lt;='Executive Summary'!$I$13)</f>
        <v>0</v>
      </c>
      <c r="CN156" s="518" t="n">
        <f aca="false">(CN55-CN65+CN74)/'Executive Summary'!$P$7*(CN4&lt;='Executive Summary'!$I$13)</f>
        <v>0</v>
      </c>
      <c r="CO156" s="518" t="n">
        <f aca="false">(CO55-CO65+CO74)/'Executive Summary'!$P$7*(CO4&lt;='Executive Summary'!$I$13)</f>
        <v>0</v>
      </c>
      <c r="CP156" s="518" t="n">
        <f aca="false">(CP55-CP65+CP74)/'Executive Summary'!$P$7*(CP4&lt;='Executive Summary'!$I$13)</f>
        <v>0</v>
      </c>
      <c r="CQ156" s="518" t="n">
        <f aca="false">(CQ55-CQ65+CQ74)/'Executive Summary'!$P$7*(CQ4&lt;='Executive Summary'!$I$13)</f>
        <v>0</v>
      </c>
      <c r="CR156" s="518" t="n">
        <f aca="false">(CR55-CR65+CR74)/'Executive Summary'!$P$7*(CR4&lt;='Executive Summary'!$I$13)</f>
        <v>0</v>
      </c>
      <c r="CS156" s="518" t="n">
        <f aca="false">(CS55-CS65+CS74)/'Executive Summary'!$P$7*(CS4&lt;='Executive Summary'!$I$13)</f>
        <v>0</v>
      </c>
      <c r="CT156" s="518" t="n">
        <f aca="false">(CT55-CT65+CT74)/'Executive Summary'!$P$7*(CT4&lt;='Executive Summary'!$I$13)</f>
        <v>0</v>
      </c>
      <c r="CU156" s="518" t="n">
        <f aca="false">(CU55-CU65+CU74)/'Executive Summary'!$P$7*(CU4&lt;='Executive Summary'!$I$13)</f>
        <v>0</v>
      </c>
      <c r="CV156" s="518" t="n">
        <f aca="false">(CV55-CV65+CV74)/'Executive Summary'!$P$7*(CV4&lt;='Executive Summary'!$I$13)</f>
        <v>0</v>
      </c>
      <c r="CW156" s="518" t="n">
        <f aca="false">(CW55-CW65+CW74)/'Executive Summary'!$P$7*(CW4&lt;='Executive Summary'!$I$13)</f>
        <v>0</v>
      </c>
      <c r="CX156" s="518" t="n">
        <f aca="false">(CX55-CX65+CX74)/'Executive Summary'!$P$7*(CX4&lt;='Executive Summary'!$I$13)</f>
        <v>0</v>
      </c>
      <c r="CY156" s="518" t="n">
        <f aca="false">(CY55-CY65+CY74)/'Executive Summary'!$P$7*(CY4&lt;='Executive Summary'!$I$13)</f>
        <v>0</v>
      </c>
      <c r="CZ156" s="518" t="n">
        <f aca="false">(CZ55-CZ65+CZ74)/'Executive Summary'!$P$7*(CZ4&lt;='Executive Summary'!$I$13)</f>
        <v>0</v>
      </c>
      <c r="DA156" s="518" t="n">
        <f aca="false">(DA55-DA65+DA74)/'Executive Summary'!$P$7*(DA4&lt;='Executive Summary'!$I$13)</f>
        <v>0</v>
      </c>
      <c r="DB156" s="518" t="n">
        <f aca="false">(DB55-DB65+DB74)/'Executive Summary'!$P$7*(DB4&lt;='Executive Summary'!$I$13)</f>
        <v>0</v>
      </c>
      <c r="DC156" s="518" t="n">
        <f aca="false">(DC55-DC65+DC74)/'Executive Summary'!$P$7*(DC4&lt;='Executive Summary'!$I$13)</f>
        <v>0</v>
      </c>
      <c r="DD156" s="518" t="n">
        <f aca="false">(DD55-DD65+DD74)/'Executive Summary'!$P$7*(DD4&lt;='Executive Summary'!$I$13)</f>
        <v>0</v>
      </c>
      <c r="DE156" s="518" t="n">
        <f aca="false">(DE55-DE65+DE74)/'Executive Summary'!$P$7*(DE4&lt;='Executive Summary'!$I$13)</f>
        <v>0</v>
      </c>
      <c r="DF156" s="518" t="n">
        <f aca="false">(DF55-DF65+DF74)/'Executive Summary'!$P$7*(DF4&lt;='Executive Summary'!$I$13)</f>
        <v>0</v>
      </c>
      <c r="DG156" s="518" t="n">
        <f aca="false">(DG55-DG65+DG74)/'Executive Summary'!$P$7*(DG4&lt;='Executive Summary'!$I$13)</f>
        <v>0</v>
      </c>
      <c r="DH156" s="518" t="n">
        <f aca="false">(DH55-DH65+DH74)/'Executive Summary'!$P$7*(DH4&lt;='Executive Summary'!$I$13)</f>
        <v>0</v>
      </c>
      <c r="DI156" s="518" t="n">
        <f aca="false">(DI55-DI65+DI74)/'Executive Summary'!$P$7*(DI4&lt;='Executive Summary'!$I$13)</f>
        <v>0</v>
      </c>
      <c r="DJ156" s="518" t="n">
        <f aca="false">(DJ55-DJ65+DJ74)/'Executive Summary'!$P$7*(DJ4&lt;='Executive Summary'!$I$13)</f>
        <v>0</v>
      </c>
      <c r="DK156" s="518" t="n">
        <f aca="false">(DK55-DK65+DK74)/'Executive Summary'!$P$7*(DK4&lt;='Executive Summary'!$I$13)</f>
        <v>0</v>
      </c>
      <c r="DL156" s="518" t="n">
        <f aca="false">(DL55-DL65+DL74)/'Executive Summary'!$P$7*(DL4&lt;='Executive Summary'!$I$13)</f>
        <v>0</v>
      </c>
      <c r="DM156" s="518" t="n">
        <f aca="false">(DM55-DM65+DM74)/'Executive Summary'!$P$7*(DM4&lt;='Executive Summary'!$I$13)</f>
        <v>0</v>
      </c>
      <c r="DN156" s="518" t="n">
        <f aca="false">(DN55-DN65+DN74)/'Executive Summary'!$P$7*(DN4&lt;='Executive Summary'!$I$13)</f>
        <v>0</v>
      </c>
      <c r="DO156" s="518" t="n">
        <f aca="false">(DO55-DO65+DO74)/'Executive Summary'!$P$7*(DO4&lt;='Executive Summary'!$I$13)</f>
        <v>0</v>
      </c>
      <c r="DP156" s="518" t="n">
        <f aca="false">(DP55-DP65+DP74)/'Executive Summary'!$P$7*(DP4&lt;='Executive Summary'!$I$13)</f>
        <v>0</v>
      </c>
      <c r="DQ156" s="518" t="n">
        <f aca="false">(DQ55-DQ65+DQ74)/'Executive Summary'!$P$7*(DQ4&lt;='Executive Summary'!$I$13)</f>
        <v>0</v>
      </c>
      <c r="DR156" s="518" t="n">
        <f aca="false">(DR55-DR65+DR74)/'Executive Summary'!$P$7*(DR4&lt;='Executive Summary'!$I$13)</f>
        <v>0</v>
      </c>
      <c r="DS156" s="518" t="n">
        <f aca="false">(DS55-DS65+DS74)/'Executive Summary'!$P$7*(DS4&lt;='Executive Summary'!$I$13)</f>
        <v>0</v>
      </c>
      <c r="DT156" s="518" t="n">
        <f aca="false">(DT55-DT65+DT74)/'Executive Summary'!$P$7*(DT4&lt;='Executive Summary'!$I$13)</f>
        <v>0</v>
      </c>
      <c r="DU156" s="518" t="n">
        <f aca="false">(DU55-DU65+DU74)/'Executive Summary'!$P$7*(DU4&lt;='Executive Summary'!$I$13)</f>
        <v>0</v>
      </c>
      <c r="DV156" s="518" t="n">
        <f aca="false">(DV55-DV65+DV74)/'Executive Summary'!$P$7*(DV4&lt;='Executive Summary'!$I$13)</f>
        <v>0</v>
      </c>
      <c r="DW156" s="518" t="n">
        <f aca="false">(DW55-DW65+DW74)/'Executive Summary'!$P$7*(DW4&lt;='Executive Summary'!$I$13)</f>
        <v>0</v>
      </c>
      <c r="DX156" s="518" t="n">
        <f aca="false">(DX55-DX65+DX74)/'Executive Summary'!$P$7*(DX4&lt;='Executive Summary'!$I$13)</f>
        <v>0</v>
      </c>
      <c r="DY156" s="518" t="n">
        <f aca="false">(DY55-DY65+DY74)/'Executive Summary'!$P$7*(DY4&lt;='Executive Summary'!$I$13)</f>
        <v>0</v>
      </c>
      <c r="DZ156" s="518" t="n">
        <f aca="false">(DZ55-DZ65+DZ74)/'Executive Summary'!$P$7*(DZ4&lt;='Executive Summary'!$I$13)</f>
        <v>0</v>
      </c>
      <c r="EA156" s="518" t="n">
        <f aca="false">(EA55-EA65+EA74)/'Executive Summary'!$P$7*(EA4&lt;='Executive Summary'!$I$13)</f>
        <v>0</v>
      </c>
      <c r="EB156" s="518" t="n">
        <f aca="false">(EB55-EB65+EB74)/'Executive Summary'!$P$7*(EB4&lt;='Executive Summary'!$I$13)</f>
        <v>0</v>
      </c>
      <c r="EC156" s="518" t="n">
        <f aca="false">(EC55-EC65+EC74)/'Executive Summary'!$P$7*(EC4&lt;='Executive Summary'!$I$13)</f>
        <v>0</v>
      </c>
      <c r="ED156" s="518" t="n">
        <f aca="false">(ED55-ED65+ED74)/'Executive Summary'!$P$7*(ED4&lt;='Executive Summary'!$I$13)</f>
        <v>0</v>
      </c>
      <c r="EE156" s="518" t="n">
        <f aca="false">(EE55-EE65+EE74)/'Executive Summary'!$P$7*(EE4&lt;='Executive Summary'!$I$13)</f>
        <v>0</v>
      </c>
      <c r="EF156" s="518" t="n">
        <f aca="false">(EF55-EF65+EF74)/'Executive Summary'!$P$7*(EF4&lt;='Executive Summary'!$I$13)</f>
        <v>0</v>
      </c>
      <c r="EG156" s="518" t="n">
        <f aca="false">(EG55-EG65+EG74)/'Executive Summary'!$P$7*(EG4&lt;='Executive Summary'!$I$13)</f>
        <v>0</v>
      </c>
      <c r="EH156" s="518" t="n">
        <f aca="false">(EH55-EH65+EH74)/'Executive Summary'!$P$7*(EH4&lt;='Executive Summary'!$I$13)</f>
        <v>0</v>
      </c>
      <c r="EI156" s="640" t="n">
        <f aca="false">(EI55-EI65+EI74)/'Executive Summary'!$P$7*(EI4&lt;='Executive Summary'!$I$13)</f>
        <v>0</v>
      </c>
      <c r="EK156" s="638" t="n">
        <f aca="false">(EK55-EK65+EK74)/'Executive Summary'!$P$7*((EK24*12-11)&lt;='Executive Summary'!$I$13)</f>
        <v>0.0839416195586533</v>
      </c>
      <c r="EL156" s="518" t="n">
        <f aca="false">(EL55-EL65+EL74)/'Executive Summary'!$P$7*((EL24*12-11)&lt;='Executive Summary'!$I$13)</f>
        <v>0.100143281798416</v>
      </c>
      <c r="EM156" s="518" t="n">
        <f aca="false">(EM55-EM65+EM74)/'Executive Summary'!$P$7*((EM24*12-11)&lt;='Executive Summary'!$I$13)</f>
        <v>0.111576928821636</v>
      </c>
      <c r="EN156" s="518" t="n">
        <f aca="false">(EN55-EN65+EN74)/'Executive Summary'!$P$7*((EN24*12-11)&lt;='Executive Summary'!$I$13)</f>
        <v>0.120892518084231</v>
      </c>
      <c r="EO156" s="518" t="n">
        <f aca="false">(EO55-EO65+EO74)/'Executive Summary'!$P$7*((EO24*12-11)&lt;='Executive Summary'!$I$13)</f>
        <v>0.131553609228155</v>
      </c>
      <c r="EP156" s="518" t="n">
        <f aca="false">(EP55-EP65+EP74)/'Executive Summary'!$P$7*((EP24*12-11)&lt;='Executive Summary'!$I$13)</f>
        <v>0</v>
      </c>
      <c r="EQ156" s="518" t="n">
        <f aca="false">(EQ55-EQ65+EQ74)/'Executive Summary'!$P$7*((EQ24*12-11)&lt;='Executive Summary'!$I$13)</f>
        <v>0</v>
      </c>
      <c r="ER156" s="518" t="n">
        <f aca="false">(ER55-ER65+ER74)/'Executive Summary'!$P$7*((ER24*12-11)&lt;='Executive Summary'!$I$13)</f>
        <v>0</v>
      </c>
      <c r="ES156" s="518" t="n">
        <f aca="false">(ES55-ES65+ES74)/'Executive Summary'!$P$7*((ES24*12-11)&lt;='Executive Summary'!$I$13)</f>
        <v>0</v>
      </c>
      <c r="ET156" s="640" t="n">
        <f aca="false">(ET55-ET65+ET74)/'Executive Summary'!$P$7*((ET24*12-11)&lt;='Executive Summary'!$I$13)</f>
        <v>0</v>
      </c>
    </row>
    <row r="157" s="637" customFormat="true" ht="13.5" hidden="false" customHeight="true" outlineLevel="0" collapsed="false">
      <c r="B157" s="638" t="s">
        <v>622</v>
      </c>
      <c r="C157" s="639"/>
      <c r="D157" s="518"/>
      <c r="E157" s="640" t="n">
        <f aca="false">SUM(G157:EI157)/'Executive Summary'!I13</f>
        <v>0.091979766743118</v>
      </c>
      <c r="F157" s="518"/>
      <c r="G157" s="638"/>
      <c r="H157" s="518" t="n">
        <f aca="false">(H68+H84+H87+H94+H97+H76)*12/'Executive Summary'!$P$7*(H24&lt;='Executive Summary'!$I$13)</f>
        <v>0.0723298096910563</v>
      </c>
      <c r="I157" s="518" t="n">
        <f aca="false">(I68+I84+I87+I94+I97+I76)*12/'Executive Summary'!$P$7*(I24&lt;='Executive Summary'!$I$13)</f>
        <v>0.0741415554352191</v>
      </c>
      <c r="J157" s="518" t="n">
        <f aca="false">(J68+J84+J87+J94+J97+J76)*12/'Executive Summary'!$P$7*(J24&lt;='Executive Summary'!$I$13)</f>
        <v>0.0765176417990826</v>
      </c>
      <c r="K157" s="518" t="n">
        <f aca="false">(K68+K84+K87+K94+K97+K76)*12/'Executive Summary'!$P$7*(K24&lt;='Executive Summary'!$I$13)</f>
        <v>0.0783555923211649</v>
      </c>
      <c r="L157" s="518" t="n">
        <f aca="false">(L68+L84+L87+L94+L97+L76)*12/'Executive Summary'!$P$7*(L24&lt;='Executive Summary'!$I$13)</f>
        <v>0.0807630680385882</v>
      </c>
      <c r="M157" s="518" t="n">
        <f aca="false">(M68+M84+M87+M94+M97+M76)*12/'Executive Summary'!$P$7*(M24&lt;='Executive Summary'!$I$13)</f>
        <v>0.0826318168718669</v>
      </c>
      <c r="N157" s="518" t="n">
        <f aca="false">(N68+N84+N87+N94+N97+N76)*12/'Executive Summary'!$P$7*(N24&lt;='Executive Summary'!$I$13)</f>
        <v>0.0850707149468613</v>
      </c>
      <c r="O157" s="518" t="n">
        <f aca="false">(O68+O84+O87+O94+O97+O76)*12/'Executive Summary'!$P$7*(O24&lt;='Executive Summary'!$I$13)</f>
        <v>0.0869702944446208</v>
      </c>
      <c r="P157" s="518" t="n">
        <f aca="false">(P68+P84+P87+P94+P97+P76)*12/'Executive Summary'!$P$7*(P24&lt;='Executive Summary'!$I$13)</f>
        <v>0.0894406479126765</v>
      </c>
      <c r="Q157" s="518" t="n">
        <f aca="false">(Q68+Q84+Q87+Q94+Q97+Q76)*12/'Executive Summary'!$P$7*(Q24&lt;='Executive Summary'!$I$13)</f>
        <v>0.0913710904589582</v>
      </c>
      <c r="R157" s="518" t="n">
        <f aca="false">(R68+R84+R87+R94+R97+R76)*12/'Executive Summary'!$P$7*(R24&lt;='Executive Summary'!$I$13)</f>
        <v>0.0938729323870627</v>
      </c>
      <c r="S157" s="518" t="n">
        <f aca="false">(S68+S84+S87+S94+S97+S76)*12/'Executive Summary'!$P$7*(S24&lt;='Executive Summary'!$I$13)</f>
        <v>0.0958342703966827</v>
      </c>
      <c r="T157" s="518" t="n">
        <f aca="false">(T68+T84+T87+T94+T97+T76)*12/'Executive Summary'!$P$7*(T24&lt;='Executive Summary'!$I$13)</f>
        <v>0.0944205300622732</v>
      </c>
      <c r="U157" s="518" t="n">
        <f aca="false">(U68+U84+U87+U94+U97+U76)*12/'Executive Summary'!$P$7*(U24&lt;='Executive Summary'!$I$13)</f>
        <v>0.0954979735169519</v>
      </c>
      <c r="V157" s="518" t="n">
        <f aca="false">(V68+V84+V87+V94+V97+V76)*12/'Executive Summary'!$P$7*(V24&lt;='Executive Summary'!$I$13)</f>
        <v>0.0960859382719599</v>
      </c>
      <c r="W157" s="518" t="n">
        <f aca="false">(W68+W84+W87+W94+W97+W76)*12/'Executive Summary'!$P$7*(W24&lt;='Executive Summary'!$I$13)</f>
        <v>0.0972916752832596</v>
      </c>
      <c r="X157" s="518" t="n">
        <f aca="false">(X68+X84+X87+X94+X97+X76)*12/'Executive Summary'!$P$7*(X24&lt;='Executive Summary'!$I$13)</f>
        <v>0.0980077373695342</v>
      </c>
      <c r="Y157" s="518" t="n">
        <f aca="false">(Y68+Y84+Y87+Y94+Y97+Y76)*12/'Executive Summary'!$P$7*(Y24&lt;='Executive Summary'!$I$13)</f>
        <v>0.0993425910396637</v>
      </c>
      <c r="Z157" s="518" t="n">
        <f aca="false">(Z68+Z84+Z87+Z94+Z97+Z76)*12/'Executive Summary'!$P$7*(Z24&lt;='Executive Summary'!$I$13)</f>
        <v>0.100187575172308</v>
      </c>
      <c r="AA157" s="518" t="n">
        <f aca="false">(AA68+AA84+AA87+AA94+AA97+AA76)*12/'Executive Summary'!$P$7*(AA24&lt;='Executive Summary'!$I$13)</f>
        <v>0.101652373167606</v>
      </c>
      <c r="AB157" s="518" t="n">
        <f aca="false">(AB68+AB84+AB87+AB94+AB97+AB76)*12/'Executive Summary'!$P$7*(AB24&lt;='Executive Summary'!$I$13)</f>
        <v>0.102627108637429</v>
      </c>
      <c r="AC157" s="518" t="n">
        <f aca="false">(AC68+AC84+AC87+AC94+AC97+AC76)*12/'Executive Summary'!$P$7*(AC24&lt;='Executive Summary'!$I$13)</f>
        <v>0.10422268321301</v>
      </c>
      <c r="AD157" s="518" t="n">
        <f aca="false">(AD68+AD84+AD87+AD94+AD97+AD76)*12/'Executive Summary'!$P$7*(AD24&lt;='Executive Summary'!$I$13)</f>
        <v>0.105328003911234</v>
      </c>
      <c r="AE157" s="518" t="n">
        <f aca="false">(AE68+AE84+AE87+AE94+AE97+AE76)*12/'Executive Summary'!$P$7*(AE24&lt;='Executive Summary'!$I$13)</f>
        <v>0.107055191935763</v>
      </c>
      <c r="AF157" s="518" t="n">
        <f aca="false">(AF68+AF84+AF87+AF94+AF97+AF76)*12/'Executive Summary'!$P$7*(AF24&lt;='Executive Summary'!$I$13)</f>
        <v>0.107503203957235</v>
      </c>
      <c r="AG157" s="518" t="n">
        <f aca="false">(AG68+AG84+AG87+AG94+AG97+AG76)*12/'Executive Summary'!$P$7*(AG24&lt;='Executive Summary'!$I$13)</f>
        <v>0.108257745724914</v>
      </c>
      <c r="AH157" s="518" t="n">
        <f aca="false">(AH68+AH84+AH87+AH94+AH97+AH76)*12/'Executive Summary'!$P$7*(AH24&lt;='Executive Summary'!$I$13)</f>
        <v>0.109008016387345</v>
      </c>
      <c r="AI157" s="518" t="n">
        <f aca="false">(AI68+AI84+AI87+AI94+AI97+AI76)*12/'Executive Summary'!$P$7*(AI24&lt;='Executive Summary'!$I$13)</f>
        <v>0.109753988822518</v>
      </c>
      <c r="AJ157" s="518" t="n">
        <f aca="false">(AJ68+AJ84+AJ87+AJ94+AJ97+AJ76)*12/'Executive Summary'!$P$7*(AJ24&lt;='Executive Summary'!$I$13)</f>
        <v>0.110495635796841</v>
      </c>
      <c r="AK157" s="518" t="n">
        <f aca="false">(AK68+AK84+AK87+AK94+AK97+AK76)*12/'Executive Summary'!$P$7*(AK24&lt;='Executive Summary'!$I$13)</f>
        <v>0.111232929964744</v>
      </c>
      <c r="AL157" s="518" t="n">
        <f aca="false">(AL68+AL84+AL87+AL94+AL97+AL76)*12/'Executive Summary'!$P$7*(AL24&lt;='Executive Summary'!$I$13)</f>
        <v>0.111965843868282</v>
      </c>
      <c r="AM157" s="518" t="n">
        <f aca="false">(AM68+AM84+AM87+AM94+AM97+AM76)*12/'Executive Summary'!$P$7*(AM24&lt;='Executive Summary'!$I$13)</f>
        <v>0.11269434993674</v>
      </c>
      <c r="AN157" s="518" t="n">
        <f aca="false">(AN68+AN84+AN87+AN94+AN97+AN76)*12/'Executive Summary'!$P$7*(AN24&lt;='Executive Summary'!$I$13)</f>
        <v>0.113418420486231</v>
      </c>
      <c r="AO157" s="518" t="n">
        <f aca="false">(AO68+AO84+AO87+AO94+AO97+AO76)*12/'Executive Summary'!$P$7*(AO24&lt;='Executive Summary'!$I$13)</f>
        <v>0.114176126714234</v>
      </c>
      <c r="AP157" s="518" t="n">
        <f aca="false">(AP68+AP84+AP87+AP94+AP97+AP76)*12/'Executive Summary'!$P$7*(AP24&lt;='Executive Summary'!$I$13)</f>
        <v>0.114853143724505</v>
      </c>
      <c r="AQ157" s="518" t="n">
        <f aca="false">(AQ68+AQ84+AQ87+AQ94+AQ97+AQ76)*12/'Executive Summary'!$P$7*(AQ24&lt;='Executive Summary'!$I$13)</f>
        <v>0.115563740476048</v>
      </c>
      <c r="AR157" s="518" t="n">
        <f aca="false">(AR68+AR84+AR87+AR94+AR97+AR76)*12/'Executive Summary'!$P$7*(AR24&lt;='Executive Summary'!$I$13)</f>
        <v>0.0738899694633525</v>
      </c>
      <c r="AS157" s="518" t="n">
        <f aca="false">(AS68+AS84+AS87+AS94+AS97+AS76)*12/'Executive Summary'!$P$7*(AS24&lt;='Executive Summary'!$I$13)</f>
        <v>0.0746044204186691</v>
      </c>
      <c r="AT157" s="518" t="n">
        <f aca="false">(AT68+AT84+AT87+AT94+AT97+AT76)*12/'Executive Summary'!$P$7*(AT24&lt;='Executive Summary'!$I$13)</f>
        <v>0.075320806034838</v>
      </c>
      <c r="AU157" s="518" t="n">
        <f aca="false">(AU68+AU84+AU87+AU94+AU97+AU76)*12/'Executive Summary'!$P$7*(AU24&lt;='Executive Summary'!$I$13)</f>
        <v>0.0760391313683706</v>
      </c>
      <c r="AV157" s="518" t="n">
        <f aca="false">(AV68+AV84+AV87+AV94+AV97+AV76)*12/'Executive Summary'!$P$7*(AV24&lt;='Executive Summary'!$I$13)</f>
        <v>0.0767594014887198</v>
      </c>
      <c r="AW157" s="518" t="n">
        <f aca="false">(AW68+AW84+AW87+AW94+AW97+AW76)*12/'Executive Summary'!$P$7*(AW24&lt;='Executive Summary'!$I$13)</f>
        <v>0.0774816214783135</v>
      </c>
      <c r="AX157" s="518" t="n">
        <f aca="false">(AX68+AX84+AX87+AX94+AX97+AX76)*12/'Executive Summary'!$P$7*(AX24&lt;='Executive Summary'!$I$13)</f>
        <v>0.0782057964325858</v>
      </c>
      <c r="AY157" s="518" t="n">
        <f aca="false">(AY68+AY84+AY87+AY94+AY97+AY76)*12/'Executive Summary'!$P$7*(AY24&lt;='Executive Summary'!$I$13)</f>
        <v>0.078931931460011</v>
      </c>
      <c r="AZ157" s="518" t="n">
        <f aca="false">(AZ68+AZ84+AZ87+AZ94+AZ97+AZ76)*12/'Executive Summary'!$P$7*(AZ24&lt;='Executive Summary'!$I$13)</f>
        <v>0.0796600316821366</v>
      </c>
      <c r="BA157" s="518" t="n">
        <f aca="false">(BA68+BA84+BA87+BA94+BA97+BA76)*12/'Executive Summary'!$P$7*(BA24&lt;='Executive Summary'!$I$13)</f>
        <v>0.0803901022336159</v>
      </c>
      <c r="BB157" s="518" t="n">
        <f aca="false">(BB68+BB84+BB87+BB94+BB97+BB76)*12/'Executive Summary'!$P$7*(BB24&lt;='Executive Summary'!$I$13)</f>
        <v>0.0811221482622407</v>
      </c>
      <c r="BC157" s="518" t="n">
        <f aca="false">(BC68+BC84+BC87+BC94+BC97+BC76)*12/'Executive Summary'!$P$7*(BC24&lt;='Executive Summary'!$I$13)</f>
        <v>0.0818561749289761</v>
      </c>
      <c r="BD157" s="518" t="n">
        <f aca="false">(BD68+BD84+BD87+BD94+BD97+BD76)*12/'Executive Summary'!$P$7*(BD24&lt;='Executive Summary'!$I$13)</f>
        <v>0.0822860434996198</v>
      </c>
      <c r="BE157" s="518" t="n">
        <f aca="false">(BE68+BE84+BE87+BE94+BE97+BE76)*12/'Executive Summary'!$P$7*(BE24&lt;='Executive Summary'!$I$13)</f>
        <v>0.0830240469783239</v>
      </c>
      <c r="BF157" s="518" t="n">
        <f aca="false">(BF68+BF84+BF87+BF94+BF97+BF76)*12/'Executive Summary'!$P$7*(BF24&lt;='Executive Summary'!$I$13)</f>
        <v>0.0837640466573981</v>
      </c>
      <c r="BG157" s="518" t="n">
        <f aca="false">(BG68+BG84+BG87+BG94+BG97+BG76)*12/'Executive Summary'!$P$7*(BG24&lt;='Executive Summary'!$I$13)</f>
        <v>0.0845060477508289</v>
      </c>
      <c r="BH157" s="518" t="n">
        <f aca="false">(BH68+BH84+BH87+BH94+BH97+BH76)*12/'Executive Summary'!$P$7*(BH24&lt;='Executive Summary'!$I$13)</f>
        <v>0.0852500554859428</v>
      </c>
      <c r="BI157" s="518" t="n">
        <f aca="false">(BI68+BI84+BI87+BI94+BI97+BI76)*12/'Executive Summary'!$P$7*(BI24&lt;='Executive Summary'!$I$13)</f>
        <v>0.0859960751034388</v>
      </c>
      <c r="BJ157" s="518" t="n">
        <f aca="false">(BJ68+BJ84+BJ87+BJ94+BJ97+BJ76)*12/'Executive Summary'!$P$7*(BJ24&lt;='Executive Summary'!$I$13)</f>
        <v>0.0867441118574236</v>
      </c>
      <c r="BK157" s="518" t="n">
        <f aca="false">(BK68+BK84+BK87+BK94+BK97+BK76)*12/'Executive Summary'!$P$7*(BK24&lt;='Executive Summary'!$I$13)</f>
        <v>0.0874941710154437</v>
      </c>
      <c r="BL157" s="518" t="n">
        <f aca="false">(BL68+BL84+BL87+BL94+BL97+BL76)*12/'Executive Summary'!$P$7*(BL24&lt;='Executive Summary'!$I$13)</f>
        <v>0.0882462578585208</v>
      </c>
      <c r="BM157" s="518" t="n">
        <f aca="false">(BM68+BM84+BM87+BM94+BM97+BM76)*12/'Executive Summary'!$P$7*(BM24&lt;='Executive Summary'!$I$13)</f>
        <v>0.0890003776811857</v>
      </c>
      <c r="BN157" s="518" t="n">
        <f aca="false">(BN68+BN84+BN87+BN94+BN97+BN76)*12/'Executive Summary'!$P$7*(BN24&lt;='Executive Summary'!$I$13)</f>
        <v>0.0897565357915108</v>
      </c>
      <c r="BO157" s="518" t="n">
        <f aca="false">(BO68+BO84+BO87+BO94+BO97+BO76)*12/'Executive Summary'!$P$7*(BO24&lt;='Executive Summary'!$I$13)</f>
        <v>0.0905147375111471</v>
      </c>
      <c r="BP157" s="518" t="n">
        <f aca="false">(BP68+BP84+BP87+BP94+BP97+BP76)*12/'Executive Summary'!$P$7*(BP24&lt;='Executive Summary'!$I$13)</f>
        <v>0</v>
      </c>
      <c r="BQ157" s="518" t="n">
        <f aca="false">(BQ68+BQ84+BQ87+BQ94+BQ97+BQ76)*12/'Executive Summary'!$P$7*(BQ24&lt;='Executive Summary'!$I$13)</f>
        <v>0</v>
      </c>
      <c r="BR157" s="518" t="n">
        <f aca="false">(BR68+BR84+BR87+BR94+BR97+BR76)*12/'Executive Summary'!$P$7*(BR24&lt;='Executive Summary'!$I$13)</f>
        <v>0</v>
      </c>
      <c r="BS157" s="518" t="n">
        <f aca="false">(BS68+BS84+BS87+BS94+BS97+BS76)*12/'Executive Summary'!$P$7*(BS24&lt;='Executive Summary'!$I$13)</f>
        <v>0</v>
      </c>
      <c r="BT157" s="518" t="n">
        <f aca="false">(BT68+BT84+BT87+BT94+BT97+BT76)*12/'Executive Summary'!$P$7*(BT24&lt;='Executive Summary'!$I$13)</f>
        <v>0</v>
      </c>
      <c r="BU157" s="518" t="n">
        <f aca="false">(BU68+BU84+BU87+BU94+BU97+BU76)*12/'Executive Summary'!$P$7*(BU24&lt;='Executive Summary'!$I$13)</f>
        <v>0</v>
      </c>
      <c r="BV157" s="518" t="n">
        <f aca="false">(BV68+BV84+BV87+BV94+BV97+BV76)*12/'Executive Summary'!$P$7*(BV24&lt;='Executive Summary'!$I$13)</f>
        <v>0</v>
      </c>
      <c r="BW157" s="518" t="n">
        <f aca="false">(BW68+BW84+BW87+BW94+BW97+BW76)*12/'Executive Summary'!$P$7*(BW24&lt;='Executive Summary'!$I$13)</f>
        <v>0</v>
      </c>
      <c r="BX157" s="518" t="n">
        <f aca="false">(BX68+BX84+BX87+BX94+BX97+BX76)*12/'Executive Summary'!$P$7*(BX24&lt;='Executive Summary'!$I$13)</f>
        <v>0</v>
      </c>
      <c r="BY157" s="518" t="n">
        <f aca="false">(BY68+BY84+BY87+BY94+BY97+BY76)*12/'Executive Summary'!$P$7*(BY24&lt;='Executive Summary'!$I$13)</f>
        <v>0</v>
      </c>
      <c r="BZ157" s="518" t="n">
        <f aca="false">(BZ68+BZ84+BZ87+BZ94+BZ97+BZ76)*12/'Executive Summary'!$P$7*(BZ24&lt;='Executive Summary'!$I$13)</f>
        <v>0</v>
      </c>
      <c r="CA157" s="518" t="n">
        <f aca="false">(CA68+CA84+CA87+CA94+CA97+CA76)*12/'Executive Summary'!$P$7*(CA24&lt;='Executive Summary'!$I$13)</f>
        <v>0</v>
      </c>
      <c r="CB157" s="518" t="n">
        <f aca="false">(CB68+CB84+CB87+CB94+CB97+CB76)*12/'Executive Summary'!$P$7*(CB24&lt;='Executive Summary'!$I$13)</f>
        <v>0</v>
      </c>
      <c r="CC157" s="518" t="n">
        <f aca="false">(CC68+CC84+CC87+CC94+CC97+CC76)*12/'Executive Summary'!$P$7*(CC24&lt;='Executive Summary'!$I$13)</f>
        <v>0</v>
      </c>
      <c r="CD157" s="518" t="n">
        <f aca="false">(CD68+CD84+CD87+CD94+CD97+CD76)*12/'Executive Summary'!$P$7*(CD24&lt;='Executive Summary'!$I$13)</f>
        <v>0</v>
      </c>
      <c r="CE157" s="518" t="n">
        <f aca="false">(CE68+CE84+CE87+CE94+CE97+CE76)*12/'Executive Summary'!$P$7*(CE24&lt;='Executive Summary'!$I$13)</f>
        <v>0</v>
      </c>
      <c r="CF157" s="518" t="n">
        <f aca="false">(CF68+CF84+CF87+CF94+CF97+CF76)*12/'Executive Summary'!$P$7*(CF24&lt;='Executive Summary'!$I$13)</f>
        <v>0</v>
      </c>
      <c r="CG157" s="518" t="n">
        <f aca="false">(CG68+CG84+CG87+CG94+CG97+CG76)*12/'Executive Summary'!$P$7*(CG24&lt;='Executive Summary'!$I$13)</f>
        <v>0</v>
      </c>
      <c r="CH157" s="518" t="n">
        <f aca="false">(CH68+CH84+CH87+CH94+CH97+CH76)*12/'Executive Summary'!$P$7*(CH24&lt;='Executive Summary'!$I$13)</f>
        <v>0</v>
      </c>
      <c r="CI157" s="518" t="n">
        <f aca="false">(CI68+CI84+CI87+CI94+CI97+CI76)*12/'Executive Summary'!$P$7*(CI24&lt;='Executive Summary'!$I$13)</f>
        <v>0</v>
      </c>
      <c r="CJ157" s="518" t="n">
        <f aca="false">(CJ68+CJ84+CJ87+CJ94+CJ97+CJ76)*12/'Executive Summary'!$P$7*(CJ24&lt;='Executive Summary'!$I$13)</f>
        <v>0</v>
      </c>
      <c r="CK157" s="518" t="n">
        <f aca="false">(CK68+CK84+CK87+CK94+CK97+CK76)*12/'Executive Summary'!$P$7*(CK24&lt;='Executive Summary'!$I$13)</f>
        <v>0</v>
      </c>
      <c r="CL157" s="518" t="n">
        <f aca="false">(CL68+CL84+CL87+CL94+CL97+CL76)*12/'Executive Summary'!$P$7*(CL24&lt;='Executive Summary'!$I$13)</f>
        <v>0</v>
      </c>
      <c r="CM157" s="518" t="n">
        <f aca="false">(CM68+CM84+CM87+CM94+CM97+CM76)*12/'Executive Summary'!$P$7*(CM24&lt;='Executive Summary'!$I$13)</f>
        <v>0</v>
      </c>
      <c r="CN157" s="518" t="n">
        <f aca="false">(CN68+CN84+CN87+CN94+CN97+CN76)*12/'Executive Summary'!$P$7*(CN24&lt;='Executive Summary'!$I$13)</f>
        <v>0</v>
      </c>
      <c r="CO157" s="518" t="n">
        <f aca="false">(CO68+CO84+CO87+CO94+CO97+CO76)*12/'Executive Summary'!$P$7*(CO24&lt;='Executive Summary'!$I$13)</f>
        <v>0</v>
      </c>
      <c r="CP157" s="518" t="n">
        <f aca="false">(CP68+CP84+CP87+CP94+CP97+CP76)*12/'Executive Summary'!$P$7*(CP24&lt;='Executive Summary'!$I$13)</f>
        <v>0</v>
      </c>
      <c r="CQ157" s="518" t="n">
        <f aca="false">(CQ68+CQ84+CQ87+CQ94+CQ97+CQ76)*12/'Executive Summary'!$P$7*(CQ24&lt;='Executive Summary'!$I$13)</f>
        <v>0</v>
      </c>
      <c r="CR157" s="518" t="n">
        <f aca="false">(CR68+CR84+CR87+CR94+CR97+CR76)*12/'Executive Summary'!$P$7*(CR24&lt;='Executive Summary'!$I$13)</f>
        <v>0</v>
      </c>
      <c r="CS157" s="518" t="n">
        <f aca="false">(CS68+CS84+CS87+CS94+CS97+CS76)*12/'Executive Summary'!$P$7*(CS24&lt;='Executive Summary'!$I$13)</f>
        <v>0</v>
      </c>
      <c r="CT157" s="518" t="n">
        <f aca="false">(CT68+CT84+CT87+CT94+CT97+CT76)*12/'Executive Summary'!$P$7*(CT24&lt;='Executive Summary'!$I$13)</f>
        <v>0</v>
      </c>
      <c r="CU157" s="518" t="n">
        <f aca="false">(CU68+CU84+CU87+CU94+CU97+CU76)*12/'Executive Summary'!$P$7*(CU24&lt;='Executive Summary'!$I$13)</f>
        <v>0</v>
      </c>
      <c r="CV157" s="518" t="n">
        <f aca="false">(CV68+CV84+CV87+CV94+CV97+CV76)*12/'Executive Summary'!$P$7*(CV24&lt;='Executive Summary'!$I$13)</f>
        <v>0</v>
      </c>
      <c r="CW157" s="518" t="n">
        <f aca="false">(CW68+CW84+CW87+CW94+CW97+CW76)*12/'Executive Summary'!$P$7*(CW24&lt;='Executive Summary'!$I$13)</f>
        <v>0</v>
      </c>
      <c r="CX157" s="518" t="n">
        <f aca="false">(CX68+CX84+CX87+CX94+CX97+CX76)*12/'Executive Summary'!$P$7*(CX24&lt;='Executive Summary'!$I$13)</f>
        <v>0</v>
      </c>
      <c r="CY157" s="518" t="n">
        <f aca="false">(CY68+CY84+CY87+CY94+CY97+CY76)*12/'Executive Summary'!$P$7*(CY24&lt;='Executive Summary'!$I$13)</f>
        <v>0</v>
      </c>
      <c r="CZ157" s="518" t="n">
        <f aca="false">(CZ68+CZ84+CZ87+CZ94+CZ97+CZ76)*12/'Executive Summary'!$P$7*(CZ24&lt;='Executive Summary'!$I$13)</f>
        <v>0</v>
      </c>
      <c r="DA157" s="518" t="n">
        <f aca="false">(DA68+DA84+DA87+DA94+DA97+DA76)*12/'Executive Summary'!$P$7*(DA24&lt;='Executive Summary'!$I$13)</f>
        <v>0</v>
      </c>
      <c r="DB157" s="518" t="n">
        <f aca="false">(DB68+DB84+DB87+DB94+DB97+DB76)*12/'Executive Summary'!$P$7*(DB24&lt;='Executive Summary'!$I$13)</f>
        <v>0</v>
      </c>
      <c r="DC157" s="518" t="n">
        <f aca="false">(DC68+DC84+DC87+DC94+DC97+DC76)*12/'Executive Summary'!$P$7*(DC24&lt;='Executive Summary'!$I$13)</f>
        <v>0</v>
      </c>
      <c r="DD157" s="518" t="n">
        <f aca="false">(DD68+DD84+DD87+DD94+DD97+DD76)*12/'Executive Summary'!$P$7*(DD24&lt;='Executive Summary'!$I$13)</f>
        <v>0</v>
      </c>
      <c r="DE157" s="518" t="n">
        <f aca="false">(DE68+DE84+DE87+DE94+DE97+DE76)*12/'Executive Summary'!$P$7*(DE24&lt;='Executive Summary'!$I$13)</f>
        <v>0</v>
      </c>
      <c r="DF157" s="518" t="n">
        <f aca="false">(DF68+DF84+DF87+DF94+DF97+DF76)*12/'Executive Summary'!$P$7*(DF24&lt;='Executive Summary'!$I$13)</f>
        <v>0</v>
      </c>
      <c r="DG157" s="518" t="n">
        <f aca="false">(DG68+DG84+DG87+DG94+DG97+DG76)*12/'Executive Summary'!$P$7*(DG24&lt;='Executive Summary'!$I$13)</f>
        <v>0</v>
      </c>
      <c r="DH157" s="518" t="n">
        <f aca="false">(DH68+DH84+DH87+DH94+DH97+DH76)*12/'Executive Summary'!$P$7*(DH24&lt;='Executive Summary'!$I$13)</f>
        <v>0</v>
      </c>
      <c r="DI157" s="518" t="n">
        <f aca="false">(DI68+DI84+DI87+DI94+DI97+DI76)*12/'Executive Summary'!$P$7*(DI24&lt;='Executive Summary'!$I$13)</f>
        <v>0</v>
      </c>
      <c r="DJ157" s="518" t="n">
        <f aca="false">(DJ68+DJ84+DJ87+DJ94+DJ97+DJ76)*12/'Executive Summary'!$P$7*(DJ24&lt;='Executive Summary'!$I$13)</f>
        <v>0</v>
      </c>
      <c r="DK157" s="518" t="n">
        <f aca="false">(DK68+DK84+DK87+DK94+DK97+DK76)*12/'Executive Summary'!$P$7*(DK24&lt;='Executive Summary'!$I$13)</f>
        <v>0</v>
      </c>
      <c r="DL157" s="518" t="n">
        <f aca="false">(DL68+DL84+DL87+DL94+DL97+DL76)*12/'Executive Summary'!$P$7*(DL24&lt;='Executive Summary'!$I$13)</f>
        <v>0</v>
      </c>
      <c r="DM157" s="518" t="n">
        <f aca="false">(DM68+DM84+DM87+DM94+DM97+DM76)*12/'Executive Summary'!$P$7*(DM24&lt;='Executive Summary'!$I$13)</f>
        <v>0</v>
      </c>
      <c r="DN157" s="518" t="n">
        <f aca="false">(DN68+DN84+DN87+DN94+DN97+DN76)*12/'Executive Summary'!$P$7*(DN24&lt;='Executive Summary'!$I$13)</f>
        <v>0</v>
      </c>
      <c r="DO157" s="518" t="n">
        <f aca="false">(DO68+DO84+DO87+DO94+DO97+DO76)*12/'Executive Summary'!$P$7*(DO24&lt;='Executive Summary'!$I$13)</f>
        <v>0</v>
      </c>
      <c r="DP157" s="518" t="n">
        <f aca="false">(DP68+DP84+DP87+DP94+DP97+DP76)*12/'Executive Summary'!$P$7*(DP24&lt;='Executive Summary'!$I$13)</f>
        <v>0</v>
      </c>
      <c r="DQ157" s="518" t="n">
        <f aca="false">(DQ68+DQ84+DQ87+DQ94+DQ97+DQ76)*12/'Executive Summary'!$P$7*(DQ24&lt;='Executive Summary'!$I$13)</f>
        <v>0</v>
      </c>
      <c r="DR157" s="518" t="n">
        <f aca="false">(DR68+DR84+DR87+DR94+DR97+DR76)*12/'Executive Summary'!$P$7*(DR24&lt;='Executive Summary'!$I$13)</f>
        <v>0</v>
      </c>
      <c r="DS157" s="518" t="n">
        <f aca="false">(DS68+DS84+DS87+DS94+DS97+DS76)*12/'Executive Summary'!$P$7*(DS24&lt;='Executive Summary'!$I$13)</f>
        <v>0</v>
      </c>
      <c r="DT157" s="518" t="n">
        <f aca="false">(DT68+DT84+DT87+DT94+DT97+DT76)*12/'Executive Summary'!$P$7*(DT24&lt;='Executive Summary'!$I$13)</f>
        <v>0</v>
      </c>
      <c r="DU157" s="518" t="n">
        <f aca="false">(DU68+DU84+DU87+DU94+DU97+DU76)*12/'Executive Summary'!$P$7*(DU24&lt;='Executive Summary'!$I$13)</f>
        <v>0</v>
      </c>
      <c r="DV157" s="518" t="n">
        <f aca="false">(DV68+DV84+DV87+DV94+DV97+DV76)*12/'Executive Summary'!$P$7*(DV24&lt;='Executive Summary'!$I$13)</f>
        <v>0</v>
      </c>
      <c r="DW157" s="518" t="n">
        <f aca="false">(DW68+DW84+DW87+DW94+DW97+DW76)*12/'Executive Summary'!$P$7*(DW24&lt;='Executive Summary'!$I$13)</f>
        <v>0</v>
      </c>
      <c r="DX157" s="518" t="n">
        <f aca="false">(DX68+DX84+DX87+DX94+DX97+DX76)*12/'Executive Summary'!$P$7*(DX24&lt;='Executive Summary'!$I$13)</f>
        <v>0</v>
      </c>
      <c r="DY157" s="518" t="n">
        <f aca="false">(DY68+DY84+DY87+DY94+DY97+DY76)*12/'Executive Summary'!$P$7*(DY24&lt;='Executive Summary'!$I$13)</f>
        <v>0</v>
      </c>
      <c r="DZ157" s="518" t="n">
        <f aca="false">(DZ68+DZ84+DZ87+DZ94+DZ97+DZ76)*12/'Executive Summary'!$P$7*(DZ24&lt;='Executive Summary'!$I$13)</f>
        <v>0</v>
      </c>
      <c r="EA157" s="518" t="n">
        <f aca="false">(EA68+EA84+EA87+EA94+EA97+EA76)*12/'Executive Summary'!$P$7*(EA24&lt;='Executive Summary'!$I$13)</f>
        <v>0</v>
      </c>
      <c r="EB157" s="518" t="n">
        <f aca="false">(EB68+EB84+EB87+EB94+EB97+EB76)*12/'Executive Summary'!$P$7*(EB24&lt;='Executive Summary'!$I$13)</f>
        <v>0</v>
      </c>
      <c r="EC157" s="518" t="n">
        <f aca="false">(EC68+EC84+EC87+EC94+EC97+EC76)*12/'Executive Summary'!$P$7*(EC24&lt;='Executive Summary'!$I$13)</f>
        <v>0</v>
      </c>
      <c r="ED157" s="518" t="n">
        <f aca="false">(ED68+ED84+ED87+ED94+ED97+ED76)*12/'Executive Summary'!$P$7*(ED24&lt;='Executive Summary'!$I$13)</f>
        <v>0</v>
      </c>
      <c r="EE157" s="518" t="n">
        <f aca="false">(EE68+EE84+EE87+EE94+EE97+EE76)*12/'Executive Summary'!$P$7*(EE24&lt;='Executive Summary'!$I$13)</f>
        <v>0</v>
      </c>
      <c r="EF157" s="518" t="n">
        <f aca="false">(EF68+EF84+EF87+EF94+EF97+EF76)*12/'Executive Summary'!$P$7*(EF24&lt;='Executive Summary'!$I$13)</f>
        <v>0</v>
      </c>
      <c r="EG157" s="518" t="n">
        <f aca="false">(EG68+EG84+EG87+EG94+EG97+EG76)*12/'Executive Summary'!$P$7*(EG24&lt;='Executive Summary'!$I$13)</f>
        <v>0</v>
      </c>
      <c r="EH157" s="518" t="n">
        <f aca="false">(EH68+EH84+EH87+EH94+EH97+EH76)*12/'Executive Summary'!$P$7*(EH24&lt;='Executive Summary'!$I$13)</f>
        <v>0</v>
      </c>
      <c r="EI157" s="640" t="n">
        <f aca="false">(EI68+EI84+EI87+EI94+EI97+EI76)*12/'Executive Summary'!$P$7*(EI24&lt;='Executive Summary'!$I$13)</f>
        <v>0</v>
      </c>
      <c r="EK157" s="638" t="n">
        <f aca="false">(EK68+EK84+EK87+EK94+EK97+EK76)/'Executive Summary'!$P$7*(EK24&lt;='Executive Summary'!$I$13)</f>
        <v>0.0839416195586533</v>
      </c>
      <c r="EL157" s="518" t="n">
        <f aca="false">(EL68+EL84+EL87+EL94+EL97+EL76)/'Executive Summary'!$P$7*(EL24&lt;='Executive Summary'!$I$13)</f>
        <v>0.100143281798416</v>
      </c>
      <c r="EM157" s="518" t="n">
        <f aca="false">(EM68+EM84+EM87+EM94+EM97+EM76)/'Executive Summary'!$P$7*(EM24&lt;='Executive Summary'!$I$13)</f>
        <v>0.111576928821636</v>
      </c>
      <c r="EN157" s="518" t="n">
        <f aca="false">(EN68+EN84+EN87+EN94+EN97+EN76)/'Executive Summary'!$P$7*(EN24&lt;='Executive Summary'!$I$13)</f>
        <v>0.0778551279376525</v>
      </c>
      <c r="EO157" s="518" t="n">
        <f aca="false">(EO68+EO84+EO87+EO94+EO97+EO76)/'Executive Summary'!$P$7*(EO24&lt;='Executive Summary'!$I$13)</f>
        <v>0.086381875599232</v>
      </c>
      <c r="EP157" s="518" t="n">
        <f aca="false">(EP68+EP84+EP87+EP94+EP97+EP76)/'Executive Summary'!$P$7*(EP24&lt;='Executive Summary'!$I$13)</f>
        <v>0</v>
      </c>
      <c r="EQ157" s="518" t="n">
        <f aca="false">(EQ68+EQ84+EQ87+EQ94+EQ97+EQ76)/'Executive Summary'!$P$7*(EQ24&lt;='Executive Summary'!$I$13)</f>
        <v>0</v>
      </c>
      <c r="ER157" s="518" t="n">
        <f aca="false">(ER68+ER84+ER87+ER94+ER97+ER76)/'Executive Summary'!$P$7*(ER24&lt;='Executive Summary'!$I$13)</f>
        <v>0</v>
      </c>
      <c r="ES157" s="518" t="n">
        <f aca="false">(ES68+ES84+ES87+ES94+ES97+ES76)/'Executive Summary'!$P$7*(ES24&lt;='Executive Summary'!$I$13)</f>
        <v>0</v>
      </c>
      <c r="ET157" s="640" t="n">
        <f aca="false">(ET68+ET84+ET87+ET94+ET97+ET76)/'Executive Summary'!$P$7*(ET24&lt;='Executive Summary'!$I$13)</f>
        <v>0</v>
      </c>
    </row>
    <row r="158" customFormat="false" ht="13.5" hidden="false" customHeight="true" outlineLevel="0" collapsed="false">
      <c r="B158" s="60"/>
      <c r="C158" s="17"/>
      <c r="D158" s="17"/>
      <c r="E158" s="19"/>
      <c r="F158" s="17"/>
      <c r="G158" s="1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9"/>
      <c r="EK158" s="16"/>
      <c r="EL158" s="17"/>
      <c r="EM158" s="17"/>
      <c r="EN158" s="17"/>
      <c r="EO158" s="17"/>
      <c r="EP158" s="17"/>
      <c r="EQ158" s="17"/>
      <c r="ER158" s="17"/>
      <c r="ES158" s="17"/>
      <c r="ET158" s="19"/>
    </row>
    <row r="159" s="550" customFormat="true" ht="13.5" hidden="false" customHeight="true" outlineLevel="0" collapsed="false">
      <c r="B159" s="543" t="s">
        <v>623</v>
      </c>
      <c r="C159" s="552"/>
      <c r="D159" s="473"/>
      <c r="E159" s="553" t="n">
        <f aca="true">SUM(OFFSET(G159,0,0,1,'Executive Summary'!$I$13+1))</f>
        <v>3891057.31614114</v>
      </c>
      <c r="F159" s="473"/>
      <c r="G159" s="543" t="n">
        <f aca="false">-D123</f>
        <v>-7282179</v>
      </c>
      <c r="H159" s="473" t="n">
        <f aca="false">SUM(H119:H122)</f>
        <v>33566.9675677262</v>
      </c>
      <c r="I159" s="473" t="n">
        <f aca="false">SUM(I119:I122)</f>
        <v>33881.3324795458</v>
      </c>
      <c r="J159" s="473" t="n">
        <f aca="false">SUM(J119:J122)</f>
        <v>34293.6189069643</v>
      </c>
      <c r="K159" s="473" t="n">
        <f aca="false">SUM(K119:K122)</f>
        <v>34612.5307386409</v>
      </c>
      <c r="L159" s="473" t="n">
        <f aca="false">SUM(L119:L122)</f>
        <v>35030.2636871266</v>
      </c>
      <c r="M159" s="473" t="n">
        <f aca="false">SUM(M119:M122)</f>
        <v>35354.5194852039</v>
      </c>
      <c r="N159" s="473" t="n">
        <f aca="false">SUM(N119:N122)</f>
        <v>35777.7046814451</v>
      </c>
      <c r="O159" s="473" t="n">
        <f aca="false">SUM(O119:O122)</f>
        <v>36107.3100597005</v>
      </c>
      <c r="P159" s="473" t="n">
        <f aca="false">SUM(P119:P122)</f>
        <v>36535.9532358474</v>
      </c>
      <c r="Q159" s="473" t="n">
        <f aca="false">SUM(Q119:Q122)</f>
        <v>36870.9138133953</v>
      </c>
      <c r="R159" s="473" t="n">
        <f aca="false">SUM(R119:R122)</f>
        <v>37305.0207070635</v>
      </c>
      <c r="S159" s="473" t="n">
        <f aca="false">SUM(S119:S122)</f>
        <v>37645.3421083579</v>
      </c>
      <c r="T159" s="473" t="n">
        <f aca="false">SUM(T119:T122)</f>
        <v>37400.0370720445</v>
      </c>
      <c r="U159" s="473" t="n">
        <f aca="false">SUM(U119:U122)</f>
        <v>37586.9895832961</v>
      </c>
      <c r="V159" s="473" t="n">
        <f aca="false">SUM(V119:V122)</f>
        <v>37689.0102387643</v>
      </c>
      <c r="W159" s="473" t="n">
        <f aca="false">SUM(W119:W122)</f>
        <v>37898.2235958018</v>
      </c>
      <c r="X159" s="473" t="n">
        <f aca="false">SUM(X119:X122)</f>
        <v>38022.47104903</v>
      </c>
      <c r="Y159" s="473" t="n">
        <f aca="false">SUM(Y119:Y122)</f>
        <v>38254.0880723647</v>
      </c>
      <c r="Z159" s="473" t="n">
        <f aca="false">SUM(Z119:Z122)</f>
        <v>38400.7054237251</v>
      </c>
      <c r="AA159" s="473" t="n">
        <f aca="false">SUM(AA119:AA122)</f>
        <v>38654.8697258128</v>
      </c>
      <c r="AB159" s="473" t="n">
        <f aca="false">SUM(AB119:AB122)</f>
        <v>38824.0008696311</v>
      </c>
      <c r="AC159" s="473" t="n">
        <f aca="false">SUM(AC119:AC122)</f>
        <v>39100.8568591485</v>
      </c>
      <c r="AD159" s="473" t="n">
        <f aca="false">SUM(AD119:AD122)</f>
        <v>39292.6464879907</v>
      </c>
      <c r="AE159" s="473" t="n">
        <f aca="false">SUM(AE119:AE122)</f>
        <v>39592.3393741345</v>
      </c>
      <c r="AF159" s="473" t="n">
        <f aca="false">SUM(AF119:AF122)</f>
        <v>39670.076142706</v>
      </c>
      <c r="AG159" s="473" t="n">
        <f aca="false">SUM(AG119:AG122)</f>
        <v>39801.0003946463</v>
      </c>
      <c r="AH159" s="473" t="n">
        <f aca="false">SUM(AH119:AH122)</f>
        <v>39931.1835461155</v>
      </c>
      <c r="AI159" s="473" t="n">
        <f aca="false">SUM(AI119:AI122)</f>
        <v>40060.6208910402</v>
      </c>
      <c r="AJ159" s="473" t="n">
        <f aca="false">SUM(AJ119:AJ122)</f>
        <v>40189.3077039859</v>
      </c>
      <c r="AK159" s="473" t="n">
        <f aca="false">SUM(AK119:AK122)</f>
        <v>40317.2392400883</v>
      </c>
      <c r="AL159" s="473" t="n">
        <f aca="false">SUM(AL119:AL122)</f>
        <v>40444.4107349846</v>
      </c>
      <c r="AM159" s="473" t="n">
        <f aca="false">SUM(AM119:AM122)</f>
        <v>40570.8174047442</v>
      </c>
      <c r="AN159" s="473" t="n">
        <f aca="false">SUM(AN119:AN122)</f>
        <v>40696.4544457999</v>
      </c>
      <c r="AO159" s="473" t="n">
        <f aca="false">SUM(AO119:AO122)</f>
        <v>40827.9277788097</v>
      </c>
      <c r="AP159" s="473" t="n">
        <f aca="false">SUM(AP119:AP122)</f>
        <v>40945.4003289288</v>
      </c>
      <c r="AQ159" s="473" t="n">
        <f aca="false">SUM(AQ119:AQ122)</f>
        <v>41068.6994650564</v>
      </c>
      <c r="AR159" s="473" t="n">
        <f aca="false">SUM(AR119:AR122)</f>
        <v>41140.7592109464</v>
      </c>
      <c r="AS159" s="473" t="n">
        <f aca="false">SUM(AS119:AS122)</f>
        <v>41264.7271089206</v>
      </c>
      <c r="AT159" s="473" t="n">
        <f aca="false">SUM(AT119:AT122)</f>
        <v>41389.0306994113</v>
      </c>
      <c r="AU159" s="473" t="n">
        <f aca="false">SUM(AU119:AU122)</f>
        <v>41513.6708597988</v>
      </c>
      <c r="AV159" s="473" t="n">
        <f aca="false">SUM(AV119:AV122)</f>
        <v>41638.6484697087</v>
      </c>
      <c r="AW159" s="473" t="n">
        <f aca="false">SUM(AW119:AW122)</f>
        <v>41763.964411018</v>
      </c>
      <c r="AX159" s="473" t="n">
        <f aca="false">SUM(AX119:AX122)</f>
        <v>41889.6195678607</v>
      </c>
      <c r="AY159" s="473" t="n">
        <f aca="false">SUM(AY119:AY122)</f>
        <v>42015.6148266331</v>
      </c>
      <c r="AZ159" s="473" t="n">
        <f aca="false">SUM(AZ119:AZ122)</f>
        <v>42141.9510760002</v>
      </c>
      <c r="BA159" s="473" t="n">
        <f aca="false">SUM(BA119:BA122)</f>
        <v>42268.6292069009</v>
      </c>
      <c r="BB159" s="473" t="n">
        <f aca="false">SUM(BB119:BB122)</f>
        <v>42395.6501125539</v>
      </c>
      <c r="BC159" s="473" t="n">
        <f aca="false">SUM(BC119:BC122)</f>
        <v>42523.0146884636</v>
      </c>
      <c r="BD159" s="473" t="n">
        <f aca="false">SUM(BD119:BD122)</f>
        <v>42597.6032976765</v>
      </c>
      <c r="BE159" s="473" t="n">
        <f aca="false">SUM(BE119:BE122)</f>
        <v>42725.6579097835</v>
      </c>
      <c r="BF159" s="473" t="n">
        <f aca="false">SUM(BF119:BF122)</f>
        <v>42854.0588924315</v>
      </c>
      <c r="BG159" s="473" t="n">
        <f aca="false">SUM(BG119:BG122)</f>
        <v>42982.8071503247</v>
      </c>
      <c r="BH159" s="473" t="n">
        <f aca="false">SUM(BH119:BH122)</f>
        <v>43111.9035904823</v>
      </c>
      <c r="BI159" s="473" t="n">
        <f aca="false">SUM(BI119:BI122)</f>
        <v>43241.3491222438</v>
      </c>
      <c r="BJ159" s="473" t="n">
        <f aca="false">SUM(BJ119:BJ122)</f>
        <v>43371.1446572751</v>
      </c>
      <c r="BK159" s="473" t="n">
        <f aca="false">SUM(BK119:BK122)</f>
        <v>43501.291109574</v>
      </c>
      <c r="BL159" s="473" t="n">
        <f aca="false">SUM(BL119:BL122)</f>
        <v>43631.7893954767</v>
      </c>
      <c r="BM159" s="473" t="n">
        <f aca="false">SUM(BM119:BM122)</f>
        <v>43762.640433663</v>
      </c>
      <c r="BN159" s="473" t="n">
        <f aca="false">SUM(BN119:BN122)</f>
        <v>43893.8451451629</v>
      </c>
      <c r="BO159" s="473" t="n">
        <f aca="false">SUM(BO119:BO122)</f>
        <v>8823396.09129916</v>
      </c>
      <c r="BP159" s="473" t="n">
        <f aca="false">SUM(BP119:BP122)</f>
        <v>0</v>
      </c>
      <c r="BQ159" s="473" t="n">
        <f aca="false">SUM(BQ119:BQ122)</f>
        <v>0</v>
      </c>
      <c r="BR159" s="473" t="n">
        <f aca="false">SUM(BR119:BR122)</f>
        <v>0</v>
      </c>
      <c r="BS159" s="473" t="n">
        <f aca="false">SUM(BS119:BS122)</f>
        <v>0</v>
      </c>
      <c r="BT159" s="473" t="n">
        <f aca="false">SUM(BT119:BT122)</f>
        <v>0</v>
      </c>
      <c r="BU159" s="473" t="n">
        <f aca="false">SUM(BU119:BU122)</f>
        <v>0</v>
      </c>
      <c r="BV159" s="473" t="n">
        <f aca="false">SUM(BV119:BV122)</f>
        <v>0</v>
      </c>
      <c r="BW159" s="473" t="n">
        <f aca="false">SUM(BW119:BW122)</f>
        <v>0</v>
      </c>
      <c r="BX159" s="473" t="n">
        <f aca="false">SUM(BX119:BX122)</f>
        <v>0</v>
      </c>
      <c r="BY159" s="473" t="n">
        <f aca="false">SUM(BY119:BY122)</f>
        <v>0</v>
      </c>
      <c r="BZ159" s="473" t="n">
        <f aca="false">SUM(BZ119:BZ122)</f>
        <v>0</v>
      </c>
      <c r="CA159" s="473" t="n">
        <f aca="false">SUM(CA119:CA122)</f>
        <v>0</v>
      </c>
      <c r="CB159" s="473" t="n">
        <f aca="false">SUM(CB119:CB122)</f>
        <v>0</v>
      </c>
      <c r="CC159" s="473" t="n">
        <f aca="false">SUM(CC119:CC122)</f>
        <v>0</v>
      </c>
      <c r="CD159" s="473" t="n">
        <f aca="false">SUM(CD119:CD122)</f>
        <v>0</v>
      </c>
      <c r="CE159" s="473" t="n">
        <f aca="false">SUM(CE119:CE122)</f>
        <v>0</v>
      </c>
      <c r="CF159" s="473" t="n">
        <f aca="false">SUM(CF119:CF122)</f>
        <v>0</v>
      </c>
      <c r="CG159" s="473" t="n">
        <f aca="false">SUM(CG119:CG122)</f>
        <v>0</v>
      </c>
      <c r="CH159" s="473" t="n">
        <f aca="false">SUM(CH119:CH122)</f>
        <v>0</v>
      </c>
      <c r="CI159" s="473" t="n">
        <f aca="false">SUM(CI119:CI122)</f>
        <v>0</v>
      </c>
      <c r="CJ159" s="473" t="n">
        <f aca="false">SUM(CJ119:CJ122)</f>
        <v>0</v>
      </c>
      <c r="CK159" s="473" t="n">
        <f aca="false">SUM(CK119:CK122)</f>
        <v>0</v>
      </c>
      <c r="CL159" s="473" t="n">
        <f aca="false">SUM(CL119:CL122)</f>
        <v>0</v>
      </c>
      <c r="CM159" s="473" t="n">
        <f aca="false">SUM(CM119:CM122)</f>
        <v>0</v>
      </c>
      <c r="CN159" s="473" t="n">
        <f aca="false">SUM(CN119:CN122)</f>
        <v>0</v>
      </c>
      <c r="CO159" s="473" t="n">
        <f aca="false">SUM(CO119:CO122)</f>
        <v>0</v>
      </c>
      <c r="CP159" s="473" t="n">
        <f aca="false">SUM(CP119:CP122)</f>
        <v>0</v>
      </c>
      <c r="CQ159" s="473" t="n">
        <f aca="false">SUM(CQ119:CQ122)</f>
        <v>0</v>
      </c>
      <c r="CR159" s="473" t="n">
        <f aca="false">SUM(CR119:CR122)</f>
        <v>0</v>
      </c>
      <c r="CS159" s="473" t="n">
        <f aca="false">SUM(CS119:CS122)</f>
        <v>0</v>
      </c>
      <c r="CT159" s="473" t="n">
        <f aca="false">SUM(CT119:CT122)</f>
        <v>0</v>
      </c>
      <c r="CU159" s="473" t="n">
        <f aca="false">SUM(CU119:CU122)</f>
        <v>0</v>
      </c>
      <c r="CV159" s="473" t="n">
        <f aca="false">SUM(CV119:CV122)</f>
        <v>0</v>
      </c>
      <c r="CW159" s="473" t="n">
        <f aca="false">SUM(CW119:CW122)</f>
        <v>0</v>
      </c>
      <c r="CX159" s="473" t="n">
        <f aca="false">SUM(CX119:CX122)</f>
        <v>0</v>
      </c>
      <c r="CY159" s="473" t="n">
        <f aca="false">SUM(CY119:CY122)</f>
        <v>0</v>
      </c>
      <c r="CZ159" s="473" t="n">
        <f aca="false">SUM(CZ119:CZ122)</f>
        <v>0</v>
      </c>
      <c r="DA159" s="473" t="n">
        <f aca="false">SUM(DA119:DA122)</f>
        <v>0</v>
      </c>
      <c r="DB159" s="473" t="n">
        <f aca="false">SUM(DB119:DB122)</f>
        <v>0</v>
      </c>
      <c r="DC159" s="473" t="n">
        <f aca="false">SUM(DC119:DC122)</f>
        <v>0</v>
      </c>
      <c r="DD159" s="473" t="n">
        <f aca="false">SUM(DD119:DD122)</f>
        <v>0</v>
      </c>
      <c r="DE159" s="473" t="n">
        <f aca="false">SUM(DE119:DE122)</f>
        <v>0</v>
      </c>
      <c r="DF159" s="473" t="n">
        <f aca="false">SUM(DF119:DF122)</f>
        <v>0</v>
      </c>
      <c r="DG159" s="473" t="n">
        <f aca="false">SUM(DG119:DG122)</f>
        <v>0</v>
      </c>
      <c r="DH159" s="473" t="n">
        <f aca="false">SUM(DH119:DH122)</f>
        <v>0</v>
      </c>
      <c r="DI159" s="473" t="n">
        <f aca="false">SUM(DI119:DI122)</f>
        <v>0</v>
      </c>
      <c r="DJ159" s="473" t="n">
        <f aca="false">SUM(DJ119:DJ122)</f>
        <v>0</v>
      </c>
      <c r="DK159" s="473" t="n">
        <f aca="false">SUM(DK119:DK122)</f>
        <v>0</v>
      </c>
      <c r="DL159" s="473" t="n">
        <f aca="false">SUM(DL119:DL122)</f>
        <v>0</v>
      </c>
      <c r="DM159" s="473" t="n">
        <f aca="false">SUM(DM119:DM122)</f>
        <v>0</v>
      </c>
      <c r="DN159" s="473" t="n">
        <f aca="false">SUM(DN119:DN122)</f>
        <v>0</v>
      </c>
      <c r="DO159" s="473" t="n">
        <f aca="false">SUM(DO119:DO122)</f>
        <v>0</v>
      </c>
      <c r="DP159" s="473" t="n">
        <f aca="false">SUM(DP119:DP122)</f>
        <v>0</v>
      </c>
      <c r="DQ159" s="473" t="n">
        <f aca="false">SUM(DQ119:DQ122)</f>
        <v>0</v>
      </c>
      <c r="DR159" s="473" t="n">
        <f aca="false">SUM(DR119:DR122)</f>
        <v>0</v>
      </c>
      <c r="DS159" s="473" t="n">
        <f aca="false">SUM(DS119:DS122)</f>
        <v>0</v>
      </c>
      <c r="DT159" s="473" t="n">
        <f aca="false">SUM(DT119:DT122)</f>
        <v>0</v>
      </c>
      <c r="DU159" s="473" t="n">
        <f aca="false">SUM(DU119:DU122)</f>
        <v>0</v>
      </c>
      <c r="DV159" s="473" t="n">
        <f aca="false">SUM(DV119:DV122)</f>
        <v>0</v>
      </c>
      <c r="DW159" s="473" t="n">
        <f aca="false">SUM(DW119:DW122)</f>
        <v>0</v>
      </c>
      <c r="DX159" s="473" t="n">
        <f aca="false">SUM(DX119:DX122)</f>
        <v>0</v>
      </c>
      <c r="DY159" s="473" t="n">
        <f aca="false">SUM(DY119:DY122)</f>
        <v>0</v>
      </c>
      <c r="DZ159" s="473" t="n">
        <f aca="false">SUM(DZ119:DZ122)</f>
        <v>0</v>
      </c>
      <c r="EA159" s="473" t="n">
        <f aca="false">SUM(EA119:EA122)</f>
        <v>0</v>
      </c>
      <c r="EB159" s="473" t="n">
        <f aca="false">SUM(EB119:EB122)</f>
        <v>0</v>
      </c>
      <c r="EC159" s="473" t="n">
        <f aca="false">SUM(EC119:EC122)</f>
        <v>0</v>
      </c>
      <c r="ED159" s="473" t="n">
        <f aca="false">SUM(ED119:ED122)</f>
        <v>0</v>
      </c>
      <c r="EE159" s="473" t="n">
        <f aca="false">SUM(EE119:EE122)</f>
        <v>0</v>
      </c>
      <c r="EF159" s="473" t="n">
        <f aca="false">SUM(EF119:EF122)</f>
        <v>0</v>
      </c>
      <c r="EG159" s="473" t="n">
        <f aca="false">SUM(EG119:EG122)</f>
        <v>0</v>
      </c>
      <c r="EH159" s="473" t="n">
        <f aca="false">SUM(EH119:EH122)</f>
        <v>0</v>
      </c>
      <c r="EI159" s="553" t="n">
        <f aca="false">SUM(EI119:EI122)</f>
        <v>0</v>
      </c>
      <c r="EK159" s="543" t="n">
        <f aca="true">SUM(OFFSET($G159,0,EK$24*12-11,1,12))</f>
        <v>426981.477471017</v>
      </c>
      <c r="EL159" s="473" t="n">
        <f aca="true">SUM(OFFSET($G159,0,EL$24*12-11,1,12))</f>
        <v>460716.238351744</v>
      </c>
      <c r="EM159" s="473" t="n">
        <f aca="true">SUM(OFFSET($G159,0,EM$24*12-11,1,12))</f>
        <v>484523.138076906</v>
      </c>
      <c r="EN159" s="473" t="n">
        <f aca="true">SUM(OFFSET($G159,0,EN$24*12-11,1,12))</f>
        <v>501945.280238216</v>
      </c>
      <c r="EO159" s="473" t="n">
        <f aca="true">SUM(OFFSET($G159,0,EO$24*12-11,1,12))</f>
        <v>9299070.18200326</v>
      </c>
      <c r="EP159" s="473" t="n">
        <f aca="true">SUM(OFFSET($G159,0,EP$24*12-11,1,12))</f>
        <v>0</v>
      </c>
      <c r="EQ159" s="473" t="n">
        <f aca="true">SUM(OFFSET($G159,0,EQ$24*12-11,1,12))</f>
        <v>0</v>
      </c>
      <c r="ER159" s="473" t="n">
        <f aca="true">SUM(OFFSET($G159,0,ER$24*12-11,1,12))</f>
        <v>0</v>
      </c>
      <c r="ES159" s="473" t="n">
        <f aca="true">SUM(OFFSET($G159,0,ES$24*12-11,1,12))</f>
        <v>0</v>
      </c>
      <c r="ET159" s="553" t="n">
        <f aca="true">SUM(OFFSET($G159,0,ET$24*12-11,1,12))</f>
        <v>0</v>
      </c>
    </row>
    <row r="160" s="576" customFormat="true" ht="13.5" hidden="false" customHeight="true" outlineLevel="0" collapsed="false">
      <c r="B160" s="641" t="s">
        <v>620</v>
      </c>
      <c r="C160" s="642"/>
      <c r="D160" s="643"/>
      <c r="E160" s="644" t="n">
        <f aca="false">MIN(G160:EI160)</f>
        <v>-7282179</v>
      </c>
      <c r="F160" s="512"/>
      <c r="G160" s="641" t="n">
        <f aca="false">G159</f>
        <v>-7282179</v>
      </c>
      <c r="H160" s="643" t="n">
        <f aca="false">G160+H159</f>
        <v>-7248612.03243227</v>
      </c>
      <c r="I160" s="643" t="n">
        <f aca="false">H160+I159</f>
        <v>-7214730.69995273</v>
      </c>
      <c r="J160" s="643" t="n">
        <f aca="false">I160+J159</f>
        <v>-7180437.08104576</v>
      </c>
      <c r="K160" s="643" t="n">
        <f aca="false">J160+K159</f>
        <v>-7145824.55030712</v>
      </c>
      <c r="L160" s="643" t="n">
        <f aca="false">K160+L159</f>
        <v>-7110794.28662</v>
      </c>
      <c r="M160" s="643" t="n">
        <f aca="false">L160+M159</f>
        <v>-7075439.76713479</v>
      </c>
      <c r="N160" s="643" t="n">
        <f aca="false">M160+N159</f>
        <v>-7039662.06245335</v>
      </c>
      <c r="O160" s="643" t="n">
        <f aca="false">N160+O159</f>
        <v>-7003554.75239365</v>
      </c>
      <c r="P160" s="643" t="n">
        <f aca="false">O160+P159</f>
        <v>-6967018.7991578</v>
      </c>
      <c r="Q160" s="643" t="n">
        <f aca="false">P160+Q159</f>
        <v>-6930147.88534441</v>
      </c>
      <c r="R160" s="643" t="n">
        <f aca="false">Q160+R159</f>
        <v>-6892842.86463734</v>
      </c>
      <c r="S160" s="643" t="n">
        <f aca="false">R160+S159</f>
        <v>-6855197.52252898</v>
      </c>
      <c r="T160" s="643" t="n">
        <f aca="false">S160+T159</f>
        <v>-6817797.48545694</v>
      </c>
      <c r="U160" s="643" t="n">
        <f aca="false">T160+U159</f>
        <v>-6780210.49587364</v>
      </c>
      <c r="V160" s="643" t="n">
        <f aca="false">U160+V159</f>
        <v>-6742521.48563488</v>
      </c>
      <c r="W160" s="643" t="n">
        <f aca="false">V160+W159</f>
        <v>-6704623.26203908</v>
      </c>
      <c r="X160" s="643" t="n">
        <f aca="false">W160+X159</f>
        <v>-6666600.79099005</v>
      </c>
      <c r="Y160" s="643" t="n">
        <f aca="false">X160+Y159</f>
        <v>-6628346.70291768</v>
      </c>
      <c r="Z160" s="643" t="n">
        <f aca="false">Y160+Z159</f>
        <v>-6589945.99749396</v>
      </c>
      <c r="AA160" s="643" t="n">
        <f aca="false">Z160+AA159</f>
        <v>-6551291.12776815</v>
      </c>
      <c r="AB160" s="643" t="n">
        <f aca="false">AA160+AB159</f>
        <v>-6512467.12689851</v>
      </c>
      <c r="AC160" s="643" t="n">
        <f aca="false">AB160+AC159</f>
        <v>-6473366.27003937</v>
      </c>
      <c r="AD160" s="643" t="n">
        <f aca="false">AC160+AD159</f>
        <v>-6434073.62355138</v>
      </c>
      <c r="AE160" s="643" t="n">
        <f aca="false">AD160+AE159</f>
        <v>-6394481.28417724</v>
      </c>
      <c r="AF160" s="643" t="n">
        <f aca="false">AE160+AF159</f>
        <v>-6354811.20803454</v>
      </c>
      <c r="AG160" s="643" t="n">
        <f aca="false">AF160+AG159</f>
        <v>-6315010.20763989</v>
      </c>
      <c r="AH160" s="643" t="n">
        <f aca="false">AG160+AH159</f>
        <v>-6275079.02409377</v>
      </c>
      <c r="AI160" s="643" t="n">
        <f aca="false">AH160+AI159</f>
        <v>-6235018.40320273</v>
      </c>
      <c r="AJ160" s="643" t="n">
        <f aca="false">AI160+AJ159</f>
        <v>-6194829.09549875</v>
      </c>
      <c r="AK160" s="643" t="n">
        <f aca="false">AJ160+AK159</f>
        <v>-6154511.85625866</v>
      </c>
      <c r="AL160" s="643" t="n">
        <f aca="false">AK160+AL159</f>
        <v>-6114067.44552367</v>
      </c>
      <c r="AM160" s="643" t="n">
        <f aca="false">AL160+AM159</f>
        <v>-6073496.62811893</v>
      </c>
      <c r="AN160" s="643" t="n">
        <f aca="false">AM160+AN159</f>
        <v>-6032800.17367313</v>
      </c>
      <c r="AO160" s="643" t="n">
        <f aca="false">AN160+AO159</f>
        <v>-5991972.24589432</v>
      </c>
      <c r="AP160" s="643" t="n">
        <f aca="false">AO160+AP159</f>
        <v>-5951026.84556539</v>
      </c>
      <c r="AQ160" s="643" t="n">
        <f aca="false">AP160+AQ159</f>
        <v>-5909958.14610034</v>
      </c>
      <c r="AR160" s="643" t="n">
        <f aca="false">AQ160+AR159</f>
        <v>-5868817.38688939</v>
      </c>
      <c r="AS160" s="643" t="n">
        <f aca="false">AR160+AS159</f>
        <v>-5827552.65978047</v>
      </c>
      <c r="AT160" s="643" t="n">
        <f aca="false">AS160+AT159</f>
        <v>-5786163.62908106</v>
      </c>
      <c r="AU160" s="643" t="n">
        <f aca="false">AT160+AU159</f>
        <v>-5744649.95822126</v>
      </c>
      <c r="AV160" s="643" t="n">
        <f aca="false">AU160+AV159</f>
        <v>-5703011.30975155</v>
      </c>
      <c r="AW160" s="643" t="n">
        <f aca="false">AV160+AW159</f>
        <v>-5661247.34534053</v>
      </c>
      <c r="AX160" s="643" t="n">
        <f aca="false">AW160+AX159</f>
        <v>-5619357.72577267</v>
      </c>
      <c r="AY160" s="643" t="n">
        <f aca="false">AX160+AY159</f>
        <v>-5577342.11094604</v>
      </c>
      <c r="AZ160" s="643" t="n">
        <f aca="false">AY160+AZ159</f>
        <v>-5535200.15987004</v>
      </c>
      <c r="BA160" s="643" t="n">
        <f aca="false">AZ160+BA159</f>
        <v>-5492931.53066314</v>
      </c>
      <c r="BB160" s="643" t="n">
        <f aca="false">BA160+BB159</f>
        <v>-5450535.88055058</v>
      </c>
      <c r="BC160" s="643" t="n">
        <f aca="false">BB160+BC159</f>
        <v>-5408012.86586212</v>
      </c>
      <c r="BD160" s="643" t="n">
        <f aca="false">BC160+BD159</f>
        <v>-5365415.26256444</v>
      </c>
      <c r="BE160" s="643" t="n">
        <f aca="false">BD160+BE159</f>
        <v>-5322689.60465466</v>
      </c>
      <c r="BF160" s="643" t="n">
        <f aca="false">BE160+BF159</f>
        <v>-5279835.54576223</v>
      </c>
      <c r="BG160" s="643" t="n">
        <f aca="false">BF160+BG159</f>
        <v>-5236852.7386119</v>
      </c>
      <c r="BH160" s="643" t="n">
        <f aca="false">BG160+BH159</f>
        <v>-5193740.83502142</v>
      </c>
      <c r="BI160" s="643" t="n">
        <f aca="false">BH160+BI159</f>
        <v>-5150499.48589918</v>
      </c>
      <c r="BJ160" s="643" t="n">
        <f aca="false">BI160+BJ159</f>
        <v>-5107128.3412419</v>
      </c>
      <c r="BK160" s="643" t="n">
        <f aca="false">BJ160+BK159</f>
        <v>-5063627.05013233</v>
      </c>
      <c r="BL160" s="643" t="n">
        <f aca="false">BK160+BL159</f>
        <v>-5019995.26073685</v>
      </c>
      <c r="BM160" s="643" t="n">
        <f aca="false">BL160+BM159</f>
        <v>-4976232.62030319</v>
      </c>
      <c r="BN160" s="643" t="n">
        <f aca="false">BM160+BN159</f>
        <v>-4932338.77515802</v>
      </c>
      <c r="BO160" s="643" t="n">
        <f aca="false">BN160+BO159</f>
        <v>3891057.31614114</v>
      </c>
      <c r="BP160" s="643" t="n">
        <f aca="false">BO160+BP159</f>
        <v>3891057.31614114</v>
      </c>
      <c r="BQ160" s="643" t="n">
        <f aca="false">BP160+BQ159</f>
        <v>3891057.31614114</v>
      </c>
      <c r="BR160" s="643" t="n">
        <f aca="false">BQ160+BR159</f>
        <v>3891057.31614114</v>
      </c>
      <c r="BS160" s="643" t="n">
        <f aca="false">BR160+BS159</f>
        <v>3891057.31614114</v>
      </c>
      <c r="BT160" s="643" t="n">
        <f aca="false">BS160+BT159</f>
        <v>3891057.31614114</v>
      </c>
      <c r="BU160" s="643" t="n">
        <f aca="false">BT160+BU159</f>
        <v>3891057.31614114</v>
      </c>
      <c r="BV160" s="643" t="n">
        <f aca="false">BU160+BV159</f>
        <v>3891057.31614114</v>
      </c>
      <c r="BW160" s="643" t="n">
        <f aca="false">BV160+BW159</f>
        <v>3891057.31614114</v>
      </c>
      <c r="BX160" s="643" t="n">
        <f aca="false">BW160+BX159</f>
        <v>3891057.31614114</v>
      </c>
      <c r="BY160" s="643" t="n">
        <f aca="false">BX160+BY159</f>
        <v>3891057.31614114</v>
      </c>
      <c r="BZ160" s="643" t="n">
        <f aca="false">BY160+BZ159</f>
        <v>3891057.31614114</v>
      </c>
      <c r="CA160" s="643" t="n">
        <f aca="false">BZ160+CA159</f>
        <v>3891057.31614114</v>
      </c>
      <c r="CB160" s="643" t="n">
        <f aca="false">CA160+CB159</f>
        <v>3891057.31614114</v>
      </c>
      <c r="CC160" s="643" t="n">
        <f aca="false">CB160+CC159</f>
        <v>3891057.31614114</v>
      </c>
      <c r="CD160" s="643" t="n">
        <f aca="false">CC160+CD159</f>
        <v>3891057.31614114</v>
      </c>
      <c r="CE160" s="643" t="n">
        <f aca="false">CD160+CE159</f>
        <v>3891057.31614114</v>
      </c>
      <c r="CF160" s="643" t="n">
        <f aca="false">CE160+CF159</f>
        <v>3891057.31614114</v>
      </c>
      <c r="CG160" s="643" t="n">
        <f aca="false">CF160+CG159</f>
        <v>3891057.31614114</v>
      </c>
      <c r="CH160" s="643" t="n">
        <f aca="false">CG160+CH159</f>
        <v>3891057.31614114</v>
      </c>
      <c r="CI160" s="643" t="n">
        <f aca="false">CH160+CI159</f>
        <v>3891057.31614114</v>
      </c>
      <c r="CJ160" s="643" t="n">
        <f aca="false">CI160+CJ159</f>
        <v>3891057.31614114</v>
      </c>
      <c r="CK160" s="643" t="n">
        <f aca="false">CJ160+CK159</f>
        <v>3891057.31614114</v>
      </c>
      <c r="CL160" s="643" t="n">
        <f aca="false">CK160+CL159</f>
        <v>3891057.31614114</v>
      </c>
      <c r="CM160" s="643" t="n">
        <f aca="false">CL160+CM159</f>
        <v>3891057.31614114</v>
      </c>
      <c r="CN160" s="643" t="n">
        <f aca="false">CM160+CN159</f>
        <v>3891057.31614114</v>
      </c>
      <c r="CO160" s="643" t="n">
        <f aca="false">CN160+CO159</f>
        <v>3891057.31614114</v>
      </c>
      <c r="CP160" s="643" t="n">
        <f aca="false">CO160+CP159</f>
        <v>3891057.31614114</v>
      </c>
      <c r="CQ160" s="643" t="n">
        <f aca="false">CP160+CQ159</f>
        <v>3891057.31614114</v>
      </c>
      <c r="CR160" s="643" t="n">
        <f aca="false">CQ160+CR159</f>
        <v>3891057.31614114</v>
      </c>
      <c r="CS160" s="643" t="n">
        <f aca="false">CR160+CS159</f>
        <v>3891057.31614114</v>
      </c>
      <c r="CT160" s="643" t="n">
        <f aca="false">CS160+CT159</f>
        <v>3891057.31614114</v>
      </c>
      <c r="CU160" s="643" t="n">
        <f aca="false">CT160+CU159</f>
        <v>3891057.31614114</v>
      </c>
      <c r="CV160" s="643" t="n">
        <f aca="false">CU160+CV159</f>
        <v>3891057.31614114</v>
      </c>
      <c r="CW160" s="643" t="n">
        <f aca="false">CV160+CW159</f>
        <v>3891057.31614114</v>
      </c>
      <c r="CX160" s="643" t="n">
        <f aca="false">CW160+CX159</f>
        <v>3891057.31614114</v>
      </c>
      <c r="CY160" s="643" t="n">
        <f aca="false">CX160+CY159</f>
        <v>3891057.31614114</v>
      </c>
      <c r="CZ160" s="643" t="n">
        <f aca="false">CY160+CZ159</f>
        <v>3891057.31614114</v>
      </c>
      <c r="DA160" s="643" t="n">
        <f aca="false">CZ160+DA159</f>
        <v>3891057.31614114</v>
      </c>
      <c r="DB160" s="643" t="n">
        <f aca="false">DA160+DB159</f>
        <v>3891057.31614114</v>
      </c>
      <c r="DC160" s="643" t="n">
        <f aca="false">DB160+DC159</f>
        <v>3891057.31614114</v>
      </c>
      <c r="DD160" s="643" t="n">
        <f aca="false">DC160+DD159</f>
        <v>3891057.31614114</v>
      </c>
      <c r="DE160" s="643" t="n">
        <f aca="false">DD160+DE159</f>
        <v>3891057.31614114</v>
      </c>
      <c r="DF160" s="643" t="n">
        <f aca="false">DE160+DF159</f>
        <v>3891057.31614114</v>
      </c>
      <c r="DG160" s="643" t="n">
        <f aca="false">DF160+DG159</f>
        <v>3891057.31614114</v>
      </c>
      <c r="DH160" s="643" t="n">
        <f aca="false">DG160+DH159</f>
        <v>3891057.31614114</v>
      </c>
      <c r="DI160" s="643" t="n">
        <f aca="false">DH160+DI159</f>
        <v>3891057.31614114</v>
      </c>
      <c r="DJ160" s="643" t="n">
        <f aca="false">DI160+DJ159</f>
        <v>3891057.31614114</v>
      </c>
      <c r="DK160" s="643" t="n">
        <f aca="false">DJ160+DK159</f>
        <v>3891057.31614114</v>
      </c>
      <c r="DL160" s="643" t="n">
        <f aca="false">DK160+DL159</f>
        <v>3891057.31614114</v>
      </c>
      <c r="DM160" s="643" t="n">
        <f aca="false">DL160+DM159</f>
        <v>3891057.31614114</v>
      </c>
      <c r="DN160" s="643" t="n">
        <f aca="false">DM160+DN159</f>
        <v>3891057.31614114</v>
      </c>
      <c r="DO160" s="643" t="n">
        <f aca="false">DN160+DO159</f>
        <v>3891057.31614114</v>
      </c>
      <c r="DP160" s="643" t="n">
        <f aca="false">DO160+DP159</f>
        <v>3891057.31614114</v>
      </c>
      <c r="DQ160" s="643" t="n">
        <f aca="false">DP160+DQ159</f>
        <v>3891057.31614114</v>
      </c>
      <c r="DR160" s="643" t="n">
        <f aca="false">DQ160+DR159</f>
        <v>3891057.31614114</v>
      </c>
      <c r="DS160" s="643" t="n">
        <f aca="false">DR160+DS159</f>
        <v>3891057.31614114</v>
      </c>
      <c r="DT160" s="643" t="n">
        <f aca="false">DS160+DT159</f>
        <v>3891057.31614114</v>
      </c>
      <c r="DU160" s="643" t="n">
        <f aca="false">DT160+DU159</f>
        <v>3891057.31614114</v>
      </c>
      <c r="DV160" s="643" t="n">
        <f aca="false">DU160+DV159</f>
        <v>3891057.31614114</v>
      </c>
      <c r="DW160" s="643" t="n">
        <f aca="false">DV160+DW159</f>
        <v>3891057.31614114</v>
      </c>
      <c r="DX160" s="643" t="n">
        <f aca="false">DW160+DX159</f>
        <v>3891057.31614114</v>
      </c>
      <c r="DY160" s="643" t="n">
        <f aca="false">DX160+DY159</f>
        <v>3891057.31614114</v>
      </c>
      <c r="DZ160" s="643" t="n">
        <f aca="false">DY160+DZ159</f>
        <v>3891057.31614114</v>
      </c>
      <c r="EA160" s="643" t="n">
        <f aca="false">DZ160+EA159</f>
        <v>3891057.31614114</v>
      </c>
      <c r="EB160" s="643" t="n">
        <f aca="false">EA160+EB159</f>
        <v>3891057.31614114</v>
      </c>
      <c r="EC160" s="643" t="n">
        <f aca="false">EB160+EC159</f>
        <v>3891057.31614114</v>
      </c>
      <c r="ED160" s="643" t="n">
        <f aca="false">EC160+ED159</f>
        <v>3891057.31614114</v>
      </c>
      <c r="EE160" s="643" t="n">
        <f aca="false">ED160+EE159</f>
        <v>3891057.31614114</v>
      </c>
      <c r="EF160" s="643" t="n">
        <f aca="false">EE160+EF159</f>
        <v>3891057.31614114</v>
      </c>
      <c r="EG160" s="643" t="n">
        <f aca="false">EF160+EG159</f>
        <v>3891057.31614114</v>
      </c>
      <c r="EH160" s="643" t="n">
        <f aca="false">EG160+EH159</f>
        <v>3891057.31614114</v>
      </c>
      <c r="EI160" s="644" t="n">
        <f aca="false">EH160+EI159</f>
        <v>3891057.31614114</v>
      </c>
      <c r="EK160" s="641" t="n">
        <f aca="true">OFFSET($G160,0,EK24*12)*((EK24*12-11)&lt;='Executive Summary'!$I$13)</f>
        <v>-6855197.52252898</v>
      </c>
      <c r="EL160" s="643" t="n">
        <f aca="true">OFFSET($G160,0,EL24*12)*((EL24*12-11)&lt;='Executive Summary'!$I$13)</f>
        <v>-6394481.28417724</v>
      </c>
      <c r="EM160" s="643" t="n">
        <f aca="true">OFFSET($G160,0,EM24*12)*((EM24*12-11)&lt;='Executive Summary'!$I$13)</f>
        <v>-5909958.14610034</v>
      </c>
      <c r="EN160" s="643" t="n">
        <f aca="true">OFFSET($G160,0,EN24*12)*((EN24*12-11)&lt;='Executive Summary'!$I$13)</f>
        <v>-5408012.86586212</v>
      </c>
      <c r="EO160" s="643" t="n">
        <f aca="true">OFFSET($G160,0,EO24*12)*((EO24*12-11)&lt;='Executive Summary'!$I$13)</f>
        <v>3891057.31614114</v>
      </c>
      <c r="EP160" s="643" t="n">
        <f aca="true">OFFSET($G160,0,EP24*12)*((EP24*12-11)&lt;='Executive Summary'!$I$13)</f>
        <v>0</v>
      </c>
      <c r="EQ160" s="643" t="n">
        <f aca="true">OFFSET($G160,0,EQ24*12)*((EQ24*12-11)&lt;='Executive Summary'!$I$13)</f>
        <v>0</v>
      </c>
      <c r="ER160" s="643" t="n">
        <f aca="true">OFFSET($G160,0,ER24*12)*((ER24*12-11)&lt;='Executive Summary'!$I$13)</f>
        <v>0</v>
      </c>
      <c r="ES160" s="643" t="n">
        <f aca="true">OFFSET($G160,0,ES24*12)*((ES24*12-11)&lt;='Executive Summary'!$I$13)</f>
        <v>0</v>
      </c>
      <c r="ET160" s="644" t="n">
        <f aca="true">OFFSET($G160,0,ET24*12)*((ET24*12-11)&lt;='Executive Summary'!$I$13)</f>
        <v>0</v>
      </c>
    </row>
    <row r="162" customFormat="false" ht="13.5" hidden="false" customHeight="true" outlineLevel="0" collapsed="false">
      <c r="E162" s="522"/>
    </row>
    <row r="163" customFormat="false" ht="13.5" hidden="false" customHeight="true" outlineLevel="0" collapsed="false">
      <c r="E163" s="522"/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&amp;R&amp;"Calibri,Italic"Confidential and For Discussion Purposes Only</oddHeader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DZ7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5" ySplit="6" topLeftCell="CV8" activePane="bottomRight" state="frozen"/>
      <selection pane="topLeft" activeCell="A1" activeCellId="0" sqref="A1"/>
      <selection pane="topRight" activeCell="CV1" activeCellId="0" sqref="CV1"/>
      <selection pane="bottomLeft" activeCell="A8" activeCellId="0" sqref="A8"/>
      <selection pane="bottomRight" activeCell="BN6" activeCellId="0" sqref="BN6"/>
    </sheetView>
  </sheetViews>
  <sheetFormatPr defaultColWidth="9.1640625" defaultRowHeight="13.5" zeroHeight="false" outlineLevelRow="1" outlineLevelCol="0"/>
  <cols>
    <col collapsed="false" customWidth="true" hidden="false" outlineLevel="0" max="1" min="1" style="236" width="2.5"/>
    <col collapsed="false" customWidth="true" hidden="false" outlineLevel="0" max="2" min="2" style="236" width="39.51"/>
    <col collapsed="false" customWidth="true" hidden="false" outlineLevel="0" max="3" min="3" style="236" width="7"/>
    <col collapsed="false" customWidth="true" hidden="false" outlineLevel="0" max="4" min="4" style="236" width="13"/>
    <col collapsed="false" customWidth="true" hidden="false" outlineLevel="0" max="5" min="5" style="236" width="2.67"/>
    <col collapsed="false" customWidth="true" hidden="false" outlineLevel="0" max="16" min="6" style="237" width="12.67"/>
    <col collapsed="false" customWidth="true" hidden="false" outlineLevel="0" max="126" min="17" style="236" width="12.67"/>
    <col collapsed="false" customWidth="false" hidden="false" outlineLevel="0" max="16384" min="127" style="236" width="9.16"/>
  </cols>
  <sheetData>
    <row r="2" customFormat="false" ht="13.5" hidden="false" customHeight="true" outlineLevel="0" collapsed="false">
      <c r="B2" s="455" t="str">
        <f aca="false">'Executive Summary'!B2:F2</f>
        <v>Riverhill TH</v>
      </c>
      <c r="C2" s="645"/>
      <c r="D2" s="645"/>
      <c r="E2" s="645"/>
      <c r="F2" s="646"/>
      <c r="G2" s="646"/>
      <c r="H2" s="646"/>
      <c r="I2" s="646"/>
      <c r="J2" s="646"/>
      <c r="K2" s="646"/>
      <c r="L2" s="646"/>
      <c r="M2" s="646"/>
      <c r="N2" s="646"/>
      <c r="O2" s="646"/>
      <c r="P2" s="646"/>
      <c r="Q2" s="646"/>
      <c r="R2" s="646"/>
      <c r="S2" s="646"/>
      <c r="T2" s="646"/>
      <c r="U2" s="646"/>
      <c r="V2" s="646"/>
      <c r="W2" s="646"/>
      <c r="X2" s="646"/>
      <c r="Y2" s="646"/>
      <c r="Z2" s="646"/>
      <c r="AA2" s="646"/>
      <c r="AB2" s="646"/>
      <c r="AC2" s="646"/>
      <c r="AD2" s="646"/>
      <c r="AE2" s="646"/>
      <c r="AF2" s="646"/>
      <c r="AG2" s="646"/>
      <c r="AH2" s="646"/>
      <c r="AI2" s="646"/>
      <c r="AJ2" s="646"/>
      <c r="AK2" s="646"/>
      <c r="AL2" s="646"/>
      <c r="AM2" s="646"/>
      <c r="AN2" s="646"/>
      <c r="AO2" s="646"/>
      <c r="AP2" s="646"/>
      <c r="AQ2" s="646"/>
      <c r="AR2" s="646"/>
      <c r="AS2" s="646"/>
      <c r="AT2" s="646"/>
      <c r="AU2" s="646"/>
      <c r="AV2" s="646"/>
      <c r="AW2" s="646"/>
      <c r="AX2" s="646"/>
      <c r="AY2" s="646"/>
      <c r="AZ2" s="646"/>
      <c r="BA2" s="646"/>
      <c r="BB2" s="646"/>
      <c r="BC2" s="646"/>
      <c r="BD2" s="646"/>
      <c r="BE2" s="646"/>
      <c r="BF2" s="646"/>
      <c r="BG2" s="646"/>
      <c r="BH2" s="646"/>
      <c r="BI2" s="646"/>
      <c r="BJ2" s="646"/>
      <c r="BK2" s="646"/>
      <c r="BL2" s="646"/>
      <c r="BM2" s="646"/>
      <c r="BN2" s="646"/>
      <c r="BO2" s="646"/>
      <c r="BP2" s="646"/>
      <c r="BQ2" s="646"/>
      <c r="BR2" s="646"/>
      <c r="BS2" s="646"/>
      <c r="BT2" s="646"/>
      <c r="BU2" s="646"/>
      <c r="BV2" s="646"/>
      <c r="BW2" s="646"/>
      <c r="BX2" s="646"/>
      <c r="BY2" s="646"/>
      <c r="BZ2" s="646"/>
      <c r="CA2" s="646"/>
      <c r="CB2" s="646"/>
      <c r="CC2" s="646"/>
      <c r="CD2" s="646"/>
      <c r="CE2" s="646"/>
      <c r="CF2" s="646"/>
      <c r="CG2" s="646"/>
      <c r="CH2" s="646"/>
      <c r="CI2" s="646"/>
      <c r="CJ2" s="646"/>
      <c r="CK2" s="646"/>
      <c r="CL2" s="646"/>
      <c r="CM2" s="646"/>
      <c r="CN2" s="646"/>
      <c r="CO2" s="646"/>
      <c r="CP2" s="646"/>
      <c r="CQ2" s="646"/>
      <c r="CR2" s="646"/>
      <c r="CS2" s="646"/>
      <c r="CT2" s="646"/>
      <c r="CU2" s="646"/>
      <c r="CV2" s="646"/>
      <c r="CW2" s="646"/>
      <c r="CX2" s="646"/>
      <c r="CY2" s="646"/>
      <c r="CZ2" s="646"/>
      <c r="DA2" s="646"/>
      <c r="DB2" s="646"/>
      <c r="DC2" s="646"/>
      <c r="DD2" s="646"/>
      <c r="DE2" s="646"/>
      <c r="DF2" s="646"/>
      <c r="DG2" s="646"/>
      <c r="DH2" s="646"/>
      <c r="DI2" s="646"/>
      <c r="DJ2" s="646"/>
      <c r="DK2" s="646"/>
      <c r="DL2" s="646"/>
      <c r="DM2" s="646"/>
      <c r="DN2" s="646"/>
      <c r="DO2" s="646"/>
      <c r="DP2" s="646"/>
      <c r="DQ2" s="646"/>
      <c r="DR2" s="646"/>
      <c r="DS2" s="646"/>
      <c r="DT2" s="646"/>
      <c r="DU2" s="646"/>
      <c r="DV2" s="647"/>
    </row>
    <row r="3" customFormat="false" ht="13.5" hidden="false" customHeight="true" outlineLevel="0" collapsed="false">
      <c r="B3" s="648" t="s">
        <v>624</v>
      </c>
      <c r="C3" s="649"/>
      <c r="D3" s="649"/>
      <c r="E3" s="649"/>
      <c r="F3" s="650"/>
      <c r="G3" s="650"/>
      <c r="H3" s="650"/>
      <c r="I3" s="650"/>
      <c r="J3" s="650"/>
      <c r="K3" s="650"/>
      <c r="L3" s="650"/>
      <c r="M3" s="650"/>
      <c r="N3" s="650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0"/>
      <c r="AJ3" s="650"/>
      <c r="AK3" s="650"/>
      <c r="AL3" s="650"/>
      <c r="AM3" s="650"/>
      <c r="AN3" s="650"/>
      <c r="AO3" s="650"/>
      <c r="AP3" s="650"/>
      <c r="AQ3" s="650"/>
      <c r="AR3" s="650"/>
      <c r="AS3" s="650"/>
      <c r="AT3" s="650"/>
      <c r="AU3" s="650"/>
      <c r="AV3" s="650"/>
      <c r="AW3" s="650"/>
      <c r="AX3" s="650"/>
      <c r="AY3" s="650"/>
      <c r="AZ3" s="650"/>
      <c r="BA3" s="650"/>
      <c r="BB3" s="650"/>
      <c r="BC3" s="650"/>
      <c r="BD3" s="650"/>
      <c r="BE3" s="650"/>
      <c r="BF3" s="650"/>
      <c r="BG3" s="650"/>
      <c r="BH3" s="650"/>
      <c r="BI3" s="650"/>
      <c r="BJ3" s="650"/>
      <c r="BK3" s="650"/>
      <c r="BL3" s="650"/>
      <c r="BM3" s="650"/>
      <c r="BN3" s="650"/>
      <c r="BO3" s="651"/>
      <c r="BP3" s="652"/>
      <c r="BQ3" s="652"/>
      <c r="BR3" s="652"/>
      <c r="BS3" s="652"/>
      <c r="BT3" s="652"/>
      <c r="BU3" s="652"/>
      <c r="BV3" s="652"/>
      <c r="BW3" s="652"/>
      <c r="BX3" s="652"/>
      <c r="BY3" s="652"/>
      <c r="BZ3" s="652"/>
      <c r="CA3" s="652"/>
      <c r="CB3" s="652"/>
      <c r="CC3" s="652"/>
      <c r="CD3" s="652"/>
      <c r="CE3" s="652"/>
      <c r="CF3" s="652"/>
      <c r="CG3" s="652"/>
      <c r="CH3" s="652"/>
      <c r="CI3" s="652"/>
      <c r="CJ3" s="652"/>
      <c r="CK3" s="652"/>
      <c r="CL3" s="652"/>
      <c r="CM3" s="652"/>
      <c r="CN3" s="652"/>
      <c r="CO3" s="652"/>
      <c r="CP3" s="652"/>
      <c r="CQ3" s="652"/>
      <c r="CR3" s="652"/>
      <c r="CS3" s="652"/>
      <c r="CT3" s="652"/>
      <c r="CU3" s="652"/>
      <c r="CV3" s="652"/>
      <c r="CW3" s="652"/>
      <c r="CX3" s="652"/>
      <c r="CY3" s="652"/>
      <c r="CZ3" s="652"/>
      <c r="DA3" s="652"/>
      <c r="DB3" s="652"/>
      <c r="DC3" s="652"/>
      <c r="DD3" s="652"/>
      <c r="DE3" s="652"/>
      <c r="DF3" s="652"/>
      <c r="DG3" s="652"/>
      <c r="DH3" s="652"/>
      <c r="DI3" s="652"/>
      <c r="DJ3" s="652"/>
      <c r="DK3" s="652"/>
      <c r="DL3" s="652"/>
      <c r="DM3" s="652"/>
      <c r="DN3" s="652"/>
      <c r="DO3" s="652"/>
      <c r="DP3" s="652"/>
      <c r="DQ3" s="652"/>
      <c r="DR3" s="652"/>
      <c r="DS3" s="652"/>
      <c r="DT3" s="652"/>
      <c r="DU3" s="652"/>
      <c r="DV3" s="653"/>
    </row>
    <row r="4" customFormat="false" ht="13.5" hidden="false" customHeight="true" outlineLevel="0" collapsed="false">
      <c r="B4" s="69"/>
      <c r="C4" s="242"/>
      <c r="D4" s="654"/>
      <c r="E4" s="655"/>
      <c r="F4" s="656"/>
      <c r="G4" s="657"/>
      <c r="H4" s="27"/>
      <c r="I4" s="27"/>
      <c r="J4" s="71"/>
      <c r="K4" s="71"/>
      <c r="L4" s="71"/>
      <c r="M4" s="71"/>
      <c r="N4" s="71"/>
      <c r="O4" s="71"/>
      <c r="P4" s="71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3"/>
    </row>
    <row r="5" customFormat="false" ht="13.5" hidden="false" customHeight="true" outlineLevel="0" collapsed="false">
      <c r="B5" s="422" t="s">
        <v>625</v>
      </c>
      <c r="C5" s="658"/>
      <c r="D5" s="658"/>
      <c r="E5" s="248"/>
      <c r="F5" s="511" t="n">
        <v>0</v>
      </c>
      <c r="G5" s="510" t="n">
        <v>1</v>
      </c>
      <c r="H5" s="510" t="n">
        <v>2</v>
      </c>
      <c r="I5" s="510" t="n">
        <v>3</v>
      </c>
      <c r="J5" s="510" t="n">
        <v>4</v>
      </c>
      <c r="K5" s="510" t="n">
        <v>5</v>
      </c>
      <c r="L5" s="510" t="n">
        <v>6</v>
      </c>
      <c r="M5" s="510" t="n">
        <v>7</v>
      </c>
      <c r="N5" s="510" t="n">
        <v>8</v>
      </c>
      <c r="O5" s="510" t="n">
        <v>9</v>
      </c>
      <c r="P5" s="510" t="n">
        <v>10</v>
      </c>
      <c r="Q5" s="510" t="n">
        <v>11</v>
      </c>
      <c r="R5" s="511" t="n">
        <v>12</v>
      </c>
      <c r="S5" s="510" t="n">
        <v>13</v>
      </c>
      <c r="T5" s="510" t="n">
        <v>14</v>
      </c>
      <c r="U5" s="510" t="n">
        <v>15</v>
      </c>
      <c r="V5" s="510" t="n">
        <v>16</v>
      </c>
      <c r="W5" s="510" t="n">
        <v>17</v>
      </c>
      <c r="X5" s="510" t="n">
        <v>18</v>
      </c>
      <c r="Y5" s="510" t="n">
        <v>19</v>
      </c>
      <c r="Z5" s="510" t="n">
        <v>20</v>
      </c>
      <c r="AA5" s="510" t="n">
        <v>21</v>
      </c>
      <c r="AB5" s="510" t="n">
        <v>22</v>
      </c>
      <c r="AC5" s="510" t="n">
        <v>23</v>
      </c>
      <c r="AD5" s="511" t="n">
        <v>24</v>
      </c>
      <c r="AE5" s="510" t="n">
        <v>25</v>
      </c>
      <c r="AF5" s="510" t="n">
        <v>26</v>
      </c>
      <c r="AG5" s="510" t="n">
        <v>27</v>
      </c>
      <c r="AH5" s="510" t="n">
        <v>28</v>
      </c>
      <c r="AI5" s="510" t="n">
        <v>29</v>
      </c>
      <c r="AJ5" s="510" t="n">
        <v>30</v>
      </c>
      <c r="AK5" s="510" t="n">
        <v>31</v>
      </c>
      <c r="AL5" s="510" t="n">
        <v>32</v>
      </c>
      <c r="AM5" s="510" t="n">
        <v>33</v>
      </c>
      <c r="AN5" s="510" t="n">
        <v>34</v>
      </c>
      <c r="AO5" s="510" t="n">
        <v>35</v>
      </c>
      <c r="AP5" s="511" t="n">
        <v>36</v>
      </c>
      <c r="AQ5" s="510" t="n">
        <v>37</v>
      </c>
      <c r="AR5" s="510" t="n">
        <v>38</v>
      </c>
      <c r="AS5" s="510" t="n">
        <v>39</v>
      </c>
      <c r="AT5" s="510" t="n">
        <v>40</v>
      </c>
      <c r="AU5" s="510" t="n">
        <v>41</v>
      </c>
      <c r="AV5" s="510" t="n">
        <v>42</v>
      </c>
      <c r="AW5" s="510" t="n">
        <v>43</v>
      </c>
      <c r="AX5" s="510" t="n">
        <v>44</v>
      </c>
      <c r="AY5" s="510" t="n">
        <v>45</v>
      </c>
      <c r="AZ5" s="510" t="n">
        <v>46</v>
      </c>
      <c r="BA5" s="510" t="n">
        <v>47</v>
      </c>
      <c r="BB5" s="511" t="n">
        <v>48</v>
      </c>
      <c r="BC5" s="510" t="n">
        <v>49</v>
      </c>
      <c r="BD5" s="510" t="n">
        <v>50</v>
      </c>
      <c r="BE5" s="510" t="n">
        <v>51</v>
      </c>
      <c r="BF5" s="510" t="n">
        <v>52</v>
      </c>
      <c r="BG5" s="510" t="n">
        <v>53</v>
      </c>
      <c r="BH5" s="510" t="n">
        <v>54</v>
      </c>
      <c r="BI5" s="510" t="n">
        <v>55</v>
      </c>
      <c r="BJ5" s="510" t="n">
        <v>56</v>
      </c>
      <c r="BK5" s="510" t="n">
        <v>57</v>
      </c>
      <c r="BL5" s="510" t="n">
        <v>58</v>
      </c>
      <c r="BM5" s="510" t="n">
        <v>59</v>
      </c>
      <c r="BN5" s="511" t="n">
        <v>60</v>
      </c>
      <c r="BO5" s="510" t="n">
        <v>61</v>
      </c>
      <c r="BP5" s="510" t="n">
        <v>62</v>
      </c>
      <c r="BQ5" s="510" t="n">
        <v>63</v>
      </c>
      <c r="BR5" s="510" t="n">
        <v>64</v>
      </c>
      <c r="BS5" s="510" t="n">
        <v>65</v>
      </c>
      <c r="BT5" s="510" t="n">
        <v>66</v>
      </c>
      <c r="BU5" s="510" t="n">
        <v>67</v>
      </c>
      <c r="BV5" s="510" t="n">
        <v>68</v>
      </c>
      <c r="BW5" s="510" t="n">
        <v>69</v>
      </c>
      <c r="BX5" s="510" t="n">
        <v>70</v>
      </c>
      <c r="BY5" s="510" t="n">
        <v>71</v>
      </c>
      <c r="BZ5" s="511" t="n">
        <v>72</v>
      </c>
      <c r="CA5" s="510" t="n">
        <v>73</v>
      </c>
      <c r="CB5" s="510" t="n">
        <v>74</v>
      </c>
      <c r="CC5" s="510" t="n">
        <v>75</v>
      </c>
      <c r="CD5" s="510" t="n">
        <v>76</v>
      </c>
      <c r="CE5" s="510" t="n">
        <v>77</v>
      </c>
      <c r="CF5" s="510" t="n">
        <v>78</v>
      </c>
      <c r="CG5" s="510" t="n">
        <v>79</v>
      </c>
      <c r="CH5" s="510" t="n">
        <v>80</v>
      </c>
      <c r="CI5" s="510" t="n">
        <v>81</v>
      </c>
      <c r="CJ5" s="510" t="n">
        <v>82</v>
      </c>
      <c r="CK5" s="510" t="n">
        <v>83</v>
      </c>
      <c r="CL5" s="511" t="n">
        <v>84</v>
      </c>
      <c r="CM5" s="510" t="n">
        <v>85</v>
      </c>
      <c r="CN5" s="510" t="n">
        <v>86</v>
      </c>
      <c r="CO5" s="510" t="n">
        <v>87</v>
      </c>
      <c r="CP5" s="510" t="n">
        <v>88</v>
      </c>
      <c r="CQ5" s="510" t="n">
        <v>89</v>
      </c>
      <c r="CR5" s="510" t="n">
        <v>90</v>
      </c>
      <c r="CS5" s="510" t="n">
        <v>91</v>
      </c>
      <c r="CT5" s="510" t="n">
        <v>92</v>
      </c>
      <c r="CU5" s="510" t="n">
        <v>93</v>
      </c>
      <c r="CV5" s="510" t="n">
        <v>94</v>
      </c>
      <c r="CW5" s="510" t="n">
        <v>95</v>
      </c>
      <c r="CX5" s="511" t="n">
        <v>96</v>
      </c>
      <c r="CY5" s="510" t="n">
        <v>97</v>
      </c>
      <c r="CZ5" s="510" t="n">
        <v>98</v>
      </c>
      <c r="DA5" s="510" t="n">
        <v>99</v>
      </c>
      <c r="DB5" s="510" t="n">
        <v>100</v>
      </c>
      <c r="DC5" s="510" t="n">
        <v>101</v>
      </c>
      <c r="DD5" s="510" t="n">
        <v>102</v>
      </c>
      <c r="DE5" s="510" t="n">
        <v>103</v>
      </c>
      <c r="DF5" s="510" t="n">
        <v>104</v>
      </c>
      <c r="DG5" s="510" t="n">
        <v>105</v>
      </c>
      <c r="DH5" s="510" t="n">
        <v>106</v>
      </c>
      <c r="DI5" s="510" t="n">
        <v>107</v>
      </c>
      <c r="DJ5" s="511" t="n">
        <v>108</v>
      </c>
      <c r="DK5" s="510" t="n">
        <v>109</v>
      </c>
      <c r="DL5" s="510" t="n">
        <v>110</v>
      </c>
      <c r="DM5" s="510" t="n">
        <v>111</v>
      </c>
      <c r="DN5" s="510" t="n">
        <v>112</v>
      </c>
      <c r="DO5" s="510" t="n">
        <v>113</v>
      </c>
      <c r="DP5" s="510" t="n">
        <v>114</v>
      </c>
      <c r="DQ5" s="510" t="n">
        <v>115</v>
      </c>
      <c r="DR5" s="510" t="n">
        <v>116</v>
      </c>
      <c r="DS5" s="510" t="n">
        <v>117</v>
      </c>
      <c r="DT5" s="510" t="n">
        <v>118</v>
      </c>
      <c r="DU5" s="510" t="n">
        <v>119</v>
      </c>
      <c r="DV5" s="510" t="n">
        <v>120</v>
      </c>
      <c r="DW5" s="659"/>
      <c r="DX5" s="659"/>
      <c r="DY5" s="659"/>
      <c r="DZ5" s="659"/>
    </row>
    <row r="6" customFormat="false" ht="13.5" hidden="false" customHeight="true" outlineLevel="0" collapsed="false">
      <c r="B6" s="434" t="s">
        <v>619</v>
      </c>
      <c r="C6" s="660"/>
      <c r="D6" s="661" t="n">
        <f aca="false">SUM(F6:DV6)</f>
        <v>2594057.9884767</v>
      </c>
      <c r="E6" s="242"/>
      <c r="F6" s="662" t="n">
        <f aca="false">'Cash Flow - Monthly'!G152</f>
        <v>-2083229.222</v>
      </c>
      <c r="G6" s="663" t="n">
        <f aca="false">'Cash Flow - Monthly'!H152</f>
        <v>11912.0378353767</v>
      </c>
      <c r="H6" s="662" t="n">
        <f aca="false">'Cash Flow - Monthly'!I152</f>
        <v>12222.6654293869</v>
      </c>
      <c r="I6" s="662" t="n">
        <f aca="false">'Cash Flow - Monthly'!J152</f>
        <v>12630.1990160829</v>
      </c>
      <c r="J6" s="662" t="n">
        <f aca="false">'Cash Flow - Monthly'!K152</f>
        <v>12945.3248259381</v>
      </c>
      <c r="K6" s="662" t="n">
        <f aca="false">'Cash Flow - Monthly'!L152</f>
        <v>13358.2469047782</v>
      </c>
      <c r="L6" s="662" t="n">
        <f aca="false">'Cash Flow - Monthly'!M152</f>
        <v>13678.6597122305</v>
      </c>
      <c r="M6" s="662" t="n">
        <f aca="false">'Cash Flow - Monthly'!N152</f>
        <v>14096.9759453083</v>
      </c>
      <c r="N6" s="662" t="n">
        <f aca="false">'Cash Flow - Monthly'!O152</f>
        <v>14422.681300702</v>
      </c>
      <c r="O6" s="662" t="n">
        <f aca="false">'Cash Flow - Monthly'!P152</f>
        <v>14846.3973554992</v>
      </c>
      <c r="P6" s="662" t="n">
        <f aca="false">'Cash Flow - Monthly'!Q152</f>
        <v>15177.4008144425</v>
      </c>
      <c r="Q6" s="662" t="n">
        <f aca="false">'Cash Flow - Monthly'!R152</f>
        <v>15606.5223638321</v>
      </c>
      <c r="R6" s="662" t="n">
        <f aca="false">'Cash Flow - Monthly'!S152</f>
        <v>15942.8294872004</v>
      </c>
      <c r="S6" s="663" t="n">
        <f aca="false">'Cash Flow - Monthly'!T152</f>
        <v>15694.8979610543</v>
      </c>
      <c r="T6" s="662" t="n">
        <f aca="false">'Cash Flow - Monthly'!U152</f>
        <v>15879.4161677238</v>
      </c>
      <c r="U6" s="662" t="n">
        <f aca="false">'Cash Flow - Monthly'!V152</f>
        <v>15979.8818206767</v>
      </c>
      <c r="V6" s="662" t="n">
        <f aca="false">'Cash Flow - Monthly'!W152</f>
        <v>16186.4285478547</v>
      </c>
      <c r="W6" s="662" t="n">
        <f aca="false">'Cash Flow - Monthly'!X152</f>
        <v>16308.8890234058</v>
      </c>
      <c r="X6" s="662" t="n">
        <f aca="false">'Cash Flow - Monthly'!Y152</f>
        <v>16537.6056061667</v>
      </c>
      <c r="Y6" s="662" t="n">
        <f aca="false">'Cash Flow - Monthly'!Z152</f>
        <v>16682.2025163428</v>
      </c>
      <c r="Z6" s="662" t="n">
        <f aca="false">'Cash Flow - Monthly'!AA152</f>
        <v>16933.2310734812</v>
      </c>
      <c r="AA6" s="662" t="n">
        <f aca="false">'Cash Flow - Monthly'!AB152</f>
        <v>17100.1068160164</v>
      </c>
      <c r="AB6" s="662" t="n">
        <f aca="false">'Cash Flow - Monthly'!AC152</f>
        <v>17373.5902542788</v>
      </c>
      <c r="AC6" s="662" t="n">
        <f aca="false">'Cash Flow - Monthly'!AD152</f>
        <v>17562.888016858</v>
      </c>
      <c r="AD6" s="662" t="n">
        <f aca="false">'Cash Flow - Monthly'!AE152</f>
        <v>17858.970035197</v>
      </c>
      <c r="AE6" s="663" t="n">
        <f aca="false">'Cash Flow - Monthly'!AF152</f>
        <v>17935.3951649099</v>
      </c>
      <c r="AF6" s="662" t="n">
        <f aca="false">'Cash Flow - Monthly'!AG152</f>
        <v>18064.4557765344</v>
      </c>
      <c r="AG6" s="662" t="n">
        <f aca="false">'Cash Flow - Monthly'!AH152</f>
        <v>18192.7821302785</v>
      </c>
      <c r="AH6" s="662" t="n">
        <f aca="false">'Cash Flow - Monthly'!AI152</f>
        <v>18320.3695674537</v>
      </c>
      <c r="AI6" s="662" t="n">
        <f aca="false">'Cash Flow - Monthly'!AJ152</f>
        <v>18447.2134102088</v>
      </c>
      <c r="AJ6" s="662" t="n">
        <f aca="false">'Cash Flow - Monthly'!AK152</f>
        <v>18573.3089614617</v>
      </c>
      <c r="AK6" s="662" t="n">
        <f aca="false">'Cash Flow - Monthly'!AL152</f>
        <v>18698.6515048316</v>
      </c>
      <c r="AL6" s="662" t="n">
        <f aca="false">'Cash Flow - Monthly'!AM152</f>
        <v>18823.2363045707</v>
      </c>
      <c r="AM6" s="662" t="n">
        <f aca="false">'Cash Flow - Monthly'!AN152</f>
        <v>18947.0586054953</v>
      </c>
      <c r="AN6" s="662" t="n">
        <f aca="false">'Cash Flow - Monthly'!AO152</f>
        <v>19076.6558717305</v>
      </c>
      <c r="AO6" s="662" t="n">
        <f aca="false">'Cash Flow - Monthly'!AP152</f>
        <v>19192.3965925754</v>
      </c>
      <c r="AP6" s="662" t="n">
        <f aca="false">'Cash Flow - Monthly'!AQ152</f>
        <v>19313.9026705653</v>
      </c>
      <c r="AQ6" s="663" t="n">
        <f aca="false">'Cash Flow - Monthly'!AR152</f>
        <v>12081.6188349739</v>
      </c>
      <c r="AR6" s="662" t="n">
        <f aca="false">'Cash Flow - Monthly'!AS152</f>
        <v>12203.7850409556</v>
      </c>
      <c r="AS6" s="662" t="n">
        <f aca="false">'Cash Flow - Monthly'!AT152</f>
        <v>12326.2826068238</v>
      </c>
      <c r="AT6" s="662" t="n">
        <f aca="false">'Cash Flow - Monthly'!AU152</f>
        <v>12449.1123994564</v>
      </c>
      <c r="AU6" s="662" t="n">
        <f aca="false">'Cash Flow - Monthly'!AV152</f>
        <v>12572.275287951</v>
      </c>
      <c r="AV6" s="662" t="n">
        <f aca="false">'Cash Flow - Monthly'!AW152</f>
        <v>12695.7721436311</v>
      </c>
      <c r="AW6" s="662" t="n">
        <f aca="false">'Cash Flow - Monthly'!AX152</f>
        <v>12819.6038400511</v>
      </c>
      <c r="AX6" s="662" t="n">
        <f aca="false">'Cash Flow - Monthly'!AY152</f>
        <v>12943.7712530024</v>
      </c>
      <c r="AY6" s="662" t="n">
        <f aca="false">'Cash Flow - Monthly'!AZ152</f>
        <v>13068.2752605187</v>
      </c>
      <c r="AZ6" s="662" t="n">
        <f aca="false">'Cash Flow - Monthly'!BA152</f>
        <v>13193.1167428822</v>
      </c>
      <c r="BA6" s="662" t="n">
        <f aca="false">'Cash Flow - Monthly'!BB152</f>
        <v>13318.2965826285</v>
      </c>
      <c r="BB6" s="662" t="n">
        <f aca="false">'Cash Flow - Monthly'!BC152</f>
        <v>13443.8156645532</v>
      </c>
      <c r="BC6" s="663" t="n">
        <f aca="false">'Cash Flow - Monthly'!BD152</f>
        <v>13517.1048128303</v>
      </c>
      <c r="BD6" s="662" t="n">
        <f aca="false">'Cash Flow - Monthly'!BE152</f>
        <v>13643.3050425644</v>
      </c>
      <c r="BE6" s="662" t="n">
        <f aca="false">'Cash Flow - Monthly'!BF152</f>
        <v>13769.8471824771</v>
      </c>
      <c r="BF6" s="662" t="n">
        <f aca="false">'Cash Flow - Monthly'!BG152</f>
        <v>13896.7321264593</v>
      </c>
      <c r="BG6" s="662" t="n">
        <f aca="false">'Cash Flow - Monthly'!BH152</f>
        <v>14023.96077069</v>
      </c>
      <c r="BH6" s="662" t="n">
        <f aca="false">'Cash Flow - Monthly'!BI152</f>
        <v>14151.5340136421</v>
      </c>
      <c r="BI6" s="662" t="n">
        <f aca="false">'Cash Flow - Monthly'!BJ152</f>
        <v>14279.4527560884</v>
      </c>
      <c r="BJ6" s="662" t="n">
        <f aca="false">'Cash Flow - Monthly'!BK152</f>
        <v>14407.7179011072</v>
      </c>
      <c r="BK6" s="662" t="n">
        <f aca="false">'Cash Flow - Monthly'!BL152</f>
        <v>14536.3303540884</v>
      </c>
      <c r="BL6" s="662" t="n">
        <f aca="false">'Cash Flow - Monthly'!BM152</f>
        <v>14665.2910227391</v>
      </c>
      <c r="BM6" s="662" t="n">
        <f aca="false">'Cash Flow - Monthly'!BN152</f>
        <v>14794.6008170895</v>
      </c>
      <c r="BN6" s="662" t="n">
        <f aca="false">'Cash Flow - Monthly'!BO152</f>
        <v>3777962.13262905</v>
      </c>
      <c r="BO6" s="663" t="n">
        <f aca="false">'Cash Flow - Monthly'!BP152</f>
        <v>0</v>
      </c>
      <c r="BP6" s="662" t="n">
        <f aca="false">'Cash Flow - Monthly'!BQ152</f>
        <v>0</v>
      </c>
      <c r="BQ6" s="662" t="n">
        <f aca="false">'Cash Flow - Monthly'!BR152</f>
        <v>0</v>
      </c>
      <c r="BR6" s="662" t="n">
        <f aca="false">'Cash Flow - Monthly'!BS152</f>
        <v>0</v>
      </c>
      <c r="BS6" s="662" t="n">
        <f aca="false">'Cash Flow - Monthly'!BT152</f>
        <v>0</v>
      </c>
      <c r="BT6" s="662" t="n">
        <f aca="false">'Cash Flow - Monthly'!BU152</f>
        <v>0</v>
      </c>
      <c r="BU6" s="662" t="n">
        <f aca="false">'Cash Flow - Monthly'!BV152</f>
        <v>0</v>
      </c>
      <c r="BV6" s="662" t="n">
        <f aca="false">'Cash Flow - Monthly'!BW152</f>
        <v>0</v>
      </c>
      <c r="BW6" s="662" t="n">
        <f aca="false">'Cash Flow - Monthly'!BX152</f>
        <v>0</v>
      </c>
      <c r="BX6" s="662" t="n">
        <f aca="false">'Cash Flow - Monthly'!BY152</f>
        <v>0</v>
      </c>
      <c r="BY6" s="662" t="n">
        <f aca="false">'Cash Flow - Monthly'!BZ152</f>
        <v>0</v>
      </c>
      <c r="BZ6" s="662" t="n">
        <f aca="false">'Cash Flow - Monthly'!CA152</f>
        <v>0</v>
      </c>
      <c r="CA6" s="663" t="n">
        <f aca="false">'Cash Flow - Monthly'!CB152</f>
        <v>0</v>
      </c>
      <c r="CB6" s="662" t="n">
        <f aca="false">'Cash Flow - Monthly'!CC152</f>
        <v>0</v>
      </c>
      <c r="CC6" s="662" t="n">
        <f aca="false">'Cash Flow - Monthly'!CD152</f>
        <v>0</v>
      </c>
      <c r="CD6" s="662" t="n">
        <f aca="false">'Cash Flow - Monthly'!CE152</f>
        <v>0</v>
      </c>
      <c r="CE6" s="662" t="n">
        <f aca="false">'Cash Flow - Monthly'!CF152</f>
        <v>0</v>
      </c>
      <c r="CF6" s="662" t="n">
        <f aca="false">'Cash Flow - Monthly'!CG152</f>
        <v>0</v>
      </c>
      <c r="CG6" s="662" t="n">
        <f aca="false">'Cash Flow - Monthly'!CH152</f>
        <v>0</v>
      </c>
      <c r="CH6" s="662" t="n">
        <f aca="false">'Cash Flow - Monthly'!CI152</f>
        <v>0</v>
      </c>
      <c r="CI6" s="662" t="n">
        <f aca="false">'Cash Flow - Monthly'!CJ152</f>
        <v>0</v>
      </c>
      <c r="CJ6" s="662" t="n">
        <f aca="false">'Cash Flow - Monthly'!CK152</f>
        <v>0</v>
      </c>
      <c r="CK6" s="662" t="n">
        <f aca="false">'Cash Flow - Monthly'!CL152</f>
        <v>0</v>
      </c>
      <c r="CL6" s="662" t="n">
        <f aca="false">'Cash Flow - Monthly'!CM152</f>
        <v>0</v>
      </c>
      <c r="CM6" s="663" t="n">
        <f aca="false">'Cash Flow - Monthly'!CN152</f>
        <v>0</v>
      </c>
      <c r="CN6" s="662" t="n">
        <f aca="false">'Cash Flow - Monthly'!CO152</f>
        <v>0</v>
      </c>
      <c r="CO6" s="662" t="n">
        <f aca="false">'Cash Flow - Monthly'!CP152</f>
        <v>0</v>
      </c>
      <c r="CP6" s="662" t="n">
        <f aca="false">'Cash Flow - Monthly'!CQ152</f>
        <v>0</v>
      </c>
      <c r="CQ6" s="662" t="n">
        <f aca="false">'Cash Flow - Monthly'!CR152</f>
        <v>0</v>
      </c>
      <c r="CR6" s="662" t="n">
        <f aca="false">'Cash Flow - Monthly'!CS152</f>
        <v>0</v>
      </c>
      <c r="CS6" s="662" t="n">
        <f aca="false">'Cash Flow - Monthly'!CT152</f>
        <v>0</v>
      </c>
      <c r="CT6" s="662" t="n">
        <f aca="false">'Cash Flow - Monthly'!CU152</f>
        <v>0</v>
      </c>
      <c r="CU6" s="662" t="n">
        <f aca="false">'Cash Flow - Monthly'!CV152</f>
        <v>0</v>
      </c>
      <c r="CV6" s="662" t="n">
        <f aca="false">'Cash Flow - Monthly'!CW152</f>
        <v>0</v>
      </c>
      <c r="CW6" s="662" t="n">
        <f aca="false">'Cash Flow - Monthly'!CX152</f>
        <v>0</v>
      </c>
      <c r="CX6" s="662" t="n">
        <f aca="false">'Cash Flow - Monthly'!CY152</f>
        <v>0</v>
      </c>
      <c r="CY6" s="663" t="n">
        <f aca="false">'Cash Flow - Monthly'!CZ152</f>
        <v>0</v>
      </c>
      <c r="CZ6" s="662" t="n">
        <f aca="false">'Cash Flow - Monthly'!DA152</f>
        <v>0</v>
      </c>
      <c r="DA6" s="662" t="n">
        <f aca="false">'Cash Flow - Monthly'!DB152</f>
        <v>0</v>
      </c>
      <c r="DB6" s="662" t="n">
        <f aca="false">'Cash Flow - Monthly'!DC152</f>
        <v>0</v>
      </c>
      <c r="DC6" s="662" t="n">
        <f aca="false">'Cash Flow - Monthly'!DD152</f>
        <v>0</v>
      </c>
      <c r="DD6" s="662" t="n">
        <f aca="false">'Cash Flow - Monthly'!DE152</f>
        <v>0</v>
      </c>
      <c r="DE6" s="662" t="n">
        <f aca="false">'Cash Flow - Monthly'!DF152</f>
        <v>0</v>
      </c>
      <c r="DF6" s="662" t="n">
        <f aca="false">'Cash Flow - Monthly'!DG152</f>
        <v>0</v>
      </c>
      <c r="DG6" s="662" t="n">
        <f aca="false">'Cash Flow - Monthly'!DH152</f>
        <v>0</v>
      </c>
      <c r="DH6" s="662" t="n">
        <f aca="false">'Cash Flow - Monthly'!DI152</f>
        <v>0</v>
      </c>
      <c r="DI6" s="662" t="n">
        <f aca="false">'Cash Flow - Monthly'!DJ152</f>
        <v>0</v>
      </c>
      <c r="DJ6" s="662" t="n">
        <f aca="false">'Cash Flow - Monthly'!DK152</f>
        <v>0</v>
      </c>
      <c r="DK6" s="663" t="n">
        <f aca="false">'Cash Flow - Monthly'!DL152</f>
        <v>0</v>
      </c>
      <c r="DL6" s="662" t="n">
        <f aca="false">'Cash Flow - Monthly'!DM152</f>
        <v>0</v>
      </c>
      <c r="DM6" s="662" t="n">
        <f aca="false">'Cash Flow - Monthly'!DN152</f>
        <v>0</v>
      </c>
      <c r="DN6" s="662" t="n">
        <f aca="false">'Cash Flow - Monthly'!DO152</f>
        <v>0</v>
      </c>
      <c r="DO6" s="662" t="n">
        <f aca="false">'Cash Flow - Monthly'!DP152</f>
        <v>0</v>
      </c>
      <c r="DP6" s="662" t="n">
        <f aca="false">'Cash Flow - Monthly'!DQ152</f>
        <v>0</v>
      </c>
      <c r="DQ6" s="662" t="n">
        <f aca="false">'Cash Flow - Monthly'!DR152</f>
        <v>0</v>
      </c>
      <c r="DR6" s="662" t="n">
        <f aca="false">'Cash Flow - Monthly'!DS152</f>
        <v>0</v>
      </c>
      <c r="DS6" s="662" t="n">
        <f aca="false">'Cash Flow - Monthly'!DT152</f>
        <v>0</v>
      </c>
      <c r="DT6" s="662" t="n">
        <f aca="false">'Cash Flow - Monthly'!DU152</f>
        <v>0</v>
      </c>
      <c r="DU6" s="662" t="n">
        <f aca="false">'Cash Flow - Monthly'!DV152</f>
        <v>0</v>
      </c>
      <c r="DV6" s="664" t="n">
        <f aca="false">'Cash Flow - Monthly'!DW152</f>
        <v>0</v>
      </c>
    </row>
    <row r="7" customFormat="false" ht="13.5" hidden="false" customHeight="true" outlineLevel="0" collapsed="false">
      <c r="B7" s="434"/>
      <c r="C7" s="660"/>
      <c r="D7" s="660"/>
      <c r="E7" s="665"/>
      <c r="F7" s="666"/>
      <c r="G7" s="667"/>
      <c r="H7" s="666"/>
      <c r="I7" s="666"/>
      <c r="J7" s="666"/>
      <c r="K7" s="666"/>
      <c r="L7" s="666"/>
      <c r="M7" s="666"/>
      <c r="N7" s="666"/>
      <c r="O7" s="666"/>
      <c r="P7" s="666"/>
      <c r="Q7" s="666"/>
      <c r="R7" s="666"/>
      <c r="S7" s="667"/>
      <c r="T7" s="666"/>
      <c r="U7" s="666"/>
      <c r="V7" s="666"/>
      <c r="W7" s="666"/>
      <c r="X7" s="666"/>
      <c r="Y7" s="666"/>
      <c r="Z7" s="666"/>
      <c r="AA7" s="666"/>
      <c r="AB7" s="666"/>
      <c r="AC7" s="666"/>
      <c r="AD7" s="666"/>
      <c r="AE7" s="667"/>
      <c r="AF7" s="666"/>
      <c r="AG7" s="666"/>
      <c r="AH7" s="666"/>
      <c r="AI7" s="666"/>
      <c r="AJ7" s="666"/>
      <c r="AK7" s="666"/>
      <c r="AL7" s="666"/>
      <c r="AM7" s="666"/>
      <c r="AN7" s="666"/>
      <c r="AO7" s="666"/>
      <c r="AP7" s="666"/>
      <c r="AQ7" s="667"/>
      <c r="AR7" s="666"/>
      <c r="AS7" s="666"/>
      <c r="AT7" s="666"/>
      <c r="AU7" s="666"/>
      <c r="AV7" s="666"/>
      <c r="AW7" s="666"/>
      <c r="AX7" s="666"/>
      <c r="AY7" s="666"/>
      <c r="AZ7" s="666"/>
      <c r="BA7" s="666"/>
      <c r="BB7" s="666"/>
      <c r="BC7" s="667"/>
      <c r="BD7" s="666"/>
      <c r="BE7" s="666"/>
      <c r="BF7" s="666"/>
      <c r="BG7" s="666"/>
      <c r="BH7" s="666"/>
      <c r="BI7" s="666"/>
      <c r="BJ7" s="666"/>
      <c r="BK7" s="666"/>
      <c r="BL7" s="666"/>
      <c r="BM7" s="666"/>
      <c r="BN7" s="666"/>
      <c r="BO7" s="667"/>
      <c r="BP7" s="666"/>
      <c r="BQ7" s="666"/>
      <c r="BR7" s="666"/>
      <c r="BS7" s="666"/>
      <c r="BT7" s="666"/>
      <c r="BU7" s="666"/>
      <c r="BV7" s="666"/>
      <c r="BW7" s="666"/>
      <c r="BX7" s="666"/>
      <c r="BY7" s="666"/>
      <c r="BZ7" s="666"/>
      <c r="CA7" s="667"/>
      <c r="CB7" s="666"/>
      <c r="CC7" s="666"/>
      <c r="CD7" s="666"/>
      <c r="CE7" s="666"/>
      <c r="CF7" s="666"/>
      <c r="CG7" s="666"/>
      <c r="CH7" s="666"/>
      <c r="CI7" s="666"/>
      <c r="CJ7" s="666"/>
      <c r="CK7" s="666"/>
      <c r="CL7" s="666"/>
      <c r="CM7" s="667"/>
      <c r="CN7" s="666"/>
      <c r="CO7" s="666"/>
      <c r="CP7" s="666"/>
      <c r="CQ7" s="666"/>
      <c r="CR7" s="666"/>
      <c r="CS7" s="666"/>
      <c r="CT7" s="666"/>
      <c r="CU7" s="666"/>
      <c r="CV7" s="666"/>
      <c r="CW7" s="666"/>
      <c r="CX7" s="666"/>
      <c r="CY7" s="667"/>
      <c r="CZ7" s="666"/>
      <c r="DA7" s="666"/>
      <c r="DB7" s="666"/>
      <c r="DC7" s="666"/>
      <c r="DD7" s="666"/>
      <c r="DE7" s="666"/>
      <c r="DF7" s="666"/>
      <c r="DG7" s="666"/>
      <c r="DH7" s="666"/>
      <c r="DI7" s="666"/>
      <c r="DJ7" s="666"/>
      <c r="DK7" s="667"/>
      <c r="DL7" s="666"/>
      <c r="DM7" s="666"/>
      <c r="DN7" s="666"/>
      <c r="DO7" s="666"/>
      <c r="DP7" s="666"/>
      <c r="DQ7" s="666"/>
      <c r="DR7" s="666"/>
      <c r="DS7" s="666"/>
      <c r="DT7" s="666"/>
      <c r="DU7" s="666"/>
      <c r="DV7" s="668"/>
    </row>
    <row r="8" customFormat="false" ht="13.5" hidden="false" customHeight="true" outlineLevel="0" collapsed="false">
      <c r="B8" s="21" t="s">
        <v>626</v>
      </c>
      <c r="C8" s="66"/>
      <c r="D8" s="669" t="n">
        <f aca="false">(1+IRR(F6:DV6,0.1/12))^12-1</f>
        <v>0.203566445148232</v>
      </c>
      <c r="E8" s="242"/>
      <c r="F8" s="71"/>
      <c r="G8" s="314"/>
      <c r="H8" s="71"/>
      <c r="I8" s="71"/>
      <c r="J8" s="71"/>
      <c r="K8" s="71"/>
      <c r="L8" s="71"/>
      <c r="M8" s="71"/>
      <c r="N8" s="71"/>
      <c r="O8" s="71"/>
      <c r="P8" s="71"/>
      <c r="Q8" s="242"/>
      <c r="R8" s="242"/>
      <c r="S8" s="69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69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69"/>
      <c r="AR8" s="242"/>
      <c r="AS8" s="242"/>
      <c r="AT8" s="242"/>
      <c r="AU8" s="242"/>
      <c r="AV8" s="242"/>
      <c r="AW8" s="242"/>
      <c r="AX8" s="242"/>
      <c r="AY8" s="242"/>
      <c r="AZ8" s="242"/>
      <c r="BA8" s="242"/>
      <c r="BB8" s="242"/>
      <c r="BC8" s="69"/>
      <c r="BD8" s="242"/>
      <c r="BE8" s="242"/>
      <c r="BF8" s="242"/>
      <c r="BG8" s="242"/>
      <c r="BH8" s="242"/>
      <c r="BI8" s="242"/>
      <c r="BJ8" s="242"/>
      <c r="BK8" s="242"/>
      <c r="BL8" s="242"/>
      <c r="BM8" s="242"/>
      <c r="BN8" s="242"/>
      <c r="BO8" s="69"/>
      <c r="BP8" s="242"/>
      <c r="BQ8" s="242"/>
      <c r="BR8" s="242"/>
      <c r="BS8" s="242"/>
      <c r="BT8" s="242"/>
      <c r="BU8" s="242"/>
      <c r="BV8" s="242"/>
      <c r="BW8" s="242"/>
      <c r="BX8" s="242"/>
      <c r="BY8" s="242"/>
      <c r="BZ8" s="242"/>
      <c r="CA8" s="69"/>
      <c r="CB8" s="242"/>
      <c r="CC8" s="242"/>
      <c r="CD8" s="242"/>
      <c r="CE8" s="242"/>
      <c r="CF8" s="242"/>
      <c r="CG8" s="242"/>
      <c r="CH8" s="242"/>
      <c r="CI8" s="242"/>
      <c r="CJ8" s="242"/>
      <c r="CK8" s="242"/>
      <c r="CL8" s="242"/>
      <c r="CM8" s="69"/>
      <c r="CN8" s="242"/>
      <c r="CO8" s="242"/>
      <c r="CP8" s="242"/>
      <c r="CQ8" s="242"/>
      <c r="CR8" s="242"/>
      <c r="CS8" s="242"/>
      <c r="CT8" s="242"/>
      <c r="CU8" s="242"/>
      <c r="CV8" s="242"/>
      <c r="CW8" s="242"/>
      <c r="CX8" s="242"/>
      <c r="CY8" s="69"/>
      <c r="CZ8" s="242"/>
      <c r="DA8" s="242"/>
      <c r="DB8" s="242"/>
      <c r="DC8" s="242"/>
      <c r="DD8" s="242"/>
      <c r="DE8" s="242"/>
      <c r="DF8" s="242"/>
      <c r="DG8" s="242"/>
      <c r="DH8" s="242"/>
      <c r="DI8" s="242"/>
      <c r="DJ8" s="242"/>
      <c r="DK8" s="69"/>
      <c r="DL8" s="242"/>
      <c r="DM8" s="242"/>
      <c r="DN8" s="242"/>
      <c r="DO8" s="242"/>
      <c r="DP8" s="242"/>
      <c r="DQ8" s="242"/>
      <c r="DR8" s="242"/>
      <c r="DS8" s="242"/>
      <c r="DT8" s="242"/>
      <c r="DU8" s="242"/>
      <c r="DV8" s="243"/>
    </row>
    <row r="9" customFormat="false" ht="13.5" hidden="false" customHeight="true" outlineLevel="0" collapsed="false">
      <c r="B9" s="75" t="s">
        <v>627</v>
      </c>
      <c r="C9" s="469"/>
      <c r="D9" s="670" t="e">
        <f aca="false">(D12+D21)/(D13+D24)</f>
        <v>#VALUE!</v>
      </c>
      <c r="E9" s="242"/>
      <c r="F9" s="71"/>
      <c r="G9" s="314"/>
      <c r="H9" s="71"/>
      <c r="I9" s="71"/>
      <c r="J9" s="71"/>
      <c r="K9" s="71"/>
      <c r="L9" s="71"/>
      <c r="M9" s="71"/>
      <c r="N9" s="71"/>
      <c r="O9" s="71"/>
      <c r="P9" s="71"/>
      <c r="Q9" s="242"/>
      <c r="R9" s="242"/>
      <c r="S9" s="69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69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69"/>
      <c r="AR9" s="242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69"/>
      <c r="BD9" s="242"/>
      <c r="BE9" s="242"/>
      <c r="BF9" s="242"/>
      <c r="BG9" s="242"/>
      <c r="BH9" s="242"/>
      <c r="BI9" s="242"/>
      <c r="BJ9" s="242"/>
      <c r="BK9" s="242"/>
      <c r="BL9" s="242"/>
      <c r="BM9" s="242"/>
      <c r="BN9" s="242"/>
      <c r="BO9" s="69"/>
      <c r="BP9" s="242"/>
      <c r="BQ9" s="242"/>
      <c r="BR9" s="242"/>
      <c r="BS9" s="242"/>
      <c r="BT9" s="242"/>
      <c r="BU9" s="242"/>
      <c r="BV9" s="242"/>
      <c r="BW9" s="242"/>
      <c r="BX9" s="242"/>
      <c r="BY9" s="242"/>
      <c r="BZ9" s="242"/>
      <c r="CA9" s="69"/>
      <c r="CB9" s="242"/>
      <c r="CC9" s="242"/>
      <c r="CD9" s="242"/>
      <c r="CE9" s="242"/>
      <c r="CF9" s="242"/>
      <c r="CG9" s="242"/>
      <c r="CH9" s="242"/>
      <c r="CI9" s="242"/>
      <c r="CJ9" s="242"/>
      <c r="CK9" s="242"/>
      <c r="CL9" s="242"/>
      <c r="CM9" s="69"/>
      <c r="CN9" s="242"/>
      <c r="CO9" s="242"/>
      <c r="CP9" s="242"/>
      <c r="CQ9" s="242"/>
      <c r="CR9" s="242"/>
      <c r="CS9" s="242"/>
      <c r="CT9" s="242"/>
      <c r="CU9" s="242"/>
      <c r="CV9" s="242"/>
      <c r="CW9" s="242"/>
      <c r="CX9" s="242"/>
      <c r="CY9" s="69"/>
      <c r="CZ9" s="242"/>
      <c r="DA9" s="242"/>
      <c r="DB9" s="242"/>
      <c r="DC9" s="242"/>
      <c r="DD9" s="242"/>
      <c r="DE9" s="242"/>
      <c r="DF9" s="242"/>
      <c r="DG9" s="242"/>
      <c r="DH9" s="242"/>
      <c r="DI9" s="242"/>
      <c r="DJ9" s="242"/>
      <c r="DK9" s="69"/>
      <c r="DL9" s="242"/>
      <c r="DM9" s="242"/>
      <c r="DN9" s="242"/>
      <c r="DO9" s="242"/>
      <c r="DP9" s="242"/>
      <c r="DQ9" s="242"/>
      <c r="DR9" s="242"/>
      <c r="DS9" s="242"/>
      <c r="DT9" s="242"/>
      <c r="DU9" s="242"/>
      <c r="DV9" s="243"/>
    </row>
    <row r="10" customFormat="false" ht="13.5" hidden="false" customHeight="true" outlineLevel="0" collapsed="false">
      <c r="B10" s="69"/>
      <c r="C10" s="671"/>
      <c r="D10" s="672"/>
      <c r="E10" s="655"/>
      <c r="F10" s="656"/>
      <c r="G10" s="673"/>
      <c r="H10" s="27"/>
      <c r="I10" s="27"/>
      <c r="J10" s="71"/>
      <c r="K10" s="71"/>
      <c r="L10" s="71"/>
      <c r="M10" s="71"/>
      <c r="N10" s="71"/>
      <c r="O10" s="71"/>
      <c r="P10" s="71"/>
      <c r="Q10" s="242"/>
      <c r="R10" s="242"/>
      <c r="S10" s="69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69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  <c r="AP10" s="242"/>
      <c r="AQ10" s="69"/>
      <c r="AR10" s="242"/>
      <c r="AS10" s="242"/>
      <c r="AT10" s="242"/>
      <c r="AU10" s="242"/>
      <c r="AV10" s="242"/>
      <c r="AW10" s="242"/>
      <c r="AX10" s="242"/>
      <c r="AY10" s="242"/>
      <c r="AZ10" s="242"/>
      <c r="BA10" s="242"/>
      <c r="BB10" s="242"/>
      <c r="BC10" s="69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69"/>
      <c r="BP10" s="242"/>
      <c r="BQ10" s="242"/>
      <c r="BR10" s="242"/>
      <c r="BS10" s="242"/>
      <c r="BT10" s="242"/>
      <c r="BU10" s="242"/>
      <c r="BV10" s="242"/>
      <c r="BW10" s="242"/>
      <c r="BX10" s="242"/>
      <c r="BY10" s="242"/>
      <c r="BZ10" s="242"/>
      <c r="CA10" s="69"/>
      <c r="CB10" s="242"/>
      <c r="CC10" s="242"/>
      <c r="CD10" s="242"/>
      <c r="CE10" s="242"/>
      <c r="CF10" s="242"/>
      <c r="CG10" s="242"/>
      <c r="CH10" s="242"/>
      <c r="CI10" s="242"/>
      <c r="CJ10" s="242"/>
      <c r="CK10" s="242"/>
      <c r="CL10" s="242"/>
      <c r="CM10" s="69"/>
      <c r="CN10" s="242"/>
      <c r="CO10" s="242"/>
      <c r="CP10" s="242"/>
      <c r="CQ10" s="242"/>
      <c r="CR10" s="242"/>
      <c r="CS10" s="242"/>
      <c r="CT10" s="242"/>
      <c r="CU10" s="242"/>
      <c r="CV10" s="242"/>
      <c r="CW10" s="242"/>
      <c r="CX10" s="242"/>
      <c r="CY10" s="69"/>
      <c r="CZ10" s="242"/>
      <c r="DA10" s="242"/>
      <c r="DB10" s="242"/>
      <c r="DC10" s="242"/>
      <c r="DD10" s="242"/>
      <c r="DE10" s="242"/>
      <c r="DF10" s="242"/>
      <c r="DG10" s="242"/>
      <c r="DH10" s="242"/>
      <c r="DI10" s="242"/>
      <c r="DJ10" s="242"/>
      <c r="DK10" s="69"/>
      <c r="DL10" s="242"/>
      <c r="DM10" s="242"/>
      <c r="DN10" s="242"/>
      <c r="DO10" s="242"/>
      <c r="DP10" s="242"/>
      <c r="DQ10" s="242"/>
      <c r="DR10" s="242"/>
      <c r="DS10" s="242"/>
      <c r="DT10" s="242"/>
      <c r="DU10" s="242"/>
      <c r="DV10" s="243"/>
    </row>
    <row r="11" s="683" customFormat="true" ht="13.5" hidden="false" customHeight="true" outlineLevel="0" collapsed="false">
      <c r="A11" s="236"/>
      <c r="B11" s="674" t="s">
        <v>628</v>
      </c>
      <c r="C11" s="239"/>
      <c r="D11" s="675"/>
      <c r="E11" s="676"/>
      <c r="F11" s="677"/>
      <c r="G11" s="678"/>
      <c r="H11" s="679"/>
      <c r="I11" s="679"/>
      <c r="J11" s="679"/>
      <c r="K11" s="679"/>
      <c r="L11" s="679"/>
      <c r="M11" s="679"/>
      <c r="N11" s="679"/>
      <c r="O11" s="679"/>
      <c r="P11" s="679"/>
      <c r="Q11" s="680"/>
      <c r="R11" s="680"/>
      <c r="S11" s="681"/>
      <c r="T11" s="680"/>
      <c r="U11" s="680"/>
      <c r="V11" s="680"/>
      <c r="W11" s="680"/>
      <c r="X11" s="680"/>
      <c r="Y11" s="680"/>
      <c r="Z11" s="680"/>
      <c r="AA11" s="680"/>
      <c r="AB11" s="680"/>
      <c r="AC11" s="680"/>
      <c r="AD11" s="680"/>
      <c r="AE11" s="681"/>
      <c r="AF11" s="680"/>
      <c r="AG11" s="680"/>
      <c r="AH11" s="680"/>
      <c r="AI11" s="680"/>
      <c r="AJ11" s="680"/>
      <c r="AK11" s="680"/>
      <c r="AL11" s="680"/>
      <c r="AM11" s="680"/>
      <c r="AN11" s="680"/>
      <c r="AO11" s="680"/>
      <c r="AP11" s="680"/>
      <c r="AQ11" s="681"/>
      <c r="AR11" s="680"/>
      <c r="AS11" s="680"/>
      <c r="AT11" s="680"/>
      <c r="AU11" s="680"/>
      <c r="AV11" s="680"/>
      <c r="AW11" s="680"/>
      <c r="AX11" s="680"/>
      <c r="AY11" s="680"/>
      <c r="AZ11" s="680"/>
      <c r="BA11" s="680"/>
      <c r="BB11" s="680"/>
      <c r="BC11" s="681"/>
      <c r="BD11" s="680"/>
      <c r="BE11" s="680"/>
      <c r="BF11" s="680"/>
      <c r="BG11" s="680"/>
      <c r="BH11" s="680"/>
      <c r="BI11" s="680"/>
      <c r="BJ11" s="680"/>
      <c r="BK11" s="680"/>
      <c r="BL11" s="680"/>
      <c r="BM11" s="680"/>
      <c r="BN11" s="680"/>
      <c r="BO11" s="681"/>
      <c r="BP11" s="680"/>
      <c r="BQ11" s="680"/>
      <c r="BR11" s="680"/>
      <c r="BS11" s="680"/>
      <c r="BT11" s="680"/>
      <c r="BU11" s="680"/>
      <c r="BV11" s="680"/>
      <c r="BW11" s="680"/>
      <c r="BX11" s="680"/>
      <c r="BY11" s="680"/>
      <c r="BZ11" s="680"/>
      <c r="CA11" s="681"/>
      <c r="CB11" s="680"/>
      <c r="CC11" s="680"/>
      <c r="CD11" s="680"/>
      <c r="CE11" s="680"/>
      <c r="CF11" s="680"/>
      <c r="CG11" s="680"/>
      <c r="CH11" s="680"/>
      <c r="CI11" s="680"/>
      <c r="CJ11" s="680"/>
      <c r="CK11" s="680"/>
      <c r="CL11" s="680"/>
      <c r="CM11" s="681"/>
      <c r="CN11" s="680"/>
      <c r="CO11" s="680"/>
      <c r="CP11" s="680"/>
      <c r="CQ11" s="680"/>
      <c r="CR11" s="680"/>
      <c r="CS11" s="680"/>
      <c r="CT11" s="680"/>
      <c r="CU11" s="680"/>
      <c r="CV11" s="680"/>
      <c r="CW11" s="680"/>
      <c r="CX11" s="680"/>
      <c r="CY11" s="681"/>
      <c r="CZ11" s="680"/>
      <c r="DA11" s="680"/>
      <c r="DB11" s="680"/>
      <c r="DC11" s="680"/>
      <c r="DD11" s="680"/>
      <c r="DE11" s="680"/>
      <c r="DF11" s="680"/>
      <c r="DG11" s="680"/>
      <c r="DH11" s="680"/>
      <c r="DI11" s="680"/>
      <c r="DJ11" s="680"/>
      <c r="DK11" s="681"/>
      <c r="DL11" s="680"/>
      <c r="DM11" s="680"/>
      <c r="DN11" s="680"/>
      <c r="DO11" s="680"/>
      <c r="DP11" s="680"/>
      <c r="DQ11" s="680"/>
      <c r="DR11" s="680"/>
      <c r="DS11" s="680"/>
      <c r="DT11" s="680"/>
      <c r="DU11" s="680"/>
      <c r="DV11" s="682"/>
    </row>
    <row r="12" s="683" customFormat="true" ht="13.5" hidden="false" customHeight="true" outlineLevel="0" collapsed="false">
      <c r="A12" s="236"/>
      <c r="B12" s="684" t="s">
        <v>629</v>
      </c>
      <c r="C12" s="242"/>
      <c r="D12" s="685" t="e">
        <f aca="false">SUM(F12:DV12)</f>
        <v>#VALUE!</v>
      </c>
      <c r="E12" s="655"/>
      <c r="F12" s="685" t="e">
        <f aca="false">IF(F5="","",F37+F51+F65+F71)</f>
        <v>#VALUE!</v>
      </c>
      <c r="G12" s="436" t="e">
        <f aca="false">IF(G5="","",G37+G51+G65+G71)</f>
        <v>#VALUE!</v>
      </c>
      <c r="H12" s="685" t="e">
        <f aca="false">IF(H5="","",H37+H51+H65+H71)</f>
        <v>#VALUE!</v>
      </c>
      <c r="I12" s="685" t="e">
        <f aca="false">IF(I5="","",I37+I51+I65+I71)</f>
        <v>#VALUE!</v>
      </c>
      <c r="J12" s="685" t="e">
        <f aca="false">IF(J5="","",J37+J51+J65+J71)</f>
        <v>#VALUE!</v>
      </c>
      <c r="K12" s="685" t="e">
        <f aca="false">IF(K5="","",K37+K51+K65+K71)</f>
        <v>#VALUE!</v>
      </c>
      <c r="L12" s="685" t="e">
        <f aca="false">IF(L5="","",L37+L51+L65+L71)</f>
        <v>#VALUE!</v>
      </c>
      <c r="M12" s="685" t="e">
        <f aca="false">IF(M5="","",M37+M51+M65+M71)</f>
        <v>#VALUE!</v>
      </c>
      <c r="N12" s="685" t="e">
        <f aca="false">IF(N5="","",N37+N51+N65+N71)</f>
        <v>#VALUE!</v>
      </c>
      <c r="O12" s="685" t="e">
        <f aca="false">IF(O5="","",O37+O51+O65+O71)</f>
        <v>#VALUE!</v>
      </c>
      <c r="P12" s="685" t="e">
        <f aca="false">IF(P5="","",P37+P51+P65+P71)</f>
        <v>#VALUE!</v>
      </c>
      <c r="Q12" s="685" t="e">
        <f aca="false">IF(Q5="","",Q37+Q51+Q65+Q71)</f>
        <v>#VALUE!</v>
      </c>
      <c r="R12" s="685" t="e">
        <f aca="false">IF(R5="","",R37+R51+R65+R71)</f>
        <v>#VALUE!</v>
      </c>
      <c r="S12" s="436" t="e">
        <f aca="false">IF(S5="","",S37+S51+S65+S71)</f>
        <v>#VALUE!</v>
      </c>
      <c r="T12" s="685" t="e">
        <f aca="false">IF(T5="","",T37+T51+T65+T71)</f>
        <v>#VALUE!</v>
      </c>
      <c r="U12" s="685" t="e">
        <f aca="false">IF(U5="","",U37+U51+U65+U71)</f>
        <v>#VALUE!</v>
      </c>
      <c r="V12" s="685" t="e">
        <f aca="false">IF(V5="","",V37+V51+V65+V71)</f>
        <v>#VALUE!</v>
      </c>
      <c r="W12" s="685" t="e">
        <f aca="false">IF(W5="","",W37+W51+W65+W71)</f>
        <v>#VALUE!</v>
      </c>
      <c r="X12" s="685" t="e">
        <f aca="false">IF(X5="","",X37+X51+X65+X71)</f>
        <v>#VALUE!</v>
      </c>
      <c r="Y12" s="685" t="e">
        <f aca="false">IF(Y5="","",Y37+Y51+Y65+Y71)</f>
        <v>#VALUE!</v>
      </c>
      <c r="Z12" s="685" t="e">
        <f aca="false">IF(Z5="","",Z37+Z51+Z65+Z71)</f>
        <v>#VALUE!</v>
      </c>
      <c r="AA12" s="685" t="e">
        <f aca="false">IF(AA5="","",AA37+AA51+AA65+AA71)</f>
        <v>#VALUE!</v>
      </c>
      <c r="AB12" s="685" t="e">
        <f aca="false">IF(AB5="","",AB37+AB51+AB65+AB71)</f>
        <v>#VALUE!</v>
      </c>
      <c r="AC12" s="685" t="e">
        <f aca="false">IF(AC5="","",AC37+AC51+AC65+AC71)</f>
        <v>#VALUE!</v>
      </c>
      <c r="AD12" s="685" t="e">
        <f aca="false">IF(AD5="","",AD37+AD51+AD65+AD71)</f>
        <v>#VALUE!</v>
      </c>
      <c r="AE12" s="436" t="e">
        <f aca="false">IF(AE5="","",AE37+AE51+AE65+AE71)</f>
        <v>#VALUE!</v>
      </c>
      <c r="AF12" s="685" t="e">
        <f aca="false">IF(AF5="","",AF37+AF51+AF65+AF71)</f>
        <v>#VALUE!</v>
      </c>
      <c r="AG12" s="685" t="e">
        <f aca="false">IF(AG5="","",AG37+AG51+AG65+AG71)</f>
        <v>#VALUE!</v>
      </c>
      <c r="AH12" s="685" t="e">
        <f aca="false">IF(AH5="","",AH37+AH51+AH65+AH71)</f>
        <v>#VALUE!</v>
      </c>
      <c r="AI12" s="685" t="e">
        <f aca="false">IF(AI5="","",AI37+AI51+AI65+AI71)</f>
        <v>#VALUE!</v>
      </c>
      <c r="AJ12" s="685" t="e">
        <f aca="false">IF(AJ5="","",AJ37+AJ51+AJ65+AJ71)</f>
        <v>#VALUE!</v>
      </c>
      <c r="AK12" s="685" t="e">
        <f aca="false">IF(AK5="","",AK37+AK51+AK65+AK71)</f>
        <v>#VALUE!</v>
      </c>
      <c r="AL12" s="685" t="e">
        <f aca="false">IF(AL5="","",AL37+AL51+AL65+AL71)</f>
        <v>#VALUE!</v>
      </c>
      <c r="AM12" s="685" t="e">
        <f aca="false">IF(AM5="","",AM37+AM51+AM65+AM71)</f>
        <v>#VALUE!</v>
      </c>
      <c r="AN12" s="685" t="e">
        <f aca="false">IF(AN5="","",AN37+AN51+AN65+AN71)</f>
        <v>#VALUE!</v>
      </c>
      <c r="AO12" s="685" t="e">
        <f aca="false">IF(AO5="","",AO37+AO51+AO65+AO71)</f>
        <v>#VALUE!</v>
      </c>
      <c r="AP12" s="685" t="e">
        <f aca="false">IF(AP5="","",AP37+AP51+AP65+AP71)</f>
        <v>#VALUE!</v>
      </c>
      <c r="AQ12" s="436" t="e">
        <f aca="false">IF(AQ5="","",AQ37+AQ51+AQ65+AQ71)</f>
        <v>#VALUE!</v>
      </c>
      <c r="AR12" s="685" t="e">
        <f aca="false">IF(AR5="","",AR37+AR51+AR65+AR71)</f>
        <v>#VALUE!</v>
      </c>
      <c r="AS12" s="685" t="e">
        <f aca="false">IF(AS5="","",AS37+AS51+AS65+AS71)</f>
        <v>#VALUE!</v>
      </c>
      <c r="AT12" s="685" t="e">
        <f aca="false">IF(AT5="","",AT37+AT51+AT65+AT71)</f>
        <v>#VALUE!</v>
      </c>
      <c r="AU12" s="685" t="e">
        <f aca="false">IF(AU5="","",AU37+AU51+AU65+AU71)</f>
        <v>#VALUE!</v>
      </c>
      <c r="AV12" s="685" t="e">
        <f aca="false">IF(AV5="","",AV37+AV51+AV65+AV71)</f>
        <v>#VALUE!</v>
      </c>
      <c r="AW12" s="685" t="e">
        <f aca="false">IF(AW5="","",AW37+AW51+AW65+AW71)</f>
        <v>#VALUE!</v>
      </c>
      <c r="AX12" s="685" t="e">
        <f aca="false">IF(AX5="","",AX37+AX51+AX65+AX71)</f>
        <v>#VALUE!</v>
      </c>
      <c r="AY12" s="685" t="e">
        <f aca="false">IF(AY5="","",AY37+AY51+AY65+AY71)</f>
        <v>#VALUE!</v>
      </c>
      <c r="AZ12" s="685" t="e">
        <f aca="false">IF(AZ5="","",AZ37+AZ51+AZ65+AZ71)</f>
        <v>#VALUE!</v>
      </c>
      <c r="BA12" s="685" t="e">
        <f aca="false">IF(BA5="","",BA37+BA51+BA65+BA71)</f>
        <v>#VALUE!</v>
      </c>
      <c r="BB12" s="685" t="e">
        <f aca="false">IF(BB5="","",BB37+BB51+BB65+BB71)</f>
        <v>#VALUE!</v>
      </c>
      <c r="BC12" s="436" t="e">
        <f aca="false">IF(BC5="","",BC37+BC51+BC65+BC71)</f>
        <v>#VALUE!</v>
      </c>
      <c r="BD12" s="685" t="e">
        <f aca="false">IF(BD5="","",BD37+BD51+BD65+BD71)</f>
        <v>#VALUE!</v>
      </c>
      <c r="BE12" s="685" t="e">
        <f aca="false">IF(BE5="","",BE37+BE51+BE65+BE71)</f>
        <v>#VALUE!</v>
      </c>
      <c r="BF12" s="685" t="e">
        <f aca="false">IF(BF5="","",BF37+BF51+BF65+BF71)</f>
        <v>#VALUE!</v>
      </c>
      <c r="BG12" s="685" t="e">
        <f aca="false">IF(BG5="","",BG37+BG51+BG65+BG71)</f>
        <v>#VALUE!</v>
      </c>
      <c r="BH12" s="685" t="e">
        <f aca="false">IF(BH5="","",BH37+BH51+BH65+BH71)</f>
        <v>#VALUE!</v>
      </c>
      <c r="BI12" s="685" t="e">
        <f aca="false">IF(BI5="","",BI37+BI51+BI65+BI71)</f>
        <v>#VALUE!</v>
      </c>
      <c r="BJ12" s="685" t="e">
        <f aca="false">IF(BJ5="","",BJ37+BJ51+BJ65+BJ71)</f>
        <v>#VALUE!</v>
      </c>
      <c r="BK12" s="685" t="e">
        <f aca="false">IF(BK5="","",BK37+BK51+BK65+BK71)</f>
        <v>#VALUE!</v>
      </c>
      <c r="BL12" s="685" t="e">
        <f aca="false">IF(BL5="","",BL37+BL51+BL65+BL71)</f>
        <v>#VALUE!</v>
      </c>
      <c r="BM12" s="685" t="e">
        <f aca="false">IF(BM5="","",BM37+BM51+BM65+BM71)</f>
        <v>#VALUE!</v>
      </c>
      <c r="BN12" s="685" t="e">
        <f aca="false">IF(BN5="","",BN37+BN51+BN65+BN71)</f>
        <v>#VALUE!</v>
      </c>
      <c r="BO12" s="436" t="e">
        <f aca="false">IF(BO5="","",BO37+BO51+BO65+BO71)</f>
        <v>#VALUE!</v>
      </c>
      <c r="BP12" s="685" t="e">
        <f aca="false">IF(BP5="","",BP37+BP51+BP65+BP71)</f>
        <v>#VALUE!</v>
      </c>
      <c r="BQ12" s="685" t="e">
        <f aca="false">IF(BQ5="","",BQ37+BQ51+BQ65+BQ71)</f>
        <v>#VALUE!</v>
      </c>
      <c r="BR12" s="685" t="e">
        <f aca="false">IF(BR5="","",BR37+BR51+BR65+BR71)</f>
        <v>#VALUE!</v>
      </c>
      <c r="BS12" s="685" t="e">
        <f aca="false">IF(BS5="","",BS37+BS51+BS65+BS71)</f>
        <v>#VALUE!</v>
      </c>
      <c r="BT12" s="685" t="e">
        <f aca="false">IF(BT5="","",BT37+BT51+BT65+BT71)</f>
        <v>#VALUE!</v>
      </c>
      <c r="BU12" s="685" t="e">
        <f aca="false">IF(BU5="","",BU37+BU51+BU65+BU71)</f>
        <v>#VALUE!</v>
      </c>
      <c r="BV12" s="685" t="e">
        <f aca="false">IF(BV5="","",BV37+BV51+BV65+BV71)</f>
        <v>#VALUE!</v>
      </c>
      <c r="BW12" s="685" t="e">
        <f aca="false">IF(BW5="","",BW37+BW51+BW65+BW71)</f>
        <v>#VALUE!</v>
      </c>
      <c r="BX12" s="685" t="e">
        <f aca="false">IF(BX5="","",BX37+BX51+BX65+BX71)</f>
        <v>#VALUE!</v>
      </c>
      <c r="BY12" s="685" t="e">
        <f aca="false">IF(BY5="","",BY37+BY51+BY65+BY71)</f>
        <v>#VALUE!</v>
      </c>
      <c r="BZ12" s="685" t="e">
        <f aca="false">IF(BZ5="","",BZ37+BZ51+BZ65+BZ71)</f>
        <v>#VALUE!</v>
      </c>
      <c r="CA12" s="436" t="e">
        <f aca="false">IF(CA5="","",CA37+CA51+CA65+CA71)</f>
        <v>#VALUE!</v>
      </c>
      <c r="CB12" s="685" t="e">
        <f aca="false">IF(CB5="","",CB37+CB51+CB65+CB71)</f>
        <v>#VALUE!</v>
      </c>
      <c r="CC12" s="685" t="e">
        <f aca="false">IF(CC5="","",CC37+CC51+CC65+CC71)</f>
        <v>#VALUE!</v>
      </c>
      <c r="CD12" s="685" t="e">
        <f aca="false">IF(CD5="","",CD37+CD51+CD65+CD71)</f>
        <v>#VALUE!</v>
      </c>
      <c r="CE12" s="685" t="e">
        <f aca="false">IF(CE5="","",CE37+CE51+CE65+CE71)</f>
        <v>#VALUE!</v>
      </c>
      <c r="CF12" s="685" t="e">
        <f aca="false">IF(CF5="","",CF37+CF51+CF65+CF71)</f>
        <v>#VALUE!</v>
      </c>
      <c r="CG12" s="685" t="e">
        <f aca="false">IF(CG5="","",CG37+CG51+CG65+CG71)</f>
        <v>#VALUE!</v>
      </c>
      <c r="CH12" s="685" t="e">
        <f aca="false">IF(CH5="","",CH37+CH51+CH65+CH71)</f>
        <v>#VALUE!</v>
      </c>
      <c r="CI12" s="685" t="e">
        <f aca="false">IF(CI5="","",CI37+CI51+CI65+CI71)</f>
        <v>#VALUE!</v>
      </c>
      <c r="CJ12" s="685" t="e">
        <f aca="false">IF(CJ5="","",CJ37+CJ51+CJ65+CJ71)</f>
        <v>#VALUE!</v>
      </c>
      <c r="CK12" s="685" t="e">
        <f aca="false">IF(CK5="","",CK37+CK51+CK65+CK71)</f>
        <v>#VALUE!</v>
      </c>
      <c r="CL12" s="685" t="e">
        <f aca="false">IF(CL5="","",CL37+CL51+CL65+CL71)</f>
        <v>#VALUE!</v>
      </c>
      <c r="CM12" s="436" t="e">
        <f aca="false">IF(CM5="","",CM37+CM51+CM65+CM71)</f>
        <v>#VALUE!</v>
      </c>
      <c r="CN12" s="685" t="e">
        <f aca="false">IF(CN5="","",CN37+CN51+CN65+CN71)</f>
        <v>#VALUE!</v>
      </c>
      <c r="CO12" s="685" t="e">
        <f aca="false">IF(CO5="","",CO37+CO51+CO65+CO71)</f>
        <v>#VALUE!</v>
      </c>
      <c r="CP12" s="685" t="e">
        <f aca="false">IF(CP5="","",CP37+CP51+CP65+CP71)</f>
        <v>#VALUE!</v>
      </c>
      <c r="CQ12" s="685" t="e">
        <f aca="false">IF(CQ5="","",CQ37+CQ51+CQ65+CQ71)</f>
        <v>#VALUE!</v>
      </c>
      <c r="CR12" s="685" t="e">
        <f aca="false">IF(CR5="","",CR37+CR51+CR65+CR71)</f>
        <v>#VALUE!</v>
      </c>
      <c r="CS12" s="685" t="e">
        <f aca="false">IF(CS5="","",CS37+CS51+CS65+CS71)</f>
        <v>#VALUE!</v>
      </c>
      <c r="CT12" s="685" t="e">
        <f aca="false">IF(CT5="","",CT37+CT51+CT65+CT71)</f>
        <v>#VALUE!</v>
      </c>
      <c r="CU12" s="685" t="e">
        <f aca="false">IF(CU5="","",CU37+CU51+CU65+CU71)</f>
        <v>#VALUE!</v>
      </c>
      <c r="CV12" s="685" t="e">
        <f aca="false">IF(CV5="","",CV37+CV51+CV65+CV71)</f>
        <v>#VALUE!</v>
      </c>
      <c r="CW12" s="685" t="e">
        <f aca="false">IF(CW5="","",CW37+CW51+CW65+CW71)</f>
        <v>#VALUE!</v>
      </c>
      <c r="CX12" s="685" t="e">
        <f aca="false">IF(CX5="","",CX37+CX51+CX65+CX71)</f>
        <v>#VALUE!</v>
      </c>
      <c r="CY12" s="436" t="e">
        <f aca="false">IF(CY5="","",CY37+CY51+CY65+CY71)</f>
        <v>#VALUE!</v>
      </c>
      <c r="CZ12" s="685" t="e">
        <f aca="false">IF(CZ5="","",CZ37+CZ51+CZ65+CZ71)</f>
        <v>#VALUE!</v>
      </c>
      <c r="DA12" s="685" t="e">
        <f aca="false">IF(DA5="","",DA37+DA51+DA65+DA71)</f>
        <v>#VALUE!</v>
      </c>
      <c r="DB12" s="685" t="e">
        <f aca="false">IF(DB5="","",DB37+DB51+DB65+DB71)</f>
        <v>#VALUE!</v>
      </c>
      <c r="DC12" s="685" t="e">
        <f aca="false">IF(DC5="","",DC37+DC51+DC65+DC71)</f>
        <v>#VALUE!</v>
      </c>
      <c r="DD12" s="685" t="e">
        <f aca="false">IF(DD5="","",DD37+DD51+DD65+DD71)</f>
        <v>#VALUE!</v>
      </c>
      <c r="DE12" s="685" t="e">
        <f aca="false">IF(DE5="","",DE37+DE51+DE65+DE71)</f>
        <v>#VALUE!</v>
      </c>
      <c r="DF12" s="685" t="e">
        <f aca="false">IF(DF5="","",DF37+DF51+DF65+DF71)</f>
        <v>#VALUE!</v>
      </c>
      <c r="DG12" s="685" t="e">
        <f aca="false">IF(DG5="","",DG37+DG51+DG65+DG71)</f>
        <v>#VALUE!</v>
      </c>
      <c r="DH12" s="685" t="e">
        <f aca="false">IF(DH5="","",DH37+DH51+DH65+DH71)</f>
        <v>#VALUE!</v>
      </c>
      <c r="DI12" s="685" t="e">
        <f aca="false">IF(DI5="","",DI37+DI51+DI65+DI71)</f>
        <v>#VALUE!</v>
      </c>
      <c r="DJ12" s="685" t="e">
        <f aca="false">IF(DJ5="","",DJ37+DJ51+DJ65+DJ71)</f>
        <v>#VALUE!</v>
      </c>
      <c r="DK12" s="436" t="e">
        <f aca="false">IF(DK5="","",DK37+DK51+DK65+DK71)</f>
        <v>#VALUE!</v>
      </c>
      <c r="DL12" s="685" t="e">
        <f aca="false">IF(DL5="","",DL37+DL51+DL65+DL71)</f>
        <v>#VALUE!</v>
      </c>
      <c r="DM12" s="685" t="e">
        <f aca="false">IF(DM5="","",DM37+DM51+DM65+DM71)</f>
        <v>#VALUE!</v>
      </c>
      <c r="DN12" s="685" t="e">
        <f aca="false">IF(DN5="","",DN37+DN51+DN65+DN71)</f>
        <v>#VALUE!</v>
      </c>
      <c r="DO12" s="685" t="e">
        <f aca="false">IF(DO5="","",DO37+DO51+DO65+DO71)</f>
        <v>#VALUE!</v>
      </c>
      <c r="DP12" s="685" t="e">
        <f aca="false">IF(DP5="","",DP37+DP51+DP65+DP71)</f>
        <v>#VALUE!</v>
      </c>
      <c r="DQ12" s="685" t="e">
        <f aca="false">IF(DQ5="","",DQ37+DQ51+DQ65+DQ71)</f>
        <v>#VALUE!</v>
      </c>
      <c r="DR12" s="685" t="e">
        <f aca="false">IF(DR5="","",DR37+DR51+DR65+DR71)</f>
        <v>#VALUE!</v>
      </c>
      <c r="DS12" s="685" t="e">
        <f aca="false">IF(DS5="","",DS37+DS51+DS65+DS71)</f>
        <v>#VALUE!</v>
      </c>
      <c r="DT12" s="685" t="e">
        <f aca="false">IF(DT5="","",DT37+DT51+DT65+DT71)</f>
        <v>#VALUE!</v>
      </c>
      <c r="DU12" s="685" t="e">
        <f aca="false">IF(DU5="","",DU37+DU51+DU65+DU71)</f>
        <v>#VALUE!</v>
      </c>
      <c r="DV12" s="686" t="e">
        <f aca="false">IF(DV5="","",DV37+DV51+DV65+DV71)</f>
        <v>#VALUE!</v>
      </c>
    </row>
    <row r="13" s="683" customFormat="true" ht="13.5" hidden="false" customHeight="true" outlineLevel="0" collapsed="false">
      <c r="A13" s="236"/>
      <c r="B13" s="684" t="s">
        <v>630</v>
      </c>
      <c r="C13" s="242"/>
      <c r="D13" s="685" t="e">
        <f aca="false">SUM(F13:DV13)</f>
        <v>#VALUE!</v>
      </c>
      <c r="E13" s="655"/>
      <c r="F13" s="685" t="str">
        <f aca="false">F33</f>
        <v/>
      </c>
      <c r="G13" s="436" t="e">
        <f aca="false">G33</f>
        <v>#VALUE!</v>
      </c>
      <c r="H13" s="685" t="e">
        <f aca="false">H33</f>
        <v>#VALUE!</v>
      </c>
      <c r="I13" s="685" t="e">
        <f aca="false">I33</f>
        <v>#VALUE!</v>
      </c>
      <c r="J13" s="685" t="e">
        <f aca="false">J33</f>
        <v>#VALUE!</v>
      </c>
      <c r="K13" s="685" t="e">
        <f aca="false">K33</f>
        <v>#VALUE!</v>
      </c>
      <c r="L13" s="685" t="e">
        <f aca="false">L33</f>
        <v>#VALUE!</v>
      </c>
      <c r="M13" s="685" t="e">
        <f aca="false">M33</f>
        <v>#VALUE!</v>
      </c>
      <c r="N13" s="685" t="e">
        <f aca="false">N33</f>
        <v>#VALUE!</v>
      </c>
      <c r="O13" s="685" t="e">
        <f aca="false">O33</f>
        <v>#VALUE!</v>
      </c>
      <c r="P13" s="685" t="e">
        <f aca="false">P33</f>
        <v>#VALUE!</v>
      </c>
      <c r="Q13" s="685" t="e">
        <f aca="false">Q33</f>
        <v>#VALUE!</v>
      </c>
      <c r="R13" s="685" t="e">
        <f aca="false">R33</f>
        <v>#VALUE!</v>
      </c>
      <c r="S13" s="436" t="e">
        <f aca="false">S33</f>
        <v>#VALUE!</v>
      </c>
      <c r="T13" s="685" t="e">
        <f aca="false">T33</f>
        <v>#VALUE!</v>
      </c>
      <c r="U13" s="685" t="e">
        <f aca="false">U33</f>
        <v>#VALUE!</v>
      </c>
      <c r="V13" s="685" t="e">
        <f aca="false">V33</f>
        <v>#VALUE!</v>
      </c>
      <c r="W13" s="685" t="e">
        <f aca="false">W33</f>
        <v>#VALUE!</v>
      </c>
      <c r="X13" s="685" t="e">
        <f aca="false">X33</f>
        <v>#VALUE!</v>
      </c>
      <c r="Y13" s="685" t="e">
        <f aca="false">Y33</f>
        <v>#VALUE!</v>
      </c>
      <c r="Z13" s="685" t="e">
        <f aca="false">Z33</f>
        <v>#VALUE!</v>
      </c>
      <c r="AA13" s="685" t="e">
        <f aca="false">AA33</f>
        <v>#VALUE!</v>
      </c>
      <c r="AB13" s="685" t="e">
        <f aca="false">AB33</f>
        <v>#VALUE!</v>
      </c>
      <c r="AC13" s="685" t="e">
        <f aca="false">AC33</f>
        <v>#VALUE!</v>
      </c>
      <c r="AD13" s="685" t="e">
        <f aca="false">AD33</f>
        <v>#VALUE!</v>
      </c>
      <c r="AE13" s="436" t="e">
        <f aca="false">AE33</f>
        <v>#VALUE!</v>
      </c>
      <c r="AF13" s="685" t="e">
        <f aca="false">AF33</f>
        <v>#VALUE!</v>
      </c>
      <c r="AG13" s="685" t="e">
        <f aca="false">AG33</f>
        <v>#VALUE!</v>
      </c>
      <c r="AH13" s="685" t="e">
        <f aca="false">AH33</f>
        <v>#VALUE!</v>
      </c>
      <c r="AI13" s="685" t="e">
        <f aca="false">AI33</f>
        <v>#VALUE!</v>
      </c>
      <c r="AJ13" s="685" t="e">
        <f aca="false">AJ33</f>
        <v>#VALUE!</v>
      </c>
      <c r="AK13" s="685" t="e">
        <f aca="false">AK33</f>
        <v>#VALUE!</v>
      </c>
      <c r="AL13" s="685" t="e">
        <f aca="false">AL33</f>
        <v>#VALUE!</v>
      </c>
      <c r="AM13" s="685" t="e">
        <f aca="false">AM33</f>
        <v>#VALUE!</v>
      </c>
      <c r="AN13" s="685" t="e">
        <f aca="false">AN33</f>
        <v>#VALUE!</v>
      </c>
      <c r="AO13" s="685" t="e">
        <f aca="false">AO33</f>
        <v>#VALUE!</v>
      </c>
      <c r="AP13" s="685" t="e">
        <f aca="false">AP33</f>
        <v>#VALUE!</v>
      </c>
      <c r="AQ13" s="436" t="e">
        <f aca="false">AQ33</f>
        <v>#VALUE!</v>
      </c>
      <c r="AR13" s="685" t="e">
        <f aca="false">AR33</f>
        <v>#VALUE!</v>
      </c>
      <c r="AS13" s="685" t="e">
        <f aca="false">AS33</f>
        <v>#VALUE!</v>
      </c>
      <c r="AT13" s="685" t="e">
        <f aca="false">AT33</f>
        <v>#VALUE!</v>
      </c>
      <c r="AU13" s="685" t="e">
        <f aca="false">AU33</f>
        <v>#VALUE!</v>
      </c>
      <c r="AV13" s="685" t="e">
        <f aca="false">AV33</f>
        <v>#VALUE!</v>
      </c>
      <c r="AW13" s="685" t="e">
        <f aca="false">AW33</f>
        <v>#VALUE!</v>
      </c>
      <c r="AX13" s="685" t="e">
        <f aca="false">AX33</f>
        <v>#VALUE!</v>
      </c>
      <c r="AY13" s="685" t="e">
        <f aca="false">AY33</f>
        <v>#VALUE!</v>
      </c>
      <c r="AZ13" s="685" t="e">
        <f aca="false">AZ33</f>
        <v>#VALUE!</v>
      </c>
      <c r="BA13" s="685" t="e">
        <f aca="false">BA33</f>
        <v>#VALUE!</v>
      </c>
      <c r="BB13" s="685" t="e">
        <f aca="false">BB33</f>
        <v>#VALUE!</v>
      </c>
      <c r="BC13" s="436" t="e">
        <f aca="false">BC33</f>
        <v>#VALUE!</v>
      </c>
      <c r="BD13" s="685" t="e">
        <f aca="false">BD33</f>
        <v>#VALUE!</v>
      </c>
      <c r="BE13" s="685" t="e">
        <f aca="false">BE33</f>
        <v>#VALUE!</v>
      </c>
      <c r="BF13" s="685" t="e">
        <f aca="false">BF33</f>
        <v>#VALUE!</v>
      </c>
      <c r="BG13" s="685" t="e">
        <f aca="false">BG33</f>
        <v>#VALUE!</v>
      </c>
      <c r="BH13" s="685" t="e">
        <f aca="false">BH33</f>
        <v>#VALUE!</v>
      </c>
      <c r="BI13" s="685" t="e">
        <f aca="false">BI33</f>
        <v>#VALUE!</v>
      </c>
      <c r="BJ13" s="685" t="e">
        <f aca="false">BJ33</f>
        <v>#VALUE!</v>
      </c>
      <c r="BK13" s="685" t="e">
        <f aca="false">BK33</f>
        <v>#VALUE!</v>
      </c>
      <c r="BL13" s="685" t="e">
        <f aca="false">BL33</f>
        <v>#VALUE!</v>
      </c>
      <c r="BM13" s="685" t="e">
        <f aca="false">BM33</f>
        <v>#VALUE!</v>
      </c>
      <c r="BN13" s="685" t="e">
        <f aca="false">BN33</f>
        <v>#VALUE!</v>
      </c>
      <c r="BO13" s="436" t="e">
        <f aca="false">BO33</f>
        <v>#VALUE!</v>
      </c>
      <c r="BP13" s="685" t="e">
        <f aca="false">BP33</f>
        <v>#VALUE!</v>
      </c>
      <c r="BQ13" s="685" t="e">
        <f aca="false">BQ33</f>
        <v>#VALUE!</v>
      </c>
      <c r="BR13" s="685" t="e">
        <f aca="false">BR33</f>
        <v>#VALUE!</v>
      </c>
      <c r="BS13" s="685" t="e">
        <f aca="false">BS33</f>
        <v>#VALUE!</v>
      </c>
      <c r="BT13" s="685" t="e">
        <f aca="false">BT33</f>
        <v>#VALUE!</v>
      </c>
      <c r="BU13" s="685" t="e">
        <f aca="false">BU33</f>
        <v>#VALUE!</v>
      </c>
      <c r="BV13" s="685" t="e">
        <f aca="false">BV33</f>
        <v>#VALUE!</v>
      </c>
      <c r="BW13" s="685" t="e">
        <f aca="false">BW33</f>
        <v>#VALUE!</v>
      </c>
      <c r="BX13" s="685" t="e">
        <f aca="false">BX33</f>
        <v>#VALUE!</v>
      </c>
      <c r="BY13" s="685" t="e">
        <f aca="false">BY33</f>
        <v>#VALUE!</v>
      </c>
      <c r="BZ13" s="685" t="e">
        <f aca="false">BZ33</f>
        <v>#VALUE!</v>
      </c>
      <c r="CA13" s="436" t="e">
        <f aca="false">CA33</f>
        <v>#VALUE!</v>
      </c>
      <c r="CB13" s="685" t="e">
        <f aca="false">CB33</f>
        <v>#VALUE!</v>
      </c>
      <c r="CC13" s="685" t="e">
        <f aca="false">CC33</f>
        <v>#VALUE!</v>
      </c>
      <c r="CD13" s="685" t="e">
        <f aca="false">CD33</f>
        <v>#VALUE!</v>
      </c>
      <c r="CE13" s="685" t="e">
        <f aca="false">CE33</f>
        <v>#VALUE!</v>
      </c>
      <c r="CF13" s="685" t="e">
        <f aca="false">CF33</f>
        <v>#VALUE!</v>
      </c>
      <c r="CG13" s="685" t="e">
        <f aca="false">CG33</f>
        <v>#VALUE!</v>
      </c>
      <c r="CH13" s="685" t="e">
        <f aca="false">CH33</f>
        <v>#VALUE!</v>
      </c>
      <c r="CI13" s="685" t="e">
        <f aca="false">CI33</f>
        <v>#VALUE!</v>
      </c>
      <c r="CJ13" s="685" t="e">
        <f aca="false">CJ33</f>
        <v>#VALUE!</v>
      </c>
      <c r="CK13" s="685" t="e">
        <f aca="false">CK33</f>
        <v>#VALUE!</v>
      </c>
      <c r="CL13" s="685" t="e">
        <f aca="false">CL33</f>
        <v>#VALUE!</v>
      </c>
      <c r="CM13" s="436" t="e">
        <f aca="false">CM33</f>
        <v>#VALUE!</v>
      </c>
      <c r="CN13" s="685" t="e">
        <f aca="false">CN33</f>
        <v>#VALUE!</v>
      </c>
      <c r="CO13" s="685" t="e">
        <f aca="false">CO33</f>
        <v>#VALUE!</v>
      </c>
      <c r="CP13" s="685" t="e">
        <f aca="false">CP33</f>
        <v>#VALUE!</v>
      </c>
      <c r="CQ13" s="685" t="e">
        <f aca="false">CQ33</f>
        <v>#VALUE!</v>
      </c>
      <c r="CR13" s="685" t="e">
        <f aca="false">CR33</f>
        <v>#VALUE!</v>
      </c>
      <c r="CS13" s="685" t="e">
        <f aca="false">CS33</f>
        <v>#VALUE!</v>
      </c>
      <c r="CT13" s="685" t="e">
        <f aca="false">CT33</f>
        <v>#VALUE!</v>
      </c>
      <c r="CU13" s="685" t="e">
        <f aca="false">CU33</f>
        <v>#VALUE!</v>
      </c>
      <c r="CV13" s="685" t="e">
        <f aca="false">CV33</f>
        <v>#VALUE!</v>
      </c>
      <c r="CW13" s="685" t="e">
        <f aca="false">CW33</f>
        <v>#VALUE!</v>
      </c>
      <c r="CX13" s="685" t="e">
        <f aca="false">CX33</f>
        <v>#VALUE!</v>
      </c>
      <c r="CY13" s="436" t="e">
        <f aca="false">CY33</f>
        <v>#VALUE!</v>
      </c>
      <c r="CZ13" s="685" t="e">
        <f aca="false">CZ33</f>
        <v>#VALUE!</v>
      </c>
      <c r="DA13" s="685" t="e">
        <f aca="false">DA33</f>
        <v>#VALUE!</v>
      </c>
      <c r="DB13" s="685" t="e">
        <f aca="false">DB33</f>
        <v>#VALUE!</v>
      </c>
      <c r="DC13" s="685" t="e">
        <f aca="false">DC33</f>
        <v>#VALUE!</v>
      </c>
      <c r="DD13" s="685" t="e">
        <f aca="false">DD33</f>
        <v>#VALUE!</v>
      </c>
      <c r="DE13" s="685" t="e">
        <f aca="false">DE33</f>
        <v>#VALUE!</v>
      </c>
      <c r="DF13" s="685" t="e">
        <f aca="false">DF33</f>
        <v>#VALUE!</v>
      </c>
      <c r="DG13" s="685" t="e">
        <f aca="false">DG33</f>
        <v>#VALUE!</v>
      </c>
      <c r="DH13" s="685" t="e">
        <f aca="false">DH33</f>
        <v>#VALUE!</v>
      </c>
      <c r="DI13" s="685" t="e">
        <f aca="false">DI33</f>
        <v>#VALUE!</v>
      </c>
      <c r="DJ13" s="685" t="e">
        <f aca="false">DJ33</f>
        <v>#VALUE!</v>
      </c>
      <c r="DK13" s="436" t="e">
        <f aca="false">DK33</f>
        <v>#VALUE!</v>
      </c>
      <c r="DL13" s="685" t="e">
        <f aca="false">DL33</f>
        <v>#VALUE!</v>
      </c>
      <c r="DM13" s="685" t="e">
        <f aca="false">DM33</f>
        <v>#VALUE!</v>
      </c>
      <c r="DN13" s="685" t="e">
        <f aca="false">DN33</f>
        <v>#VALUE!</v>
      </c>
      <c r="DO13" s="685" t="e">
        <f aca="false">DO33</f>
        <v>#VALUE!</v>
      </c>
      <c r="DP13" s="685" t="e">
        <f aca="false">DP33</f>
        <v>#VALUE!</v>
      </c>
      <c r="DQ13" s="685" t="e">
        <f aca="false">DQ33</f>
        <v>#VALUE!</v>
      </c>
      <c r="DR13" s="685" t="e">
        <f aca="false">DR33</f>
        <v>#VALUE!</v>
      </c>
      <c r="DS13" s="685" t="e">
        <f aca="false">DS33</f>
        <v>#VALUE!</v>
      </c>
      <c r="DT13" s="685" t="e">
        <f aca="false">DT33</f>
        <v>#VALUE!</v>
      </c>
      <c r="DU13" s="685" t="e">
        <f aca="false">DU33</f>
        <v>#VALUE!</v>
      </c>
      <c r="DV13" s="686" t="e">
        <f aca="false">DV33</f>
        <v>#VALUE!</v>
      </c>
    </row>
    <row r="14" s="683" customFormat="true" ht="13.5" hidden="false" customHeight="true" outlineLevel="0" collapsed="false">
      <c r="A14" s="236"/>
      <c r="B14" s="684" t="s">
        <v>631</v>
      </c>
      <c r="C14" s="242"/>
      <c r="D14" s="685" t="e">
        <f aca="false">D12-D13</f>
        <v>#VALUE!</v>
      </c>
      <c r="E14" s="655"/>
      <c r="F14" s="687"/>
      <c r="G14" s="436"/>
      <c r="H14" s="688"/>
      <c r="I14" s="688"/>
      <c r="J14" s="688"/>
      <c r="K14" s="688"/>
      <c r="L14" s="688"/>
      <c r="M14" s="688"/>
      <c r="N14" s="688"/>
      <c r="O14" s="688"/>
      <c r="P14" s="688"/>
      <c r="Q14" s="688"/>
      <c r="R14" s="688"/>
      <c r="S14" s="689"/>
      <c r="T14" s="688"/>
      <c r="U14" s="688"/>
      <c r="V14" s="688"/>
      <c r="W14" s="688"/>
      <c r="X14" s="688"/>
      <c r="Y14" s="688"/>
      <c r="Z14" s="688"/>
      <c r="AA14" s="688"/>
      <c r="AB14" s="688"/>
      <c r="AC14" s="688"/>
      <c r="AD14" s="688"/>
      <c r="AE14" s="689"/>
      <c r="AF14" s="688"/>
      <c r="AG14" s="688"/>
      <c r="AH14" s="688"/>
      <c r="AI14" s="688"/>
      <c r="AJ14" s="688"/>
      <c r="AK14" s="688"/>
      <c r="AL14" s="688"/>
      <c r="AM14" s="688"/>
      <c r="AN14" s="688"/>
      <c r="AO14" s="688"/>
      <c r="AP14" s="688"/>
      <c r="AQ14" s="689"/>
      <c r="AR14" s="688"/>
      <c r="AS14" s="688"/>
      <c r="AT14" s="688"/>
      <c r="AU14" s="688"/>
      <c r="AV14" s="688"/>
      <c r="AW14" s="688"/>
      <c r="AX14" s="688"/>
      <c r="AY14" s="688"/>
      <c r="AZ14" s="688"/>
      <c r="BA14" s="688"/>
      <c r="BB14" s="688"/>
      <c r="BC14" s="689"/>
      <c r="BD14" s="688"/>
      <c r="BE14" s="688"/>
      <c r="BF14" s="688"/>
      <c r="BG14" s="688"/>
      <c r="BH14" s="688"/>
      <c r="BI14" s="688"/>
      <c r="BJ14" s="688"/>
      <c r="BK14" s="688"/>
      <c r="BL14" s="688"/>
      <c r="BM14" s="688"/>
      <c r="BN14" s="688"/>
      <c r="BO14" s="689"/>
      <c r="BP14" s="688"/>
      <c r="BQ14" s="688"/>
      <c r="BR14" s="688"/>
      <c r="BS14" s="688"/>
      <c r="BT14" s="688"/>
      <c r="BU14" s="688"/>
      <c r="BV14" s="688"/>
      <c r="BW14" s="688"/>
      <c r="BX14" s="688"/>
      <c r="BY14" s="688"/>
      <c r="BZ14" s="688"/>
      <c r="CA14" s="689"/>
      <c r="CB14" s="688"/>
      <c r="CC14" s="688"/>
      <c r="CD14" s="688"/>
      <c r="CE14" s="688"/>
      <c r="CF14" s="688"/>
      <c r="CG14" s="688"/>
      <c r="CH14" s="688"/>
      <c r="CI14" s="688"/>
      <c r="CJ14" s="688"/>
      <c r="CK14" s="688"/>
      <c r="CL14" s="688"/>
      <c r="CM14" s="689"/>
      <c r="CN14" s="688"/>
      <c r="CO14" s="688"/>
      <c r="CP14" s="688"/>
      <c r="CQ14" s="688"/>
      <c r="CR14" s="688"/>
      <c r="CS14" s="688"/>
      <c r="CT14" s="688"/>
      <c r="CU14" s="688"/>
      <c r="CV14" s="688"/>
      <c r="CW14" s="688"/>
      <c r="CX14" s="688"/>
      <c r="CY14" s="689"/>
      <c r="CZ14" s="688"/>
      <c r="DA14" s="688"/>
      <c r="DB14" s="688"/>
      <c r="DC14" s="688"/>
      <c r="DD14" s="688"/>
      <c r="DE14" s="688"/>
      <c r="DF14" s="688"/>
      <c r="DG14" s="688"/>
      <c r="DH14" s="688"/>
      <c r="DI14" s="688"/>
      <c r="DJ14" s="688"/>
      <c r="DK14" s="689"/>
      <c r="DL14" s="688"/>
      <c r="DM14" s="688"/>
      <c r="DN14" s="688"/>
      <c r="DO14" s="688"/>
      <c r="DP14" s="688"/>
      <c r="DQ14" s="688"/>
      <c r="DR14" s="688"/>
      <c r="DS14" s="688"/>
      <c r="DT14" s="688"/>
      <c r="DU14" s="688"/>
      <c r="DV14" s="690"/>
    </row>
    <row r="15" s="683" customFormat="true" ht="13.5" hidden="false" customHeight="true" outlineLevel="0" collapsed="false">
      <c r="A15" s="236"/>
      <c r="B15" s="674" t="s">
        <v>632</v>
      </c>
      <c r="C15" s="66"/>
      <c r="D15" s="691" t="e">
        <f aca="false">(1+IRR(F15:DV15,0.1/12))^12-1</f>
        <v>#VALUE!</v>
      </c>
      <c r="E15" s="655"/>
      <c r="F15" s="685" t="e">
        <f aca="false">IF(F5="","",(-F13)+F12)</f>
        <v>#VALUE!</v>
      </c>
      <c r="G15" s="436" t="e">
        <f aca="false">IF(G5="","",(-G13)+G12)</f>
        <v>#VALUE!</v>
      </c>
      <c r="H15" s="685" t="e">
        <f aca="false">IF(H5="","",(-H13)+H12)</f>
        <v>#VALUE!</v>
      </c>
      <c r="I15" s="685" t="e">
        <f aca="false">IF(I5="","",(-I13)+I12)</f>
        <v>#VALUE!</v>
      </c>
      <c r="J15" s="685" t="e">
        <f aca="false">IF(J5="","",(-J13)+J12)</f>
        <v>#VALUE!</v>
      </c>
      <c r="K15" s="685" t="e">
        <f aca="false">IF(K5="","",(-K13)+K12)</f>
        <v>#VALUE!</v>
      </c>
      <c r="L15" s="685" t="e">
        <f aca="false">IF(L5="","",(-L13)+L12)</f>
        <v>#VALUE!</v>
      </c>
      <c r="M15" s="685" t="e">
        <f aca="false">IF(M5="","",(-M13)+M12)</f>
        <v>#VALUE!</v>
      </c>
      <c r="N15" s="685" t="e">
        <f aca="false">IF(N5="","",(-N13)+N12)</f>
        <v>#VALUE!</v>
      </c>
      <c r="O15" s="685" t="e">
        <f aca="false">IF(O5="","",(-O13)+O12)</f>
        <v>#VALUE!</v>
      </c>
      <c r="P15" s="685" t="e">
        <f aca="false">IF(P5="","",(-P13)+P12)</f>
        <v>#VALUE!</v>
      </c>
      <c r="Q15" s="685" t="e">
        <f aca="false">IF(Q5="","",(-Q13)+Q12)</f>
        <v>#VALUE!</v>
      </c>
      <c r="R15" s="685" t="e">
        <f aca="false">IF(R5="","",(-R13)+R12)</f>
        <v>#VALUE!</v>
      </c>
      <c r="S15" s="436" t="e">
        <f aca="false">IF(S5="","",(-S13)+S12)</f>
        <v>#VALUE!</v>
      </c>
      <c r="T15" s="685" t="e">
        <f aca="false">IF(T5="","",(-T13)+T12)</f>
        <v>#VALUE!</v>
      </c>
      <c r="U15" s="685" t="e">
        <f aca="false">IF(U5="","",(-U13)+U12)</f>
        <v>#VALUE!</v>
      </c>
      <c r="V15" s="685" t="e">
        <f aca="false">IF(V5="","",(-V13)+V12)</f>
        <v>#VALUE!</v>
      </c>
      <c r="W15" s="685" t="e">
        <f aca="false">IF(W5="","",(-W13)+W12)</f>
        <v>#VALUE!</v>
      </c>
      <c r="X15" s="685" t="e">
        <f aca="false">IF(X5="","",(-X13)+X12)</f>
        <v>#VALUE!</v>
      </c>
      <c r="Y15" s="685" t="e">
        <f aca="false">IF(Y5="","",(-Y13)+Y12)</f>
        <v>#VALUE!</v>
      </c>
      <c r="Z15" s="685" t="e">
        <f aca="false">IF(Z5="","",(-Z13)+Z12)</f>
        <v>#VALUE!</v>
      </c>
      <c r="AA15" s="685" t="e">
        <f aca="false">IF(AA5="","",(-AA13)+AA12)</f>
        <v>#VALUE!</v>
      </c>
      <c r="AB15" s="685" t="e">
        <f aca="false">IF(AB5="","",(-AB13)+AB12)</f>
        <v>#VALUE!</v>
      </c>
      <c r="AC15" s="685" t="e">
        <f aca="false">IF(AC5="","",(-AC13)+AC12)</f>
        <v>#VALUE!</v>
      </c>
      <c r="AD15" s="685" t="e">
        <f aca="false">IF(AD5="","",(-AD13)+AD12)</f>
        <v>#VALUE!</v>
      </c>
      <c r="AE15" s="436" t="e">
        <f aca="false">IF(AE5="","",(-AE13)+AE12)</f>
        <v>#VALUE!</v>
      </c>
      <c r="AF15" s="685" t="e">
        <f aca="false">IF(AF5="","",(-AF13)+AF12)</f>
        <v>#VALUE!</v>
      </c>
      <c r="AG15" s="685" t="e">
        <f aca="false">IF(AG5="","",(-AG13)+AG12)</f>
        <v>#VALUE!</v>
      </c>
      <c r="AH15" s="685" t="e">
        <f aca="false">IF(AH5="","",(-AH13)+AH12)</f>
        <v>#VALUE!</v>
      </c>
      <c r="AI15" s="685" t="e">
        <f aca="false">IF(AI5="","",(-AI13)+AI12)</f>
        <v>#VALUE!</v>
      </c>
      <c r="AJ15" s="685" t="e">
        <f aca="false">IF(AJ5="","",(-AJ13)+AJ12)</f>
        <v>#VALUE!</v>
      </c>
      <c r="AK15" s="685" t="e">
        <f aca="false">IF(AK5="","",(-AK13)+AK12)</f>
        <v>#VALUE!</v>
      </c>
      <c r="AL15" s="685" t="e">
        <f aca="false">IF(AL5="","",(-AL13)+AL12)</f>
        <v>#VALUE!</v>
      </c>
      <c r="AM15" s="685" t="e">
        <f aca="false">IF(AM5="","",(-AM13)+AM12)</f>
        <v>#VALUE!</v>
      </c>
      <c r="AN15" s="685" t="e">
        <f aca="false">IF(AN5="","",(-AN13)+AN12)</f>
        <v>#VALUE!</v>
      </c>
      <c r="AO15" s="685" t="e">
        <f aca="false">IF(AO5="","",(-AO13)+AO12)</f>
        <v>#VALUE!</v>
      </c>
      <c r="AP15" s="685" t="e">
        <f aca="false">IF(AP5="","",(-AP13)+AP12)</f>
        <v>#VALUE!</v>
      </c>
      <c r="AQ15" s="436" t="e">
        <f aca="false">IF(AQ5="","",(-AQ13)+AQ12)</f>
        <v>#VALUE!</v>
      </c>
      <c r="AR15" s="685" t="e">
        <f aca="false">IF(AR5="","",(-AR13)+AR12)</f>
        <v>#VALUE!</v>
      </c>
      <c r="AS15" s="685" t="e">
        <f aca="false">IF(AS5="","",(-AS13)+AS12)</f>
        <v>#VALUE!</v>
      </c>
      <c r="AT15" s="685" t="e">
        <f aca="false">IF(AT5="","",(-AT13)+AT12)</f>
        <v>#VALUE!</v>
      </c>
      <c r="AU15" s="685" t="e">
        <f aca="false">IF(AU5="","",(-AU13)+AU12)</f>
        <v>#VALUE!</v>
      </c>
      <c r="AV15" s="685" t="e">
        <f aca="false">IF(AV5="","",(-AV13)+AV12)</f>
        <v>#VALUE!</v>
      </c>
      <c r="AW15" s="685" t="e">
        <f aca="false">IF(AW5="","",(-AW13)+AW12)</f>
        <v>#VALUE!</v>
      </c>
      <c r="AX15" s="685" t="e">
        <f aca="false">IF(AX5="","",(-AX13)+AX12)</f>
        <v>#VALUE!</v>
      </c>
      <c r="AY15" s="685" t="e">
        <f aca="false">IF(AY5="","",(-AY13)+AY12)</f>
        <v>#VALUE!</v>
      </c>
      <c r="AZ15" s="685" t="e">
        <f aca="false">IF(AZ5="","",(-AZ13)+AZ12)</f>
        <v>#VALUE!</v>
      </c>
      <c r="BA15" s="685" t="e">
        <f aca="false">IF(BA5="","",(-BA13)+BA12)</f>
        <v>#VALUE!</v>
      </c>
      <c r="BB15" s="685" t="e">
        <f aca="false">IF(BB5="","",(-BB13)+BB12)</f>
        <v>#VALUE!</v>
      </c>
      <c r="BC15" s="436" t="e">
        <f aca="false">IF(BC5="","",(-BC13)+BC12)</f>
        <v>#VALUE!</v>
      </c>
      <c r="BD15" s="685" t="e">
        <f aca="false">IF(BD5="","",(-BD13)+BD12)</f>
        <v>#VALUE!</v>
      </c>
      <c r="BE15" s="685" t="e">
        <f aca="false">IF(BE5="","",(-BE13)+BE12)</f>
        <v>#VALUE!</v>
      </c>
      <c r="BF15" s="685" t="e">
        <f aca="false">IF(BF5="","",(-BF13)+BF12)</f>
        <v>#VALUE!</v>
      </c>
      <c r="BG15" s="685" t="e">
        <f aca="false">IF(BG5="","",(-BG13)+BG12)</f>
        <v>#VALUE!</v>
      </c>
      <c r="BH15" s="685" t="e">
        <f aca="false">IF(BH5="","",(-BH13)+BH12)</f>
        <v>#VALUE!</v>
      </c>
      <c r="BI15" s="685" t="e">
        <f aca="false">IF(BI5="","",(-BI13)+BI12)</f>
        <v>#VALUE!</v>
      </c>
      <c r="BJ15" s="685" t="e">
        <f aca="false">IF(BJ5="","",(-BJ13)+BJ12)</f>
        <v>#VALUE!</v>
      </c>
      <c r="BK15" s="685" t="e">
        <f aca="false">IF(BK5="","",(-BK13)+BK12)</f>
        <v>#VALUE!</v>
      </c>
      <c r="BL15" s="685" t="e">
        <f aca="false">IF(BL5="","",(-BL13)+BL12)</f>
        <v>#VALUE!</v>
      </c>
      <c r="BM15" s="685" t="e">
        <f aca="false">IF(BM5="","",(-BM13)+BM12)</f>
        <v>#VALUE!</v>
      </c>
      <c r="BN15" s="685" t="e">
        <f aca="false">IF(BN5="","",(-BN13)+BN12)</f>
        <v>#VALUE!</v>
      </c>
      <c r="BO15" s="436" t="e">
        <f aca="false">IF(BO5="","",(-BO13)+BO12)</f>
        <v>#VALUE!</v>
      </c>
      <c r="BP15" s="685" t="e">
        <f aca="false">IF(BP5="","",(-BP13)+BP12)</f>
        <v>#VALUE!</v>
      </c>
      <c r="BQ15" s="685" t="e">
        <f aca="false">IF(BQ5="","",(-BQ13)+BQ12)</f>
        <v>#VALUE!</v>
      </c>
      <c r="BR15" s="685" t="e">
        <f aca="false">IF(BR5="","",(-BR13)+BR12)</f>
        <v>#VALUE!</v>
      </c>
      <c r="BS15" s="685" t="e">
        <f aca="false">IF(BS5="","",(-BS13)+BS12)</f>
        <v>#VALUE!</v>
      </c>
      <c r="BT15" s="685" t="e">
        <f aca="false">IF(BT5="","",(-BT13)+BT12)</f>
        <v>#VALUE!</v>
      </c>
      <c r="BU15" s="685" t="e">
        <f aca="false">IF(BU5="","",(-BU13)+BU12)</f>
        <v>#VALUE!</v>
      </c>
      <c r="BV15" s="685" t="e">
        <f aca="false">IF(BV5="","",(-BV13)+BV12)</f>
        <v>#VALUE!</v>
      </c>
      <c r="BW15" s="685" t="e">
        <f aca="false">IF(BW5="","",(-BW13)+BW12)</f>
        <v>#VALUE!</v>
      </c>
      <c r="BX15" s="685" t="e">
        <f aca="false">IF(BX5="","",(-BX13)+BX12)</f>
        <v>#VALUE!</v>
      </c>
      <c r="BY15" s="685" t="e">
        <f aca="false">IF(BY5="","",(-BY13)+BY12)</f>
        <v>#VALUE!</v>
      </c>
      <c r="BZ15" s="685" t="e">
        <f aca="false">IF(BZ5="","",(-BZ13)+BZ12)</f>
        <v>#VALUE!</v>
      </c>
      <c r="CA15" s="436" t="e">
        <f aca="false">IF(CA5="","",(-CA13)+CA12)</f>
        <v>#VALUE!</v>
      </c>
      <c r="CB15" s="685" t="e">
        <f aca="false">IF(CB5="","",(-CB13)+CB12)</f>
        <v>#VALUE!</v>
      </c>
      <c r="CC15" s="685" t="e">
        <f aca="false">IF(CC5="","",(-CC13)+CC12)</f>
        <v>#VALUE!</v>
      </c>
      <c r="CD15" s="685" t="e">
        <f aca="false">IF(CD5="","",(-CD13)+CD12)</f>
        <v>#VALUE!</v>
      </c>
      <c r="CE15" s="685" t="e">
        <f aca="false">IF(CE5="","",(-CE13)+CE12)</f>
        <v>#VALUE!</v>
      </c>
      <c r="CF15" s="685" t="e">
        <f aca="false">IF(CF5="","",(-CF13)+CF12)</f>
        <v>#VALUE!</v>
      </c>
      <c r="CG15" s="685" t="e">
        <f aca="false">IF(CG5="","",(-CG13)+CG12)</f>
        <v>#VALUE!</v>
      </c>
      <c r="CH15" s="685" t="e">
        <f aca="false">IF(CH5="","",(-CH13)+CH12)</f>
        <v>#VALUE!</v>
      </c>
      <c r="CI15" s="685" t="e">
        <f aca="false">IF(CI5="","",(-CI13)+CI12)</f>
        <v>#VALUE!</v>
      </c>
      <c r="CJ15" s="685" t="e">
        <f aca="false">IF(CJ5="","",(-CJ13)+CJ12)</f>
        <v>#VALUE!</v>
      </c>
      <c r="CK15" s="685" t="e">
        <f aca="false">IF(CK5="","",(-CK13)+CK12)</f>
        <v>#VALUE!</v>
      </c>
      <c r="CL15" s="685" t="e">
        <f aca="false">IF(CL5="","",(-CL13)+CL12)</f>
        <v>#VALUE!</v>
      </c>
      <c r="CM15" s="436" t="e">
        <f aca="false">IF(CM5="","",(-CM13)+CM12)</f>
        <v>#VALUE!</v>
      </c>
      <c r="CN15" s="685" t="e">
        <f aca="false">IF(CN5="","",(-CN13)+CN12)</f>
        <v>#VALUE!</v>
      </c>
      <c r="CO15" s="685" t="e">
        <f aca="false">IF(CO5="","",(-CO13)+CO12)</f>
        <v>#VALUE!</v>
      </c>
      <c r="CP15" s="685" t="e">
        <f aca="false">IF(CP5="","",(-CP13)+CP12)</f>
        <v>#VALUE!</v>
      </c>
      <c r="CQ15" s="685" t="e">
        <f aca="false">IF(CQ5="","",(-CQ13)+CQ12)</f>
        <v>#VALUE!</v>
      </c>
      <c r="CR15" s="685" t="e">
        <f aca="false">IF(CR5="","",(-CR13)+CR12)</f>
        <v>#VALUE!</v>
      </c>
      <c r="CS15" s="685" t="e">
        <f aca="false">IF(CS5="","",(-CS13)+CS12)</f>
        <v>#VALUE!</v>
      </c>
      <c r="CT15" s="685" t="e">
        <f aca="false">IF(CT5="","",(-CT13)+CT12)</f>
        <v>#VALUE!</v>
      </c>
      <c r="CU15" s="685" t="e">
        <f aca="false">IF(CU5="","",(-CU13)+CU12)</f>
        <v>#VALUE!</v>
      </c>
      <c r="CV15" s="685" t="e">
        <f aca="false">IF(CV5="","",(-CV13)+CV12)</f>
        <v>#VALUE!</v>
      </c>
      <c r="CW15" s="685" t="e">
        <f aca="false">IF(CW5="","",(-CW13)+CW12)</f>
        <v>#VALUE!</v>
      </c>
      <c r="CX15" s="685" t="e">
        <f aca="false">IF(CX5="","",(-CX13)+CX12)</f>
        <v>#VALUE!</v>
      </c>
      <c r="CY15" s="436" t="e">
        <f aca="false">IF(CY5="","",(-CY13)+CY12)</f>
        <v>#VALUE!</v>
      </c>
      <c r="CZ15" s="685" t="e">
        <f aca="false">IF(CZ5="","",(-CZ13)+CZ12)</f>
        <v>#VALUE!</v>
      </c>
      <c r="DA15" s="685" t="e">
        <f aca="false">IF(DA5="","",(-DA13)+DA12)</f>
        <v>#VALUE!</v>
      </c>
      <c r="DB15" s="685" t="e">
        <f aca="false">IF(DB5="","",(-DB13)+DB12)</f>
        <v>#VALUE!</v>
      </c>
      <c r="DC15" s="685" t="e">
        <f aca="false">IF(DC5="","",(-DC13)+DC12)</f>
        <v>#VALUE!</v>
      </c>
      <c r="DD15" s="685" t="e">
        <f aca="false">IF(DD5="","",(-DD13)+DD12)</f>
        <v>#VALUE!</v>
      </c>
      <c r="DE15" s="685" t="e">
        <f aca="false">IF(DE5="","",(-DE13)+DE12)</f>
        <v>#VALUE!</v>
      </c>
      <c r="DF15" s="685" t="e">
        <f aca="false">IF(DF5="","",(-DF13)+DF12)</f>
        <v>#VALUE!</v>
      </c>
      <c r="DG15" s="685" t="e">
        <f aca="false">IF(DG5="","",(-DG13)+DG12)</f>
        <v>#VALUE!</v>
      </c>
      <c r="DH15" s="685" t="e">
        <f aca="false">IF(DH5="","",(-DH13)+DH12)</f>
        <v>#VALUE!</v>
      </c>
      <c r="DI15" s="685" t="e">
        <f aca="false">IF(DI5="","",(-DI13)+DI12)</f>
        <v>#VALUE!</v>
      </c>
      <c r="DJ15" s="685" t="e">
        <f aca="false">IF(DJ5="","",(-DJ13)+DJ12)</f>
        <v>#VALUE!</v>
      </c>
      <c r="DK15" s="436" t="e">
        <f aca="false">IF(DK5="","",(-DK13)+DK12)</f>
        <v>#VALUE!</v>
      </c>
      <c r="DL15" s="685" t="e">
        <f aca="false">IF(DL5="","",(-DL13)+DL12)</f>
        <v>#VALUE!</v>
      </c>
      <c r="DM15" s="685" t="e">
        <f aca="false">IF(DM5="","",(-DM13)+DM12)</f>
        <v>#VALUE!</v>
      </c>
      <c r="DN15" s="685" t="e">
        <f aca="false">IF(DN5="","",(-DN13)+DN12)</f>
        <v>#VALUE!</v>
      </c>
      <c r="DO15" s="685" t="e">
        <f aca="false">IF(DO5="","",(-DO13)+DO12)</f>
        <v>#VALUE!</v>
      </c>
      <c r="DP15" s="685" t="e">
        <f aca="false">IF(DP5="","",(-DP13)+DP12)</f>
        <v>#VALUE!</v>
      </c>
      <c r="DQ15" s="685" t="e">
        <f aca="false">IF(DQ5="","",(-DQ13)+DQ12)</f>
        <v>#VALUE!</v>
      </c>
      <c r="DR15" s="685" t="e">
        <f aca="false">IF(DR5="","",(-DR13)+DR12)</f>
        <v>#VALUE!</v>
      </c>
      <c r="DS15" s="685" t="e">
        <f aca="false">IF(DS5="","",(-DS13)+DS12)</f>
        <v>#VALUE!</v>
      </c>
      <c r="DT15" s="685" t="e">
        <f aca="false">IF(DT5="","",(-DT13)+DT12)</f>
        <v>#VALUE!</v>
      </c>
      <c r="DU15" s="685" t="e">
        <f aca="false">IF(DU5="","",(-DU13)+DU12)</f>
        <v>#VALUE!</v>
      </c>
      <c r="DV15" s="686" t="e">
        <f aca="false">IF(DV5="","",(-DV13)+DV12)</f>
        <v>#VALUE!</v>
      </c>
    </row>
    <row r="16" s="683" customFormat="true" ht="13.5" hidden="false" customHeight="true" outlineLevel="0" collapsed="false">
      <c r="A16" s="236"/>
      <c r="B16" s="692" t="s">
        <v>633</v>
      </c>
      <c r="C16" s="469"/>
      <c r="D16" s="670" t="e">
        <f aca="false">D12/D13</f>
        <v>#VALUE!</v>
      </c>
      <c r="E16" s="693"/>
      <c r="F16" s="694"/>
      <c r="G16" s="695"/>
      <c r="H16" s="696"/>
      <c r="I16" s="696"/>
      <c r="J16" s="696"/>
      <c r="K16" s="696"/>
      <c r="L16" s="696"/>
      <c r="M16" s="696"/>
      <c r="N16" s="696"/>
      <c r="O16" s="696"/>
      <c r="P16" s="696"/>
      <c r="Q16" s="696"/>
      <c r="R16" s="696"/>
      <c r="S16" s="697"/>
      <c r="T16" s="696"/>
      <c r="U16" s="696"/>
      <c r="V16" s="696"/>
      <c r="W16" s="696"/>
      <c r="X16" s="696"/>
      <c r="Y16" s="696"/>
      <c r="Z16" s="696"/>
      <c r="AA16" s="696"/>
      <c r="AB16" s="696"/>
      <c r="AC16" s="696"/>
      <c r="AD16" s="696"/>
      <c r="AE16" s="697"/>
      <c r="AF16" s="696"/>
      <c r="AG16" s="696"/>
      <c r="AH16" s="696"/>
      <c r="AI16" s="696"/>
      <c r="AJ16" s="696"/>
      <c r="AK16" s="696"/>
      <c r="AL16" s="696"/>
      <c r="AM16" s="696"/>
      <c r="AN16" s="696"/>
      <c r="AO16" s="696"/>
      <c r="AP16" s="696"/>
      <c r="AQ16" s="697"/>
      <c r="AR16" s="696"/>
      <c r="AS16" s="696"/>
      <c r="AT16" s="696"/>
      <c r="AU16" s="696"/>
      <c r="AV16" s="696"/>
      <c r="AW16" s="696"/>
      <c r="AX16" s="696"/>
      <c r="AY16" s="696"/>
      <c r="AZ16" s="696"/>
      <c r="BA16" s="696"/>
      <c r="BB16" s="696"/>
      <c r="BC16" s="697"/>
      <c r="BD16" s="696"/>
      <c r="BE16" s="696"/>
      <c r="BF16" s="696"/>
      <c r="BG16" s="696"/>
      <c r="BH16" s="696"/>
      <c r="BI16" s="696"/>
      <c r="BJ16" s="696"/>
      <c r="BK16" s="696"/>
      <c r="BL16" s="696"/>
      <c r="BM16" s="696"/>
      <c r="BN16" s="696"/>
      <c r="BO16" s="697"/>
      <c r="BP16" s="696"/>
      <c r="BQ16" s="696"/>
      <c r="BR16" s="696"/>
      <c r="BS16" s="696"/>
      <c r="BT16" s="696"/>
      <c r="BU16" s="696"/>
      <c r="BV16" s="696"/>
      <c r="BW16" s="696"/>
      <c r="BX16" s="696"/>
      <c r="BY16" s="696"/>
      <c r="BZ16" s="696"/>
      <c r="CA16" s="697"/>
      <c r="CB16" s="696"/>
      <c r="CC16" s="696"/>
      <c r="CD16" s="696"/>
      <c r="CE16" s="696"/>
      <c r="CF16" s="696"/>
      <c r="CG16" s="696"/>
      <c r="CH16" s="696"/>
      <c r="CI16" s="696"/>
      <c r="CJ16" s="696"/>
      <c r="CK16" s="696"/>
      <c r="CL16" s="696"/>
      <c r="CM16" s="697"/>
      <c r="CN16" s="696"/>
      <c r="CO16" s="696"/>
      <c r="CP16" s="696"/>
      <c r="CQ16" s="696"/>
      <c r="CR16" s="696"/>
      <c r="CS16" s="696"/>
      <c r="CT16" s="696"/>
      <c r="CU16" s="696"/>
      <c r="CV16" s="696"/>
      <c r="CW16" s="696"/>
      <c r="CX16" s="696"/>
      <c r="CY16" s="697"/>
      <c r="CZ16" s="696"/>
      <c r="DA16" s="696"/>
      <c r="DB16" s="696"/>
      <c r="DC16" s="696"/>
      <c r="DD16" s="696"/>
      <c r="DE16" s="696"/>
      <c r="DF16" s="696"/>
      <c r="DG16" s="696"/>
      <c r="DH16" s="696"/>
      <c r="DI16" s="696"/>
      <c r="DJ16" s="696"/>
      <c r="DK16" s="697"/>
      <c r="DL16" s="696"/>
      <c r="DM16" s="696"/>
      <c r="DN16" s="696"/>
      <c r="DO16" s="696"/>
      <c r="DP16" s="696"/>
      <c r="DQ16" s="696"/>
      <c r="DR16" s="696"/>
      <c r="DS16" s="696"/>
      <c r="DT16" s="696"/>
      <c r="DU16" s="696"/>
      <c r="DV16" s="698"/>
    </row>
    <row r="17" s="683" customFormat="true" ht="13.5" hidden="false" customHeight="true" outlineLevel="0" collapsed="false">
      <c r="A17" s="236"/>
      <c r="B17" s="684"/>
      <c r="C17" s="242"/>
      <c r="D17" s="654"/>
      <c r="E17" s="655"/>
      <c r="F17" s="687"/>
      <c r="G17" s="436"/>
      <c r="H17" s="688"/>
      <c r="I17" s="688"/>
      <c r="J17" s="688"/>
      <c r="K17" s="688"/>
      <c r="L17" s="688"/>
      <c r="M17" s="688"/>
      <c r="N17" s="688"/>
      <c r="O17" s="688"/>
      <c r="P17" s="688"/>
      <c r="Q17" s="688"/>
      <c r="R17" s="688"/>
      <c r="S17" s="689"/>
      <c r="T17" s="688"/>
      <c r="U17" s="688"/>
      <c r="V17" s="688"/>
      <c r="W17" s="688"/>
      <c r="X17" s="688"/>
      <c r="Y17" s="688"/>
      <c r="Z17" s="688"/>
      <c r="AA17" s="688"/>
      <c r="AB17" s="688"/>
      <c r="AC17" s="688"/>
      <c r="AD17" s="688"/>
      <c r="AE17" s="689"/>
      <c r="AF17" s="688"/>
      <c r="AG17" s="688"/>
      <c r="AH17" s="688"/>
      <c r="AI17" s="688"/>
      <c r="AJ17" s="688"/>
      <c r="AK17" s="688"/>
      <c r="AL17" s="688"/>
      <c r="AM17" s="688"/>
      <c r="AN17" s="688"/>
      <c r="AO17" s="688"/>
      <c r="AP17" s="688"/>
      <c r="AQ17" s="689"/>
      <c r="AR17" s="688"/>
      <c r="AS17" s="688"/>
      <c r="AT17" s="688"/>
      <c r="AU17" s="688"/>
      <c r="AV17" s="688"/>
      <c r="AW17" s="688"/>
      <c r="AX17" s="688"/>
      <c r="AY17" s="688"/>
      <c r="AZ17" s="688"/>
      <c r="BA17" s="688"/>
      <c r="BB17" s="688"/>
      <c r="BC17" s="689"/>
      <c r="BD17" s="688"/>
      <c r="BE17" s="688"/>
      <c r="BF17" s="688"/>
      <c r="BG17" s="688"/>
      <c r="BH17" s="688"/>
      <c r="BI17" s="688"/>
      <c r="BJ17" s="688"/>
      <c r="BK17" s="688"/>
      <c r="BL17" s="688"/>
      <c r="BM17" s="688"/>
      <c r="BN17" s="688"/>
      <c r="BO17" s="689"/>
      <c r="BP17" s="688"/>
      <c r="BQ17" s="688"/>
      <c r="BR17" s="688"/>
      <c r="BS17" s="688"/>
      <c r="BT17" s="688"/>
      <c r="BU17" s="688"/>
      <c r="BV17" s="688"/>
      <c r="BW17" s="688"/>
      <c r="BX17" s="688"/>
      <c r="BY17" s="688"/>
      <c r="BZ17" s="688"/>
      <c r="CA17" s="689"/>
      <c r="CB17" s="688"/>
      <c r="CC17" s="688"/>
      <c r="CD17" s="688"/>
      <c r="CE17" s="688"/>
      <c r="CF17" s="688"/>
      <c r="CG17" s="688"/>
      <c r="CH17" s="688"/>
      <c r="CI17" s="688"/>
      <c r="CJ17" s="688"/>
      <c r="CK17" s="688"/>
      <c r="CL17" s="688"/>
      <c r="CM17" s="689"/>
      <c r="CN17" s="688"/>
      <c r="CO17" s="688"/>
      <c r="CP17" s="688"/>
      <c r="CQ17" s="688"/>
      <c r="CR17" s="688"/>
      <c r="CS17" s="688"/>
      <c r="CT17" s="688"/>
      <c r="CU17" s="688"/>
      <c r="CV17" s="688"/>
      <c r="CW17" s="688"/>
      <c r="CX17" s="688"/>
      <c r="CY17" s="689"/>
      <c r="CZ17" s="688"/>
      <c r="DA17" s="688"/>
      <c r="DB17" s="688"/>
      <c r="DC17" s="688"/>
      <c r="DD17" s="688"/>
      <c r="DE17" s="688"/>
      <c r="DF17" s="688"/>
      <c r="DG17" s="688"/>
      <c r="DH17" s="688"/>
      <c r="DI17" s="688"/>
      <c r="DJ17" s="688"/>
      <c r="DK17" s="689"/>
      <c r="DL17" s="688"/>
      <c r="DM17" s="688"/>
      <c r="DN17" s="688"/>
      <c r="DO17" s="688"/>
      <c r="DP17" s="688"/>
      <c r="DQ17" s="688"/>
      <c r="DR17" s="688"/>
      <c r="DS17" s="688"/>
      <c r="DT17" s="688"/>
      <c r="DU17" s="688"/>
      <c r="DV17" s="690"/>
    </row>
    <row r="18" s="683" customFormat="true" ht="13.5" hidden="false" customHeight="true" outlineLevel="0" collapsed="false">
      <c r="A18" s="236"/>
      <c r="B18" s="674" t="s">
        <v>634</v>
      </c>
      <c r="C18" s="239"/>
      <c r="D18" s="675"/>
      <c r="E18" s="676"/>
      <c r="F18" s="699"/>
      <c r="G18" s="700"/>
      <c r="H18" s="680"/>
      <c r="I18" s="680"/>
      <c r="J18" s="680"/>
      <c r="K18" s="680"/>
      <c r="L18" s="680"/>
      <c r="M18" s="680"/>
      <c r="N18" s="680"/>
      <c r="O18" s="680"/>
      <c r="P18" s="680"/>
      <c r="Q18" s="680"/>
      <c r="R18" s="680"/>
      <c r="S18" s="681"/>
      <c r="T18" s="680"/>
      <c r="U18" s="680"/>
      <c r="V18" s="680"/>
      <c r="W18" s="680"/>
      <c r="X18" s="680"/>
      <c r="Y18" s="680"/>
      <c r="Z18" s="680"/>
      <c r="AA18" s="680"/>
      <c r="AB18" s="680"/>
      <c r="AC18" s="680"/>
      <c r="AD18" s="680"/>
      <c r="AE18" s="681"/>
      <c r="AF18" s="680"/>
      <c r="AG18" s="680"/>
      <c r="AH18" s="680"/>
      <c r="AI18" s="680"/>
      <c r="AJ18" s="680"/>
      <c r="AK18" s="680"/>
      <c r="AL18" s="680"/>
      <c r="AM18" s="680"/>
      <c r="AN18" s="680"/>
      <c r="AO18" s="680"/>
      <c r="AP18" s="680"/>
      <c r="AQ18" s="681"/>
      <c r="AR18" s="680"/>
      <c r="AS18" s="680"/>
      <c r="AT18" s="680"/>
      <c r="AU18" s="680"/>
      <c r="AV18" s="680"/>
      <c r="AW18" s="680"/>
      <c r="AX18" s="680"/>
      <c r="AY18" s="680"/>
      <c r="AZ18" s="680"/>
      <c r="BA18" s="680"/>
      <c r="BB18" s="680"/>
      <c r="BC18" s="681"/>
      <c r="BD18" s="680"/>
      <c r="BE18" s="680"/>
      <c r="BF18" s="680"/>
      <c r="BG18" s="680"/>
      <c r="BH18" s="680"/>
      <c r="BI18" s="680"/>
      <c r="BJ18" s="680"/>
      <c r="BK18" s="680"/>
      <c r="BL18" s="680"/>
      <c r="BM18" s="680"/>
      <c r="BN18" s="680"/>
      <c r="BO18" s="681"/>
      <c r="BP18" s="680"/>
      <c r="BQ18" s="680"/>
      <c r="BR18" s="680"/>
      <c r="BS18" s="680"/>
      <c r="BT18" s="680"/>
      <c r="BU18" s="680"/>
      <c r="BV18" s="680"/>
      <c r="BW18" s="680"/>
      <c r="BX18" s="680"/>
      <c r="BY18" s="680"/>
      <c r="BZ18" s="680"/>
      <c r="CA18" s="681"/>
      <c r="CB18" s="680"/>
      <c r="CC18" s="680"/>
      <c r="CD18" s="680"/>
      <c r="CE18" s="680"/>
      <c r="CF18" s="680"/>
      <c r="CG18" s="680"/>
      <c r="CH18" s="680"/>
      <c r="CI18" s="680"/>
      <c r="CJ18" s="680"/>
      <c r="CK18" s="680"/>
      <c r="CL18" s="680"/>
      <c r="CM18" s="681"/>
      <c r="CN18" s="680"/>
      <c r="CO18" s="680"/>
      <c r="CP18" s="680"/>
      <c r="CQ18" s="680"/>
      <c r="CR18" s="680"/>
      <c r="CS18" s="680"/>
      <c r="CT18" s="680"/>
      <c r="CU18" s="680"/>
      <c r="CV18" s="680"/>
      <c r="CW18" s="680"/>
      <c r="CX18" s="680"/>
      <c r="CY18" s="681"/>
      <c r="CZ18" s="680"/>
      <c r="DA18" s="680"/>
      <c r="DB18" s="680"/>
      <c r="DC18" s="680"/>
      <c r="DD18" s="680"/>
      <c r="DE18" s="680"/>
      <c r="DF18" s="680"/>
      <c r="DG18" s="680"/>
      <c r="DH18" s="680"/>
      <c r="DI18" s="680"/>
      <c r="DJ18" s="680"/>
      <c r="DK18" s="681"/>
      <c r="DL18" s="680"/>
      <c r="DM18" s="680"/>
      <c r="DN18" s="680"/>
      <c r="DO18" s="680"/>
      <c r="DP18" s="680"/>
      <c r="DQ18" s="680"/>
      <c r="DR18" s="680"/>
      <c r="DS18" s="680"/>
      <c r="DT18" s="680"/>
      <c r="DU18" s="680"/>
      <c r="DV18" s="682"/>
    </row>
    <row r="19" s="683" customFormat="true" ht="13.5" hidden="false" customHeight="true" outlineLevel="0" collapsed="false">
      <c r="A19" s="236"/>
      <c r="B19" s="684" t="s">
        <v>635</v>
      </c>
      <c r="C19" s="242"/>
      <c r="D19" s="685" t="e">
        <f aca="false">SUM(F19:DV19)</f>
        <v>#VALUE!</v>
      </c>
      <c r="E19" s="655"/>
      <c r="F19" s="685" t="e">
        <f aca="false">F12/'Executive Summary'!$O$5*'Executive Summary'!$O$6</f>
        <v>#VALUE!</v>
      </c>
      <c r="G19" s="436" t="e">
        <f aca="false">G12/'Executive Summary'!$O$5*'Executive Summary'!$O$6</f>
        <v>#VALUE!</v>
      </c>
      <c r="H19" s="685" t="e">
        <f aca="false">H12/'Executive Summary'!$O$5*'Executive Summary'!$O$6</f>
        <v>#VALUE!</v>
      </c>
      <c r="I19" s="685" t="e">
        <f aca="false">I12/'Executive Summary'!$O$5*'Executive Summary'!$O$6</f>
        <v>#VALUE!</v>
      </c>
      <c r="J19" s="685" t="e">
        <f aca="false">J12/'Executive Summary'!$O$5*'Executive Summary'!$O$6</f>
        <v>#VALUE!</v>
      </c>
      <c r="K19" s="685" t="e">
        <f aca="false">K12/'Executive Summary'!$O$5*'Executive Summary'!$O$6</f>
        <v>#VALUE!</v>
      </c>
      <c r="L19" s="685" t="e">
        <f aca="false">L12/'Executive Summary'!$O$5*'Executive Summary'!$O$6</f>
        <v>#VALUE!</v>
      </c>
      <c r="M19" s="685" t="e">
        <f aca="false">M12/'Executive Summary'!$O$5*'Executive Summary'!$O$6</f>
        <v>#VALUE!</v>
      </c>
      <c r="N19" s="685" t="e">
        <f aca="false">N12/'Executive Summary'!$O$5*'Executive Summary'!$O$6</f>
        <v>#VALUE!</v>
      </c>
      <c r="O19" s="685" t="e">
        <f aca="false">O12/'Executive Summary'!$O$5*'Executive Summary'!$O$6</f>
        <v>#VALUE!</v>
      </c>
      <c r="P19" s="685" t="e">
        <f aca="false">P12/'Executive Summary'!$O$5*'Executive Summary'!$O$6</f>
        <v>#VALUE!</v>
      </c>
      <c r="Q19" s="685" t="e">
        <f aca="false">Q12/'Executive Summary'!$O$5*'Executive Summary'!$O$6</f>
        <v>#VALUE!</v>
      </c>
      <c r="R19" s="685" t="e">
        <f aca="false">R12/'Executive Summary'!$O$5*'Executive Summary'!$O$6</f>
        <v>#VALUE!</v>
      </c>
      <c r="S19" s="436" t="e">
        <f aca="false">S12/'Executive Summary'!$O$5*'Executive Summary'!$O$6</f>
        <v>#VALUE!</v>
      </c>
      <c r="T19" s="685" t="e">
        <f aca="false">T12/'Executive Summary'!$O$5*'Executive Summary'!$O$6</f>
        <v>#VALUE!</v>
      </c>
      <c r="U19" s="685" t="e">
        <f aca="false">U12/'Executive Summary'!$O$5*'Executive Summary'!$O$6</f>
        <v>#VALUE!</v>
      </c>
      <c r="V19" s="685" t="e">
        <f aca="false">V12/'Executive Summary'!$O$5*'Executive Summary'!$O$6</f>
        <v>#VALUE!</v>
      </c>
      <c r="W19" s="685" t="e">
        <f aca="false">W12/'Executive Summary'!$O$5*'Executive Summary'!$O$6</f>
        <v>#VALUE!</v>
      </c>
      <c r="X19" s="685" t="e">
        <f aca="false">X12/'Executive Summary'!$O$5*'Executive Summary'!$O$6</f>
        <v>#VALUE!</v>
      </c>
      <c r="Y19" s="685" t="e">
        <f aca="false">Y12/'Executive Summary'!$O$5*'Executive Summary'!$O$6</f>
        <v>#VALUE!</v>
      </c>
      <c r="Z19" s="685" t="e">
        <f aca="false">Z12/'Executive Summary'!$O$5*'Executive Summary'!$O$6</f>
        <v>#VALUE!</v>
      </c>
      <c r="AA19" s="685" t="e">
        <f aca="false">AA12/'Executive Summary'!$O$5*'Executive Summary'!$O$6</f>
        <v>#VALUE!</v>
      </c>
      <c r="AB19" s="685" t="e">
        <f aca="false">AB12/'Executive Summary'!$O$5*'Executive Summary'!$O$6</f>
        <v>#VALUE!</v>
      </c>
      <c r="AC19" s="685" t="e">
        <f aca="false">AC12/'Executive Summary'!$O$5*'Executive Summary'!$O$6</f>
        <v>#VALUE!</v>
      </c>
      <c r="AD19" s="685" t="e">
        <f aca="false">AD12/'Executive Summary'!$O$5*'Executive Summary'!$O$6</f>
        <v>#VALUE!</v>
      </c>
      <c r="AE19" s="436" t="e">
        <f aca="false">AE12/'Executive Summary'!$O$5*'Executive Summary'!$O$6</f>
        <v>#VALUE!</v>
      </c>
      <c r="AF19" s="685" t="e">
        <f aca="false">AF12/'Executive Summary'!$O$5*'Executive Summary'!$O$6</f>
        <v>#VALUE!</v>
      </c>
      <c r="AG19" s="685" t="e">
        <f aca="false">AG12/'Executive Summary'!$O$5*'Executive Summary'!$O$6</f>
        <v>#VALUE!</v>
      </c>
      <c r="AH19" s="685" t="e">
        <f aca="false">AH12/'Executive Summary'!$O$5*'Executive Summary'!$O$6</f>
        <v>#VALUE!</v>
      </c>
      <c r="AI19" s="685" t="e">
        <f aca="false">AI12/'Executive Summary'!$O$5*'Executive Summary'!$O$6</f>
        <v>#VALUE!</v>
      </c>
      <c r="AJ19" s="685" t="e">
        <f aca="false">AJ12/'Executive Summary'!$O$5*'Executive Summary'!$O$6</f>
        <v>#VALUE!</v>
      </c>
      <c r="AK19" s="685" t="e">
        <f aca="false">AK12/'Executive Summary'!$O$5*'Executive Summary'!$O$6</f>
        <v>#VALUE!</v>
      </c>
      <c r="AL19" s="685" t="e">
        <f aca="false">AL12/'Executive Summary'!$O$5*'Executive Summary'!$O$6</f>
        <v>#VALUE!</v>
      </c>
      <c r="AM19" s="685" t="e">
        <f aca="false">AM12/'Executive Summary'!$O$5*'Executive Summary'!$O$6</f>
        <v>#VALUE!</v>
      </c>
      <c r="AN19" s="685" t="e">
        <f aca="false">AN12/'Executive Summary'!$O$5*'Executive Summary'!$O$6</f>
        <v>#VALUE!</v>
      </c>
      <c r="AO19" s="685" t="e">
        <f aca="false">AO12/'Executive Summary'!$O$5*'Executive Summary'!$O$6</f>
        <v>#VALUE!</v>
      </c>
      <c r="AP19" s="685" t="e">
        <f aca="false">AP12/'Executive Summary'!$O$5*'Executive Summary'!$O$6</f>
        <v>#VALUE!</v>
      </c>
      <c r="AQ19" s="436" t="e">
        <f aca="false">AQ12/'Executive Summary'!$O$5*'Executive Summary'!$O$6</f>
        <v>#VALUE!</v>
      </c>
      <c r="AR19" s="685" t="e">
        <f aca="false">AR12/'Executive Summary'!$O$5*'Executive Summary'!$O$6</f>
        <v>#VALUE!</v>
      </c>
      <c r="AS19" s="685" t="e">
        <f aca="false">AS12/'Executive Summary'!$O$5*'Executive Summary'!$O$6</f>
        <v>#VALUE!</v>
      </c>
      <c r="AT19" s="685" t="e">
        <f aca="false">AT12/'Executive Summary'!$O$5*'Executive Summary'!$O$6</f>
        <v>#VALUE!</v>
      </c>
      <c r="AU19" s="685" t="e">
        <f aca="false">AU12/'Executive Summary'!$O$5*'Executive Summary'!$O$6</f>
        <v>#VALUE!</v>
      </c>
      <c r="AV19" s="685" t="e">
        <f aca="false">AV12/'Executive Summary'!$O$5*'Executive Summary'!$O$6</f>
        <v>#VALUE!</v>
      </c>
      <c r="AW19" s="685" t="e">
        <f aca="false">AW12/'Executive Summary'!$O$5*'Executive Summary'!$O$6</f>
        <v>#VALUE!</v>
      </c>
      <c r="AX19" s="685" t="e">
        <f aca="false">AX12/'Executive Summary'!$O$5*'Executive Summary'!$O$6</f>
        <v>#VALUE!</v>
      </c>
      <c r="AY19" s="685" t="e">
        <f aca="false">AY12/'Executive Summary'!$O$5*'Executive Summary'!$O$6</f>
        <v>#VALUE!</v>
      </c>
      <c r="AZ19" s="685" t="e">
        <f aca="false">AZ12/'Executive Summary'!$O$5*'Executive Summary'!$O$6</f>
        <v>#VALUE!</v>
      </c>
      <c r="BA19" s="685" t="e">
        <f aca="false">BA12/'Executive Summary'!$O$5*'Executive Summary'!$O$6</f>
        <v>#VALUE!</v>
      </c>
      <c r="BB19" s="685" t="e">
        <f aca="false">BB12/'Executive Summary'!$O$5*'Executive Summary'!$O$6</f>
        <v>#VALUE!</v>
      </c>
      <c r="BC19" s="436" t="e">
        <f aca="false">BC12/'Executive Summary'!$O$5*'Executive Summary'!$O$6</f>
        <v>#VALUE!</v>
      </c>
      <c r="BD19" s="685" t="e">
        <f aca="false">BD12/'Executive Summary'!$O$5*'Executive Summary'!$O$6</f>
        <v>#VALUE!</v>
      </c>
      <c r="BE19" s="685" t="e">
        <f aca="false">BE12/'Executive Summary'!$O$5*'Executive Summary'!$O$6</f>
        <v>#VALUE!</v>
      </c>
      <c r="BF19" s="685" t="e">
        <f aca="false">BF12/'Executive Summary'!$O$5*'Executive Summary'!$O$6</f>
        <v>#VALUE!</v>
      </c>
      <c r="BG19" s="685" t="e">
        <f aca="false">BG12/'Executive Summary'!$O$5*'Executive Summary'!$O$6</f>
        <v>#VALUE!</v>
      </c>
      <c r="BH19" s="685" t="e">
        <f aca="false">BH12/'Executive Summary'!$O$5*'Executive Summary'!$O$6</f>
        <v>#VALUE!</v>
      </c>
      <c r="BI19" s="685" t="e">
        <f aca="false">BI12/'Executive Summary'!$O$5*'Executive Summary'!$O$6</f>
        <v>#VALUE!</v>
      </c>
      <c r="BJ19" s="685" t="e">
        <f aca="false">BJ12/'Executive Summary'!$O$5*'Executive Summary'!$O$6</f>
        <v>#VALUE!</v>
      </c>
      <c r="BK19" s="685" t="e">
        <f aca="false">BK12/'Executive Summary'!$O$5*'Executive Summary'!$O$6</f>
        <v>#VALUE!</v>
      </c>
      <c r="BL19" s="685" t="e">
        <f aca="false">BL12/'Executive Summary'!$O$5*'Executive Summary'!$O$6</f>
        <v>#VALUE!</v>
      </c>
      <c r="BM19" s="685" t="e">
        <f aca="false">BM12/'Executive Summary'!$O$5*'Executive Summary'!$O$6</f>
        <v>#VALUE!</v>
      </c>
      <c r="BN19" s="685" t="e">
        <f aca="false">BN12/'Executive Summary'!$O$5*'Executive Summary'!$O$6</f>
        <v>#VALUE!</v>
      </c>
      <c r="BO19" s="436" t="e">
        <f aca="false">BO12/'Executive Summary'!$O$5*'Executive Summary'!$O$6</f>
        <v>#VALUE!</v>
      </c>
      <c r="BP19" s="685" t="e">
        <f aca="false">BP12/'Executive Summary'!$O$5*'Executive Summary'!$O$6</f>
        <v>#VALUE!</v>
      </c>
      <c r="BQ19" s="685" t="e">
        <f aca="false">BQ12/'Executive Summary'!$O$5*'Executive Summary'!$O$6</f>
        <v>#VALUE!</v>
      </c>
      <c r="BR19" s="685" t="e">
        <f aca="false">BR12/'Executive Summary'!$O$5*'Executive Summary'!$O$6</f>
        <v>#VALUE!</v>
      </c>
      <c r="BS19" s="685" t="e">
        <f aca="false">BS12/'Executive Summary'!$O$5*'Executive Summary'!$O$6</f>
        <v>#VALUE!</v>
      </c>
      <c r="BT19" s="685" t="e">
        <f aca="false">BT12/'Executive Summary'!$O$5*'Executive Summary'!$O$6</f>
        <v>#VALUE!</v>
      </c>
      <c r="BU19" s="685" t="e">
        <f aca="false">BU12/'Executive Summary'!$O$5*'Executive Summary'!$O$6</f>
        <v>#VALUE!</v>
      </c>
      <c r="BV19" s="685" t="e">
        <f aca="false">BV12/'Executive Summary'!$O$5*'Executive Summary'!$O$6</f>
        <v>#VALUE!</v>
      </c>
      <c r="BW19" s="685" t="e">
        <f aca="false">BW12/'Executive Summary'!$O$5*'Executive Summary'!$O$6</f>
        <v>#VALUE!</v>
      </c>
      <c r="BX19" s="685" t="e">
        <f aca="false">BX12/'Executive Summary'!$O$5*'Executive Summary'!$O$6</f>
        <v>#VALUE!</v>
      </c>
      <c r="BY19" s="685" t="e">
        <f aca="false">BY12/'Executive Summary'!$O$5*'Executive Summary'!$O$6</f>
        <v>#VALUE!</v>
      </c>
      <c r="BZ19" s="685" t="e">
        <f aca="false">BZ12/'Executive Summary'!$O$5*'Executive Summary'!$O$6</f>
        <v>#VALUE!</v>
      </c>
      <c r="CA19" s="436" t="e">
        <f aca="false">CA12/'Executive Summary'!$O$5*'Executive Summary'!$O$6</f>
        <v>#VALUE!</v>
      </c>
      <c r="CB19" s="685" t="e">
        <f aca="false">CB12/'Executive Summary'!$O$5*'Executive Summary'!$O$6</f>
        <v>#VALUE!</v>
      </c>
      <c r="CC19" s="685" t="e">
        <f aca="false">CC12/'Executive Summary'!$O$5*'Executive Summary'!$O$6</f>
        <v>#VALUE!</v>
      </c>
      <c r="CD19" s="685" t="e">
        <f aca="false">CD12/'Executive Summary'!$O$5*'Executive Summary'!$O$6</f>
        <v>#VALUE!</v>
      </c>
      <c r="CE19" s="685" t="e">
        <f aca="false">CE12/'Executive Summary'!$O$5*'Executive Summary'!$O$6</f>
        <v>#VALUE!</v>
      </c>
      <c r="CF19" s="685" t="e">
        <f aca="false">CF12/'Executive Summary'!$O$5*'Executive Summary'!$O$6</f>
        <v>#VALUE!</v>
      </c>
      <c r="CG19" s="685" t="e">
        <f aca="false">CG12/'Executive Summary'!$O$5*'Executive Summary'!$O$6</f>
        <v>#VALUE!</v>
      </c>
      <c r="CH19" s="685" t="e">
        <f aca="false">CH12/'Executive Summary'!$O$5*'Executive Summary'!$O$6</f>
        <v>#VALUE!</v>
      </c>
      <c r="CI19" s="685" t="e">
        <f aca="false">CI12/'Executive Summary'!$O$5*'Executive Summary'!$O$6</f>
        <v>#VALUE!</v>
      </c>
      <c r="CJ19" s="685" t="e">
        <f aca="false">CJ12/'Executive Summary'!$O$5*'Executive Summary'!$O$6</f>
        <v>#VALUE!</v>
      </c>
      <c r="CK19" s="685" t="e">
        <f aca="false">CK12/'Executive Summary'!$O$5*'Executive Summary'!$O$6</f>
        <v>#VALUE!</v>
      </c>
      <c r="CL19" s="685" t="e">
        <f aca="false">CL12/'Executive Summary'!$O$5*'Executive Summary'!$O$6</f>
        <v>#VALUE!</v>
      </c>
      <c r="CM19" s="436" t="e">
        <f aca="false">CM12/'Executive Summary'!$O$5*'Executive Summary'!$O$6</f>
        <v>#VALUE!</v>
      </c>
      <c r="CN19" s="685" t="e">
        <f aca="false">CN12/'Executive Summary'!$O$5*'Executive Summary'!$O$6</f>
        <v>#VALUE!</v>
      </c>
      <c r="CO19" s="685" t="e">
        <f aca="false">CO12/'Executive Summary'!$O$5*'Executive Summary'!$O$6</f>
        <v>#VALUE!</v>
      </c>
      <c r="CP19" s="685" t="e">
        <f aca="false">CP12/'Executive Summary'!$O$5*'Executive Summary'!$O$6</f>
        <v>#VALUE!</v>
      </c>
      <c r="CQ19" s="685" t="e">
        <f aca="false">CQ12/'Executive Summary'!$O$5*'Executive Summary'!$O$6</f>
        <v>#VALUE!</v>
      </c>
      <c r="CR19" s="685" t="e">
        <f aca="false">CR12/'Executive Summary'!$O$5*'Executive Summary'!$O$6</f>
        <v>#VALUE!</v>
      </c>
      <c r="CS19" s="685" t="e">
        <f aca="false">CS12/'Executive Summary'!$O$5*'Executive Summary'!$O$6</f>
        <v>#VALUE!</v>
      </c>
      <c r="CT19" s="685" t="e">
        <f aca="false">CT12/'Executive Summary'!$O$5*'Executive Summary'!$O$6</f>
        <v>#VALUE!</v>
      </c>
      <c r="CU19" s="685" t="e">
        <f aca="false">CU12/'Executive Summary'!$O$5*'Executive Summary'!$O$6</f>
        <v>#VALUE!</v>
      </c>
      <c r="CV19" s="685" t="e">
        <f aca="false">CV12/'Executive Summary'!$O$5*'Executive Summary'!$O$6</f>
        <v>#VALUE!</v>
      </c>
      <c r="CW19" s="685" t="e">
        <f aca="false">CW12/'Executive Summary'!$O$5*'Executive Summary'!$O$6</f>
        <v>#VALUE!</v>
      </c>
      <c r="CX19" s="685" t="e">
        <f aca="false">CX12/'Executive Summary'!$O$5*'Executive Summary'!$O$6</f>
        <v>#VALUE!</v>
      </c>
      <c r="CY19" s="436" t="e">
        <f aca="false">CY12/'Executive Summary'!$O$5*'Executive Summary'!$O$6</f>
        <v>#VALUE!</v>
      </c>
      <c r="CZ19" s="685" t="e">
        <f aca="false">CZ12/'Executive Summary'!$O$5*'Executive Summary'!$O$6</f>
        <v>#VALUE!</v>
      </c>
      <c r="DA19" s="685" t="e">
        <f aca="false">DA12/'Executive Summary'!$O$5*'Executive Summary'!$O$6</f>
        <v>#VALUE!</v>
      </c>
      <c r="DB19" s="685" t="e">
        <f aca="false">DB12/'Executive Summary'!$O$5*'Executive Summary'!$O$6</f>
        <v>#VALUE!</v>
      </c>
      <c r="DC19" s="685" t="e">
        <f aca="false">DC12/'Executive Summary'!$O$5*'Executive Summary'!$O$6</f>
        <v>#VALUE!</v>
      </c>
      <c r="DD19" s="685" t="e">
        <f aca="false">DD12/'Executive Summary'!$O$5*'Executive Summary'!$O$6</f>
        <v>#VALUE!</v>
      </c>
      <c r="DE19" s="685" t="e">
        <f aca="false">DE12/'Executive Summary'!$O$5*'Executive Summary'!$O$6</f>
        <v>#VALUE!</v>
      </c>
      <c r="DF19" s="685" t="e">
        <f aca="false">DF12/'Executive Summary'!$O$5*'Executive Summary'!$O$6</f>
        <v>#VALUE!</v>
      </c>
      <c r="DG19" s="685" t="e">
        <f aca="false">DG12/'Executive Summary'!$O$5*'Executive Summary'!$O$6</f>
        <v>#VALUE!</v>
      </c>
      <c r="DH19" s="685" t="e">
        <f aca="false">DH12/'Executive Summary'!$O$5*'Executive Summary'!$O$6</f>
        <v>#VALUE!</v>
      </c>
      <c r="DI19" s="685" t="e">
        <f aca="false">DI12/'Executive Summary'!$O$5*'Executive Summary'!$O$6</f>
        <v>#VALUE!</v>
      </c>
      <c r="DJ19" s="685" t="e">
        <f aca="false">DJ12/'Executive Summary'!$O$5*'Executive Summary'!$O$6</f>
        <v>#VALUE!</v>
      </c>
      <c r="DK19" s="436" t="e">
        <f aca="false">DK12/'Executive Summary'!$O$5*'Executive Summary'!$O$6</f>
        <v>#VALUE!</v>
      </c>
      <c r="DL19" s="685" t="e">
        <f aca="false">DL12/'Executive Summary'!$O$5*'Executive Summary'!$O$6</f>
        <v>#VALUE!</v>
      </c>
      <c r="DM19" s="685" t="e">
        <f aca="false">DM12/'Executive Summary'!$O$5*'Executive Summary'!$O$6</f>
        <v>#VALUE!</v>
      </c>
      <c r="DN19" s="685" t="e">
        <f aca="false">DN12/'Executive Summary'!$O$5*'Executive Summary'!$O$6</f>
        <v>#VALUE!</v>
      </c>
      <c r="DO19" s="685" t="e">
        <f aca="false">DO12/'Executive Summary'!$O$5*'Executive Summary'!$O$6</f>
        <v>#VALUE!</v>
      </c>
      <c r="DP19" s="685" t="e">
        <f aca="false">DP12/'Executive Summary'!$O$5*'Executive Summary'!$O$6</f>
        <v>#VALUE!</v>
      </c>
      <c r="DQ19" s="685" t="e">
        <f aca="false">DQ12/'Executive Summary'!$O$5*'Executive Summary'!$O$6</f>
        <v>#VALUE!</v>
      </c>
      <c r="DR19" s="685" t="e">
        <f aca="false">DR12/'Executive Summary'!$O$5*'Executive Summary'!$O$6</f>
        <v>#VALUE!</v>
      </c>
      <c r="DS19" s="685" t="e">
        <f aca="false">DS12/'Executive Summary'!$O$5*'Executive Summary'!$O$6</f>
        <v>#VALUE!</v>
      </c>
      <c r="DT19" s="685" t="e">
        <f aca="false">DT12/'Executive Summary'!$O$5*'Executive Summary'!$O$6</f>
        <v>#VALUE!</v>
      </c>
      <c r="DU19" s="685" t="e">
        <f aca="false">DU12/'Executive Summary'!$O$5*'Executive Summary'!$O$6</f>
        <v>#VALUE!</v>
      </c>
      <c r="DV19" s="686" t="e">
        <f aca="false">DV12/'Executive Summary'!$O$5*'Executive Summary'!$O$6</f>
        <v>#VALUE!</v>
      </c>
    </row>
    <row r="20" s="683" customFormat="true" ht="13.5" hidden="false" customHeight="true" outlineLevel="0" collapsed="false">
      <c r="A20" s="236"/>
      <c r="B20" s="701" t="s">
        <v>636</v>
      </c>
      <c r="C20" s="268"/>
      <c r="D20" s="702" t="e">
        <f aca="false">SUM(F20:DV20)</f>
        <v>#VALUE!</v>
      </c>
      <c r="E20" s="655"/>
      <c r="F20" s="685" t="e">
        <f aca="false">F21-F19</f>
        <v>#VALUE!</v>
      </c>
      <c r="G20" s="436" t="e">
        <f aca="false">G21-G19</f>
        <v>#VALUE!</v>
      </c>
      <c r="H20" s="685" t="e">
        <f aca="false">H21-H19</f>
        <v>#VALUE!</v>
      </c>
      <c r="I20" s="685" t="e">
        <f aca="false">I21-I19</f>
        <v>#VALUE!</v>
      </c>
      <c r="J20" s="685" t="e">
        <f aca="false">J21-J19</f>
        <v>#VALUE!</v>
      </c>
      <c r="K20" s="685" t="e">
        <f aca="false">K21-K19</f>
        <v>#VALUE!</v>
      </c>
      <c r="L20" s="685" t="e">
        <f aca="false">L21-L19</f>
        <v>#VALUE!</v>
      </c>
      <c r="M20" s="685" t="e">
        <f aca="false">M21-M19</f>
        <v>#VALUE!</v>
      </c>
      <c r="N20" s="685" t="e">
        <f aca="false">N21-N19</f>
        <v>#VALUE!</v>
      </c>
      <c r="O20" s="685" t="e">
        <f aca="false">O21-O19</f>
        <v>#VALUE!</v>
      </c>
      <c r="P20" s="685" t="e">
        <f aca="false">P21-P19</f>
        <v>#VALUE!</v>
      </c>
      <c r="Q20" s="685" t="e">
        <f aca="false">Q21-Q19</f>
        <v>#VALUE!</v>
      </c>
      <c r="R20" s="685" t="e">
        <f aca="false">R21-R19</f>
        <v>#VALUE!</v>
      </c>
      <c r="S20" s="436" t="e">
        <f aca="false">S21-S19</f>
        <v>#VALUE!</v>
      </c>
      <c r="T20" s="685" t="e">
        <f aca="false">T21-T19</f>
        <v>#VALUE!</v>
      </c>
      <c r="U20" s="685" t="e">
        <f aca="false">U21-U19</f>
        <v>#VALUE!</v>
      </c>
      <c r="V20" s="685" t="e">
        <f aca="false">V21-V19</f>
        <v>#VALUE!</v>
      </c>
      <c r="W20" s="685" t="e">
        <f aca="false">W21-W19</f>
        <v>#VALUE!</v>
      </c>
      <c r="X20" s="685" t="e">
        <f aca="false">X21-X19</f>
        <v>#VALUE!</v>
      </c>
      <c r="Y20" s="685" t="e">
        <f aca="false">Y21-Y19</f>
        <v>#VALUE!</v>
      </c>
      <c r="Z20" s="685" t="e">
        <f aca="false">Z21-Z19</f>
        <v>#VALUE!</v>
      </c>
      <c r="AA20" s="685" t="e">
        <f aca="false">AA21-AA19</f>
        <v>#VALUE!</v>
      </c>
      <c r="AB20" s="685" t="e">
        <f aca="false">AB21-AB19</f>
        <v>#VALUE!</v>
      </c>
      <c r="AC20" s="685" t="e">
        <f aca="false">AC21-AC19</f>
        <v>#VALUE!</v>
      </c>
      <c r="AD20" s="685" t="e">
        <f aca="false">AD21-AD19</f>
        <v>#VALUE!</v>
      </c>
      <c r="AE20" s="436" t="e">
        <f aca="false">AE21-AE19</f>
        <v>#VALUE!</v>
      </c>
      <c r="AF20" s="685" t="e">
        <f aca="false">AF21-AF19</f>
        <v>#VALUE!</v>
      </c>
      <c r="AG20" s="685" t="e">
        <f aca="false">AG21-AG19</f>
        <v>#VALUE!</v>
      </c>
      <c r="AH20" s="685" t="e">
        <f aca="false">AH21-AH19</f>
        <v>#VALUE!</v>
      </c>
      <c r="AI20" s="685" t="e">
        <f aca="false">AI21-AI19</f>
        <v>#VALUE!</v>
      </c>
      <c r="AJ20" s="685" t="e">
        <f aca="false">AJ21-AJ19</f>
        <v>#VALUE!</v>
      </c>
      <c r="AK20" s="685" t="e">
        <f aca="false">AK21-AK19</f>
        <v>#VALUE!</v>
      </c>
      <c r="AL20" s="685" t="e">
        <f aca="false">AL21-AL19</f>
        <v>#VALUE!</v>
      </c>
      <c r="AM20" s="685" t="e">
        <f aca="false">AM21-AM19</f>
        <v>#VALUE!</v>
      </c>
      <c r="AN20" s="685" t="e">
        <f aca="false">AN21-AN19</f>
        <v>#VALUE!</v>
      </c>
      <c r="AO20" s="685" t="e">
        <f aca="false">AO21-AO19</f>
        <v>#VALUE!</v>
      </c>
      <c r="AP20" s="685" t="e">
        <f aca="false">AP21-AP19</f>
        <v>#VALUE!</v>
      </c>
      <c r="AQ20" s="436" t="e">
        <f aca="false">AQ21-AQ19</f>
        <v>#VALUE!</v>
      </c>
      <c r="AR20" s="685" t="e">
        <f aca="false">AR21-AR19</f>
        <v>#VALUE!</v>
      </c>
      <c r="AS20" s="685" t="e">
        <f aca="false">AS21-AS19</f>
        <v>#VALUE!</v>
      </c>
      <c r="AT20" s="685" t="e">
        <f aca="false">AT21-AT19</f>
        <v>#VALUE!</v>
      </c>
      <c r="AU20" s="685" t="e">
        <f aca="false">AU21-AU19</f>
        <v>#VALUE!</v>
      </c>
      <c r="AV20" s="685" t="e">
        <f aca="false">AV21-AV19</f>
        <v>#VALUE!</v>
      </c>
      <c r="AW20" s="685" t="e">
        <f aca="false">AW21-AW19</f>
        <v>#VALUE!</v>
      </c>
      <c r="AX20" s="685" t="e">
        <f aca="false">AX21-AX19</f>
        <v>#VALUE!</v>
      </c>
      <c r="AY20" s="685" t="e">
        <f aca="false">AY21-AY19</f>
        <v>#VALUE!</v>
      </c>
      <c r="AZ20" s="685" t="e">
        <f aca="false">AZ21-AZ19</f>
        <v>#VALUE!</v>
      </c>
      <c r="BA20" s="685" t="e">
        <f aca="false">BA21-BA19</f>
        <v>#VALUE!</v>
      </c>
      <c r="BB20" s="685" t="e">
        <f aca="false">BB21-BB19</f>
        <v>#VALUE!</v>
      </c>
      <c r="BC20" s="436" t="e">
        <f aca="false">BC21-BC19</f>
        <v>#VALUE!</v>
      </c>
      <c r="BD20" s="685" t="e">
        <f aca="false">BD21-BD19</f>
        <v>#VALUE!</v>
      </c>
      <c r="BE20" s="685" t="e">
        <f aca="false">BE21-BE19</f>
        <v>#VALUE!</v>
      </c>
      <c r="BF20" s="685" t="e">
        <f aca="false">BF21-BF19</f>
        <v>#VALUE!</v>
      </c>
      <c r="BG20" s="685" t="e">
        <f aca="false">BG21-BG19</f>
        <v>#VALUE!</v>
      </c>
      <c r="BH20" s="685" t="e">
        <f aca="false">BH21-BH19</f>
        <v>#VALUE!</v>
      </c>
      <c r="BI20" s="685" t="e">
        <f aca="false">BI21-BI19</f>
        <v>#VALUE!</v>
      </c>
      <c r="BJ20" s="685" t="e">
        <f aca="false">BJ21-BJ19</f>
        <v>#VALUE!</v>
      </c>
      <c r="BK20" s="685" t="e">
        <f aca="false">BK21-BK19</f>
        <v>#VALUE!</v>
      </c>
      <c r="BL20" s="685" t="e">
        <f aca="false">BL21-BL19</f>
        <v>#VALUE!</v>
      </c>
      <c r="BM20" s="685" t="e">
        <f aca="false">BM21-BM19</f>
        <v>#VALUE!</v>
      </c>
      <c r="BN20" s="685" t="e">
        <f aca="false">BN21-BN19</f>
        <v>#VALUE!</v>
      </c>
      <c r="BO20" s="436" t="e">
        <f aca="false">BO21-BO19</f>
        <v>#VALUE!</v>
      </c>
      <c r="BP20" s="685" t="e">
        <f aca="false">BP21-BP19</f>
        <v>#VALUE!</v>
      </c>
      <c r="BQ20" s="685" t="e">
        <f aca="false">BQ21-BQ19</f>
        <v>#VALUE!</v>
      </c>
      <c r="BR20" s="685" t="e">
        <f aca="false">BR21-BR19</f>
        <v>#VALUE!</v>
      </c>
      <c r="BS20" s="685" t="e">
        <f aca="false">BS21-BS19</f>
        <v>#VALUE!</v>
      </c>
      <c r="BT20" s="685" t="e">
        <f aca="false">BT21-BT19</f>
        <v>#VALUE!</v>
      </c>
      <c r="BU20" s="685" t="e">
        <f aca="false">BU21-BU19</f>
        <v>#VALUE!</v>
      </c>
      <c r="BV20" s="685" t="e">
        <f aca="false">BV21-BV19</f>
        <v>#VALUE!</v>
      </c>
      <c r="BW20" s="685" t="e">
        <f aca="false">BW21-BW19</f>
        <v>#VALUE!</v>
      </c>
      <c r="BX20" s="685" t="e">
        <f aca="false">BX21-BX19</f>
        <v>#VALUE!</v>
      </c>
      <c r="BY20" s="685" t="e">
        <f aca="false">BY21-BY19</f>
        <v>#VALUE!</v>
      </c>
      <c r="BZ20" s="685" t="e">
        <f aca="false">BZ21-BZ19</f>
        <v>#VALUE!</v>
      </c>
      <c r="CA20" s="436" t="e">
        <f aca="false">CA21-CA19</f>
        <v>#VALUE!</v>
      </c>
      <c r="CB20" s="685" t="e">
        <f aca="false">CB21-CB19</f>
        <v>#VALUE!</v>
      </c>
      <c r="CC20" s="685" t="e">
        <f aca="false">CC21-CC19</f>
        <v>#VALUE!</v>
      </c>
      <c r="CD20" s="685" t="e">
        <f aca="false">CD21-CD19</f>
        <v>#VALUE!</v>
      </c>
      <c r="CE20" s="685" t="e">
        <f aca="false">CE21-CE19</f>
        <v>#VALUE!</v>
      </c>
      <c r="CF20" s="685" t="e">
        <f aca="false">CF21-CF19</f>
        <v>#VALUE!</v>
      </c>
      <c r="CG20" s="685" t="e">
        <f aca="false">CG21-CG19</f>
        <v>#VALUE!</v>
      </c>
      <c r="CH20" s="685" t="e">
        <f aca="false">CH21-CH19</f>
        <v>#VALUE!</v>
      </c>
      <c r="CI20" s="685" t="e">
        <f aca="false">CI21-CI19</f>
        <v>#VALUE!</v>
      </c>
      <c r="CJ20" s="685" t="e">
        <f aca="false">CJ21-CJ19</f>
        <v>#VALUE!</v>
      </c>
      <c r="CK20" s="685" t="e">
        <f aca="false">CK21-CK19</f>
        <v>#VALUE!</v>
      </c>
      <c r="CL20" s="685" t="e">
        <f aca="false">CL21-CL19</f>
        <v>#VALUE!</v>
      </c>
      <c r="CM20" s="436" t="e">
        <f aca="false">CM21-CM19</f>
        <v>#VALUE!</v>
      </c>
      <c r="CN20" s="685" t="e">
        <f aca="false">CN21-CN19</f>
        <v>#VALUE!</v>
      </c>
      <c r="CO20" s="685" t="e">
        <f aca="false">CO21-CO19</f>
        <v>#VALUE!</v>
      </c>
      <c r="CP20" s="685" t="e">
        <f aca="false">CP21-CP19</f>
        <v>#VALUE!</v>
      </c>
      <c r="CQ20" s="685" t="e">
        <f aca="false">CQ21-CQ19</f>
        <v>#VALUE!</v>
      </c>
      <c r="CR20" s="685" t="e">
        <f aca="false">CR21-CR19</f>
        <v>#VALUE!</v>
      </c>
      <c r="CS20" s="685" t="e">
        <f aca="false">CS21-CS19</f>
        <v>#VALUE!</v>
      </c>
      <c r="CT20" s="685" t="e">
        <f aca="false">CT21-CT19</f>
        <v>#VALUE!</v>
      </c>
      <c r="CU20" s="685" t="e">
        <f aca="false">CU21-CU19</f>
        <v>#VALUE!</v>
      </c>
      <c r="CV20" s="685" t="e">
        <f aca="false">CV21-CV19</f>
        <v>#VALUE!</v>
      </c>
      <c r="CW20" s="685" t="e">
        <f aca="false">CW21-CW19</f>
        <v>#VALUE!</v>
      </c>
      <c r="CX20" s="685" t="e">
        <f aca="false">CX21-CX19</f>
        <v>#VALUE!</v>
      </c>
      <c r="CY20" s="436" t="e">
        <f aca="false">CY21-CY19</f>
        <v>#VALUE!</v>
      </c>
      <c r="CZ20" s="685" t="e">
        <f aca="false">CZ21-CZ19</f>
        <v>#VALUE!</v>
      </c>
      <c r="DA20" s="685" t="e">
        <f aca="false">DA21-DA19</f>
        <v>#VALUE!</v>
      </c>
      <c r="DB20" s="685" t="e">
        <f aca="false">DB21-DB19</f>
        <v>#VALUE!</v>
      </c>
      <c r="DC20" s="685" t="e">
        <f aca="false">DC21-DC19</f>
        <v>#VALUE!</v>
      </c>
      <c r="DD20" s="685" t="e">
        <f aca="false">DD21-DD19</f>
        <v>#VALUE!</v>
      </c>
      <c r="DE20" s="685" t="e">
        <f aca="false">DE21-DE19</f>
        <v>#VALUE!</v>
      </c>
      <c r="DF20" s="685" t="e">
        <f aca="false">DF21-DF19</f>
        <v>#VALUE!</v>
      </c>
      <c r="DG20" s="685" t="e">
        <f aca="false">DG21-DG19</f>
        <v>#VALUE!</v>
      </c>
      <c r="DH20" s="685" t="e">
        <f aca="false">DH21-DH19</f>
        <v>#VALUE!</v>
      </c>
      <c r="DI20" s="685" t="e">
        <f aca="false">DI21-DI19</f>
        <v>#VALUE!</v>
      </c>
      <c r="DJ20" s="685" t="e">
        <f aca="false">DJ21-DJ19</f>
        <v>#VALUE!</v>
      </c>
      <c r="DK20" s="436" t="e">
        <f aca="false">DK21-DK19</f>
        <v>#VALUE!</v>
      </c>
      <c r="DL20" s="685" t="e">
        <f aca="false">DL21-DL19</f>
        <v>#VALUE!</v>
      </c>
      <c r="DM20" s="685" t="e">
        <f aca="false">DM21-DM19</f>
        <v>#VALUE!</v>
      </c>
      <c r="DN20" s="685" t="e">
        <f aca="false">DN21-DN19</f>
        <v>#VALUE!</v>
      </c>
      <c r="DO20" s="685" t="e">
        <f aca="false">DO21-DO19</f>
        <v>#VALUE!</v>
      </c>
      <c r="DP20" s="685" t="e">
        <f aca="false">DP21-DP19</f>
        <v>#VALUE!</v>
      </c>
      <c r="DQ20" s="685" t="e">
        <f aca="false">DQ21-DQ19</f>
        <v>#VALUE!</v>
      </c>
      <c r="DR20" s="685" t="e">
        <f aca="false">DR21-DR19</f>
        <v>#VALUE!</v>
      </c>
      <c r="DS20" s="685" t="e">
        <f aca="false">DS21-DS19</f>
        <v>#VALUE!</v>
      </c>
      <c r="DT20" s="685" t="e">
        <f aca="false">DT21-DT19</f>
        <v>#VALUE!</v>
      </c>
      <c r="DU20" s="685" t="e">
        <f aca="false">DU21-DU19</f>
        <v>#VALUE!</v>
      </c>
      <c r="DV20" s="686" t="e">
        <f aca="false">DV21-DV19</f>
        <v>#VALUE!</v>
      </c>
    </row>
    <row r="21" s="683" customFormat="true" ht="13.5" hidden="false" customHeight="true" outlineLevel="0" collapsed="false">
      <c r="A21" s="236"/>
      <c r="B21" s="684" t="s">
        <v>637</v>
      </c>
      <c r="C21" s="242"/>
      <c r="D21" s="685" t="e">
        <f aca="false">SUM(F21:DV21)</f>
        <v>#VALUE!</v>
      </c>
      <c r="E21" s="665"/>
      <c r="F21" s="685" t="e">
        <f aca="false">IF(F5="","",F38+F52+F66+F72)</f>
        <v>#VALUE!</v>
      </c>
      <c r="G21" s="436" t="e">
        <f aca="false">IF(G5="","",G38+G52+G66+G72)</f>
        <v>#VALUE!</v>
      </c>
      <c r="H21" s="685" t="e">
        <f aca="false">IF(H5="","",H38+H52+H66+H72)</f>
        <v>#VALUE!</v>
      </c>
      <c r="I21" s="685" t="e">
        <f aca="false">IF(I5="","",I38+I52+I66+I72)</f>
        <v>#VALUE!</v>
      </c>
      <c r="J21" s="685" t="e">
        <f aca="false">IF(J5="","",J38+J52+J66+J72)</f>
        <v>#VALUE!</v>
      </c>
      <c r="K21" s="685" t="e">
        <f aca="false">IF(K5="","",K38+K52+K66+K72)</f>
        <v>#VALUE!</v>
      </c>
      <c r="L21" s="685" t="e">
        <f aca="false">IF(L5="","",L38+L52+L66+L72)</f>
        <v>#VALUE!</v>
      </c>
      <c r="M21" s="685" t="e">
        <f aca="false">IF(M5="","",M38+M52+M66+M72)</f>
        <v>#VALUE!</v>
      </c>
      <c r="N21" s="685" t="e">
        <f aca="false">IF(N5="","",N38+N52+N66+N72)</f>
        <v>#VALUE!</v>
      </c>
      <c r="O21" s="685" t="e">
        <f aca="false">IF(O5="","",O38+O52+O66+O72)</f>
        <v>#VALUE!</v>
      </c>
      <c r="P21" s="685" t="e">
        <f aca="false">IF(P5="","",P38+P52+P66+P72)</f>
        <v>#VALUE!</v>
      </c>
      <c r="Q21" s="685" t="e">
        <f aca="false">IF(Q5="","",Q38+Q52+Q66+Q72)</f>
        <v>#VALUE!</v>
      </c>
      <c r="R21" s="685" t="e">
        <f aca="false">IF(R5="","",R38+R52+R66+R72)</f>
        <v>#VALUE!</v>
      </c>
      <c r="S21" s="436" t="e">
        <f aca="false">IF(S5="","",S38+S52+S66+S72)</f>
        <v>#VALUE!</v>
      </c>
      <c r="T21" s="685" t="e">
        <f aca="false">IF(T5="","",T38+T52+T66+T72)</f>
        <v>#VALUE!</v>
      </c>
      <c r="U21" s="685" t="e">
        <f aca="false">IF(U5="","",U38+U52+U66+U72)</f>
        <v>#VALUE!</v>
      </c>
      <c r="V21" s="685" t="e">
        <f aca="false">IF(V5="","",V38+V52+V66+V72)</f>
        <v>#VALUE!</v>
      </c>
      <c r="W21" s="685" t="e">
        <f aca="false">IF(W5="","",W38+W52+W66+W72)</f>
        <v>#VALUE!</v>
      </c>
      <c r="X21" s="685" t="e">
        <f aca="false">IF(X5="","",X38+X52+X66+X72)</f>
        <v>#VALUE!</v>
      </c>
      <c r="Y21" s="685" t="e">
        <f aca="false">IF(Y5="","",Y38+Y52+Y66+Y72)</f>
        <v>#VALUE!</v>
      </c>
      <c r="Z21" s="685" t="e">
        <f aca="false">IF(Z5="","",Z38+Z52+Z66+Z72)</f>
        <v>#VALUE!</v>
      </c>
      <c r="AA21" s="685" t="e">
        <f aca="false">IF(AA5="","",AA38+AA52+AA66+AA72)</f>
        <v>#VALUE!</v>
      </c>
      <c r="AB21" s="685" t="e">
        <f aca="false">IF(AB5="","",AB38+AB52+AB66+AB72)</f>
        <v>#VALUE!</v>
      </c>
      <c r="AC21" s="685" t="e">
        <f aca="false">IF(AC5="","",AC38+AC52+AC66+AC72)</f>
        <v>#VALUE!</v>
      </c>
      <c r="AD21" s="685" t="e">
        <f aca="false">IF(AD5="","",AD38+AD52+AD66+AD72)</f>
        <v>#VALUE!</v>
      </c>
      <c r="AE21" s="436" t="e">
        <f aca="false">IF(AE5="","",AE38+AE52+AE66+AE72)</f>
        <v>#VALUE!</v>
      </c>
      <c r="AF21" s="685" t="e">
        <f aca="false">IF(AF5="","",AF38+AF52+AF66+AF72)</f>
        <v>#VALUE!</v>
      </c>
      <c r="AG21" s="685" t="e">
        <f aca="false">IF(AG5="","",AG38+AG52+AG66+AG72)</f>
        <v>#VALUE!</v>
      </c>
      <c r="AH21" s="685" t="e">
        <f aca="false">IF(AH5="","",AH38+AH52+AH66+AH72)</f>
        <v>#VALUE!</v>
      </c>
      <c r="AI21" s="685" t="e">
        <f aca="false">IF(AI5="","",AI38+AI52+AI66+AI72)</f>
        <v>#VALUE!</v>
      </c>
      <c r="AJ21" s="685" t="e">
        <f aca="false">IF(AJ5="","",AJ38+AJ52+AJ66+AJ72)</f>
        <v>#VALUE!</v>
      </c>
      <c r="AK21" s="685" t="e">
        <f aca="false">IF(AK5="","",AK38+AK52+AK66+AK72)</f>
        <v>#VALUE!</v>
      </c>
      <c r="AL21" s="685" t="e">
        <f aca="false">IF(AL5="","",AL38+AL52+AL66+AL72)</f>
        <v>#VALUE!</v>
      </c>
      <c r="AM21" s="685" t="e">
        <f aca="false">IF(AM5="","",AM38+AM52+AM66+AM72)</f>
        <v>#VALUE!</v>
      </c>
      <c r="AN21" s="685" t="e">
        <f aca="false">IF(AN5="","",AN38+AN52+AN66+AN72)</f>
        <v>#VALUE!</v>
      </c>
      <c r="AO21" s="685" t="e">
        <f aca="false">IF(AO5="","",AO38+AO52+AO66+AO72)</f>
        <v>#VALUE!</v>
      </c>
      <c r="AP21" s="685" t="e">
        <f aca="false">IF(AP5="","",AP38+AP52+AP66+AP72)</f>
        <v>#VALUE!</v>
      </c>
      <c r="AQ21" s="436" t="e">
        <f aca="false">IF(AQ5="","",AQ38+AQ52+AQ66+AQ72)</f>
        <v>#VALUE!</v>
      </c>
      <c r="AR21" s="685" t="e">
        <f aca="false">IF(AR5="","",AR38+AR52+AR66+AR72)</f>
        <v>#VALUE!</v>
      </c>
      <c r="AS21" s="685" t="e">
        <f aca="false">IF(AS5="","",AS38+AS52+AS66+AS72)</f>
        <v>#VALUE!</v>
      </c>
      <c r="AT21" s="685" t="e">
        <f aca="false">IF(AT5="","",AT38+AT52+AT66+AT72)</f>
        <v>#VALUE!</v>
      </c>
      <c r="AU21" s="685" t="e">
        <f aca="false">IF(AU5="","",AU38+AU52+AU66+AU72)</f>
        <v>#VALUE!</v>
      </c>
      <c r="AV21" s="685" t="e">
        <f aca="false">IF(AV5="","",AV38+AV52+AV66+AV72)</f>
        <v>#VALUE!</v>
      </c>
      <c r="AW21" s="685" t="e">
        <f aca="false">IF(AW5="","",AW38+AW52+AW66+AW72)</f>
        <v>#VALUE!</v>
      </c>
      <c r="AX21" s="685" t="e">
        <f aca="false">IF(AX5="","",AX38+AX52+AX66+AX72)</f>
        <v>#VALUE!</v>
      </c>
      <c r="AY21" s="685" t="e">
        <f aca="false">IF(AY5="","",AY38+AY52+AY66+AY72)</f>
        <v>#VALUE!</v>
      </c>
      <c r="AZ21" s="685" t="e">
        <f aca="false">IF(AZ5="","",AZ38+AZ52+AZ66+AZ72)</f>
        <v>#VALUE!</v>
      </c>
      <c r="BA21" s="685" t="e">
        <f aca="false">IF(BA5="","",BA38+BA52+BA66+BA72)</f>
        <v>#VALUE!</v>
      </c>
      <c r="BB21" s="685" t="e">
        <f aca="false">IF(BB5="","",BB38+BB52+BB66+BB72)</f>
        <v>#VALUE!</v>
      </c>
      <c r="BC21" s="436" t="e">
        <f aca="false">IF(BC5="","",BC38+BC52+BC66+BC72)</f>
        <v>#VALUE!</v>
      </c>
      <c r="BD21" s="685" t="e">
        <f aca="false">IF(BD5="","",BD38+BD52+BD66+BD72)</f>
        <v>#VALUE!</v>
      </c>
      <c r="BE21" s="685" t="e">
        <f aca="false">IF(BE5="","",BE38+BE52+BE66+BE72)</f>
        <v>#VALUE!</v>
      </c>
      <c r="BF21" s="685" t="e">
        <f aca="false">IF(BF5="","",BF38+BF52+BF66+BF72)</f>
        <v>#VALUE!</v>
      </c>
      <c r="BG21" s="685" t="e">
        <f aca="false">IF(BG5="","",BG38+BG52+BG66+BG72)</f>
        <v>#VALUE!</v>
      </c>
      <c r="BH21" s="685" t="e">
        <f aca="false">IF(BH5="","",BH38+BH52+BH66+BH72)</f>
        <v>#VALUE!</v>
      </c>
      <c r="BI21" s="685" t="e">
        <f aca="false">IF(BI5="","",BI38+BI52+BI66+BI72)</f>
        <v>#VALUE!</v>
      </c>
      <c r="BJ21" s="685" t="e">
        <f aca="false">IF(BJ5="","",BJ38+BJ52+BJ66+BJ72)</f>
        <v>#VALUE!</v>
      </c>
      <c r="BK21" s="685" t="e">
        <f aca="false">IF(BK5="","",BK38+BK52+BK66+BK72)</f>
        <v>#VALUE!</v>
      </c>
      <c r="BL21" s="685" t="e">
        <f aca="false">IF(BL5="","",BL38+BL52+BL66+BL72)</f>
        <v>#VALUE!</v>
      </c>
      <c r="BM21" s="685" t="e">
        <f aca="false">IF(BM5="","",BM38+BM52+BM66+BM72)</f>
        <v>#VALUE!</v>
      </c>
      <c r="BN21" s="685" t="e">
        <f aca="false">IF(BN5="","",BN38+BN52+BN66+BN72)</f>
        <v>#VALUE!</v>
      </c>
      <c r="BO21" s="436" t="e">
        <f aca="false">IF(BO5="","",BO38+BO52+BO66+BO72)</f>
        <v>#VALUE!</v>
      </c>
      <c r="BP21" s="685" t="e">
        <f aca="false">IF(BP5="","",BP38+BP52+BP66+BP72)</f>
        <v>#VALUE!</v>
      </c>
      <c r="BQ21" s="685" t="e">
        <f aca="false">IF(BQ5="","",BQ38+BQ52+BQ66+BQ72)</f>
        <v>#VALUE!</v>
      </c>
      <c r="BR21" s="685" t="e">
        <f aca="false">IF(BR5="","",BR38+BR52+BR66+BR72)</f>
        <v>#VALUE!</v>
      </c>
      <c r="BS21" s="685" t="e">
        <f aca="false">IF(BS5="","",BS38+BS52+BS66+BS72)</f>
        <v>#VALUE!</v>
      </c>
      <c r="BT21" s="685" t="e">
        <f aca="false">IF(BT5="","",BT38+BT52+BT66+BT72)</f>
        <v>#VALUE!</v>
      </c>
      <c r="BU21" s="685" t="e">
        <f aca="false">IF(BU5="","",BU38+BU52+BU66+BU72)</f>
        <v>#VALUE!</v>
      </c>
      <c r="BV21" s="685" t="e">
        <f aca="false">IF(BV5="","",BV38+BV52+BV66+BV72)</f>
        <v>#VALUE!</v>
      </c>
      <c r="BW21" s="685" t="e">
        <f aca="false">IF(BW5="","",BW38+BW52+BW66+BW72)</f>
        <v>#VALUE!</v>
      </c>
      <c r="BX21" s="685" t="e">
        <f aca="false">IF(BX5="","",BX38+BX52+BX66+BX72)</f>
        <v>#VALUE!</v>
      </c>
      <c r="BY21" s="685" t="e">
        <f aca="false">IF(BY5="","",BY38+BY52+BY66+BY72)</f>
        <v>#VALUE!</v>
      </c>
      <c r="BZ21" s="685" t="e">
        <f aca="false">IF(BZ5="","",BZ38+BZ52+BZ66+BZ72)</f>
        <v>#VALUE!</v>
      </c>
      <c r="CA21" s="436" t="e">
        <f aca="false">IF(CA5="","",CA38+CA52+CA66+CA72)</f>
        <v>#VALUE!</v>
      </c>
      <c r="CB21" s="685" t="e">
        <f aca="false">IF(CB5="","",CB38+CB52+CB66+CB72)</f>
        <v>#VALUE!</v>
      </c>
      <c r="CC21" s="685" t="e">
        <f aca="false">IF(CC5="","",CC38+CC52+CC66+CC72)</f>
        <v>#VALUE!</v>
      </c>
      <c r="CD21" s="685" t="e">
        <f aca="false">IF(CD5="","",CD38+CD52+CD66+CD72)</f>
        <v>#VALUE!</v>
      </c>
      <c r="CE21" s="685" t="e">
        <f aca="false">IF(CE5="","",CE38+CE52+CE66+CE72)</f>
        <v>#VALUE!</v>
      </c>
      <c r="CF21" s="685" t="e">
        <f aca="false">IF(CF5="","",CF38+CF52+CF66+CF72)</f>
        <v>#VALUE!</v>
      </c>
      <c r="CG21" s="685" t="e">
        <f aca="false">IF(CG5="","",CG38+CG52+CG66+CG72)</f>
        <v>#VALUE!</v>
      </c>
      <c r="CH21" s="685" t="e">
        <f aca="false">IF(CH5="","",CH38+CH52+CH66+CH72)</f>
        <v>#VALUE!</v>
      </c>
      <c r="CI21" s="685" t="e">
        <f aca="false">IF(CI5="","",CI38+CI52+CI66+CI72)</f>
        <v>#VALUE!</v>
      </c>
      <c r="CJ21" s="685" t="e">
        <f aca="false">IF(CJ5="","",CJ38+CJ52+CJ66+CJ72)</f>
        <v>#VALUE!</v>
      </c>
      <c r="CK21" s="685" t="e">
        <f aca="false">IF(CK5="","",CK38+CK52+CK66+CK72)</f>
        <v>#VALUE!</v>
      </c>
      <c r="CL21" s="685" t="e">
        <f aca="false">IF(CL5="","",CL38+CL52+CL66+CL72)</f>
        <v>#VALUE!</v>
      </c>
      <c r="CM21" s="436" t="e">
        <f aca="false">IF(CM5="","",CM38+CM52+CM66+CM72)</f>
        <v>#VALUE!</v>
      </c>
      <c r="CN21" s="685" t="e">
        <f aca="false">IF(CN5="","",CN38+CN52+CN66+CN72)</f>
        <v>#VALUE!</v>
      </c>
      <c r="CO21" s="685" t="e">
        <f aca="false">IF(CO5="","",CO38+CO52+CO66+CO72)</f>
        <v>#VALUE!</v>
      </c>
      <c r="CP21" s="685" t="e">
        <f aca="false">IF(CP5="","",CP38+CP52+CP66+CP72)</f>
        <v>#VALUE!</v>
      </c>
      <c r="CQ21" s="685" t="e">
        <f aca="false">IF(CQ5="","",CQ38+CQ52+CQ66+CQ72)</f>
        <v>#VALUE!</v>
      </c>
      <c r="CR21" s="685" t="e">
        <f aca="false">IF(CR5="","",CR38+CR52+CR66+CR72)</f>
        <v>#VALUE!</v>
      </c>
      <c r="CS21" s="685" t="e">
        <f aca="false">IF(CS5="","",CS38+CS52+CS66+CS72)</f>
        <v>#VALUE!</v>
      </c>
      <c r="CT21" s="685" t="e">
        <f aca="false">IF(CT5="","",CT38+CT52+CT66+CT72)</f>
        <v>#VALUE!</v>
      </c>
      <c r="CU21" s="685" t="e">
        <f aca="false">IF(CU5="","",CU38+CU52+CU66+CU72)</f>
        <v>#VALUE!</v>
      </c>
      <c r="CV21" s="685" t="e">
        <f aca="false">IF(CV5="","",CV38+CV52+CV66+CV72)</f>
        <v>#VALUE!</v>
      </c>
      <c r="CW21" s="685" t="e">
        <f aca="false">IF(CW5="","",CW38+CW52+CW66+CW72)</f>
        <v>#VALUE!</v>
      </c>
      <c r="CX21" s="685" t="e">
        <f aca="false">IF(CX5="","",CX38+CX52+CX66+CX72)</f>
        <v>#VALUE!</v>
      </c>
      <c r="CY21" s="436" t="e">
        <f aca="false">IF(CY5="","",CY38+CY52+CY66+CY72)</f>
        <v>#VALUE!</v>
      </c>
      <c r="CZ21" s="685" t="e">
        <f aca="false">IF(CZ5="","",CZ38+CZ52+CZ66+CZ72)</f>
        <v>#VALUE!</v>
      </c>
      <c r="DA21" s="685" t="e">
        <f aca="false">IF(DA5="","",DA38+DA52+DA66+DA72)</f>
        <v>#VALUE!</v>
      </c>
      <c r="DB21" s="685" t="e">
        <f aca="false">IF(DB5="","",DB38+DB52+DB66+DB72)</f>
        <v>#VALUE!</v>
      </c>
      <c r="DC21" s="685" t="e">
        <f aca="false">IF(DC5="","",DC38+DC52+DC66+DC72)</f>
        <v>#VALUE!</v>
      </c>
      <c r="DD21" s="685" t="e">
        <f aca="false">IF(DD5="","",DD38+DD52+DD66+DD72)</f>
        <v>#VALUE!</v>
      </c>
      <c r="DE21" s="685" t="e">
        <f aca="false">IF(DE5="","",DE38+DE52+DE66+DE72)</f>
        <v>#VALUE!</v>
      </c>
      <c r="DF21" s="685" t="e">
        <f aca="false">IF(DF5="","",DF38+DF52+DF66+DF72)</f>
        <v>#VALUE!</v>
      </c>
      <c r="DG21" s="685" t="e">
        <f aca="false">IF(DG5="","",DG38+DG52+DG66+DG72)</f>
        <v>#VALUE!</v>
      </c>
      <c r="DH21" s="685" t="e">
        <f aca="false">IF(DH5="","",DH38+DH52+DH66+DH72)</f>
        <v>#VALUE!</v>
      </c>
      <c r="DI21" s="685" t="e">
        <f aca="false">IF(DI5="","",DI38+DI52+DI66+DI72)</f>
        <v>#VALUE!</v>
      </c>
      <c r="DJ21" s="685" t="e">
        <f aca="false">IF(DJ5="","",DJ38+DJ52+DJ66+DJ72)</f>
        <v>#VALUE!</v>
      </c>
      <c r="DK21" s="436" t="e">
        <f aca="false">IF(DK5="","",DK38+DK52+DK66+DK72)</f>
        <v>#VALUE!</v>
      </c>
      <c r="DL21" s="685" t="e">
        <f aca="false">IF(DL5="","",DL38+DL52+DL66+DL72)</f>
        <v>#VALUE!</v>
      </c>
      <c r="DM21" s="685" t="e">
        <f aca="false">IF(DM5="","",DM38+DM52+DM66+DM72)</f>
        <v>#VALUE!</v>
      </c>
      <c r="DN21" s="685" t="e">
        <f aca="false">IF(DN5="","",DN38+DN52+DN66+DN72)</f>
        <v>#VALUE!</v>
      </c>
      <c r="DO21" s="685" t="e">
        <f aca="false">IF(DO5="","",DO38+DO52+DO66+DO72)</f>
        <v>#VALUE!</v>
      </c>
      <c r="DP21" s="685" t="e">
        <f aca="false">IF(DP5="","",DP38+DP52+DP66+DP72)</f>
        <v>#VALUE!</v>
      </c>
      <c r="DQ21" s="685" t="e">
        <f aca="false">IF(DQ5="","",DQ38+DQ52+DQ66+DQ72)</f>
        <v>#VALUE!</v>
      </c>
      <c r="DR21" s="685" t="e">
        <f aca="false">IF(DR5="","",DR38+DR52+DR66+DR72)</f>
        <v>#VALUE!</v>
      </c>
      <c r="DS21" s="685" t="e">
        <f aca="false">IF(DS5="","",DS38+DS52+DS66+DS72)</f>
        <v>#VALUE!</v>
      </c>
      <c r="DT21" s="685" t="e">
        <f aca="false">IF(DT5="","",DT38+DT52+DT66+DT72)</f>
        <v>#VALUE!</v>
      </c>
      <c r="DU21" s="685" t="e">
        <f aca="false">IF(DU5="","",DU38+DU52+DU66+DU72)</f>
        <v>#VALUE!</v>
      </c>
      <c r="DV21" s="686" t="e">
        <f aca="false">IF(DV5="","",DV38+DV52+DV66+DV72)</f>
        <v>#VALUE!</v>
      </c>
    </row>
    <row r="22" s="683" customFormat="true" ht="13.5" hidden="false" customHeight="true" outlineLevel="0" collapsed="false">
      <c r="A22" s="236"/>
      <c r="B22" s="684" t="s">
        <v>638</v>
      </c>
      <c r="C22" s="242"/>
      <c r="D22" s="685" t="n">
        <f aca="false">SUM(F22:DV22)</f>
        <v>0</v>
      </c>
      <c r="E22" s="703"/>
      <c r="F22" s="685" t="n">
        <f aca="false">MIN(0,'Cash Flow - Monthly'!G149)</f>
        <v>0</v>
      </c>
      <c r="G22" s="436" t="n">
        <f aca="false">MIN(0,'Cash Flow - Monthly'!H149)</f>
        <v>0</v>
      </c>
      <c r="H22" s="685" t="n">
        <f aca="false">MIN(0,'Cash Flow - Monthly'!I149)</f>
        <v>0</v>
      </c>
      <c r="I22" s="685" t="n">
        <f aca="false">MIN(0,'Cash Flow - Monthly'!J149)</f>
        <v>0</v>
      </c>
      <c r="J22" s="685" t="n">
        <f aca="false">MIN(0,'Cash Flow - Monthly'!K149)</f>
        <v>0</v>
      </c>
      <c r="K22" s="685" t="n">
        <f aca="false">MIN(0,'Cash Flow - Monthly'!L149)</f>
        <v>0</v>
      </c>
      <c r="L22" s="685" t="n">
        <f aca="false">MIN(0,'Cash Flow - Monthly'!M149)</f>
        <v>0</v>
      </c>
      <c r="M22" s="685" t="n">
        <f aca="false">MIN(0,'Cash Flow - Monthly'!N149)</f>
        <v>0</v>
      </c>
      <c r="N22" s="685" t="n">
        <f aca="false">MIN(0,'Cash Flow - Monthly'!O149)</f>
        <v>0</v>
      </c>
      <c r="O22" s="685" t="n">
        <f aca="false">MIN(0,'Cash Flow - Monthly'!P149)</f>
        <v>0</v>
      </c>
      <c r="P22" s="685" t="n">
        <f aca="false">MIN(0,'Cash Flow - Monthly'!Q149)</f>
        <v>0</v>
      </c>
      <c r="Q22" s="685" t="n">
        <f aca="false">MIN(0,'Cash Flow - Monthly'!R149)</f>
        <v>0</v>
      </c>
      <c r="R22" s="685" t="n">
        <f aca="false">MIN(0,'Cash Flow - Monthly'!S149)</f>
        <v>0</v>
      </c>
      <c r="S22" s="436" t="n">
        <f aca="false">MIN(0,'Cash Flow - Monthly'!T149)</f>
        <v>0</v>
      </c>
      <c r="T22" s="685" t="n">
        <f aca="false">MIN(0,'Cash Flow - Monthly'!U149)</f>
        <v>0</v>
      </c>
      <c r="U22" s="685" t="n">
        <f aca="false">MIN(0,'Cash Flow - Monthly'!V149)</f>
        <v>0</v>
      </c>
      <c r="V22" s="685" t="n">
        <f aca="false">MIN(0,'Cash Flow - Monthly'!W149)</f>
        <v>0</v>
      </c>
      <c r="W22" s="685" t="n">
        <f aca="false">MIN(0,'Cash Flow - Monthly'!X149)</f>
        <v>0</v>
      </c>
      <c r="X22" s="685" t="n">
        <f aca="false">MIN(0,'Cash Flow - Monthly'!Y149)</f>
        <v>0</v>
      </c>
      <c r="Y22" s="685" t="n">
        <f aca="false">MIN(0,'Cash Flow - Monthly'!Z149)</f>
        <v>0</v>
      </c>
      <c r="Z22" s="685" t="n">
        <f aca="false">MIN(0,'Cash Flow - Monthly'!AA149)</f>
        <v>0</v>
      </c>
      <c r="AA22" s="685" t="n">
        <f aca="false">MIN(0,'Cash Flow - Monthly'!AB149)</f>
        <v>0</v>
      </c>
      <c r="AB22" s="685" t="n">
        <f aca="false">MIN(0,'Cash Flow - Monthly'!AC149)</f>
        <v>0</v>
      </c>
      <c r="AC22" s="685" t="n">
        <f aca="false">MIN(0,'Cash Flow - Monthly'!AD149)</f>
        <v>0</v>
      </c>
      <c r="AD22" s="685" t="n">
        <f aca="false">MIN(0,'Cash Flow - Monthly'!AE149)</f>
        <v>0</v>
      </c>
      <c r="AE22" s="436" t="n">
        <f aca="false">MIN(0,'Cash Flow - Monthly'!AF149)</f>
        <v>0</v>
      </c>
      <c r="AF22" s="685" t="n">
        <f aca="false">MIN(0,'Cash Flow - Monthly'!AG149)</f>
        <v>0</v>
      </c>
      <c r="AG22" s="685" t="n">
        <f aca="false">MIN(0,'Cash Flow - Monthly'!AH149)</f>
        <v>0</v>
      </c>
      <c r="AH22" s="685" t="n">
        <f aca="false">MIN(0,'Cash Flow - Monthly'!AI149)</f>
        <v>0</v>
      </c>
      <c r="AI22" s="685" t="n">
        <f aca="false">MIN(0,'Cash Flow - Monthly'!AJ149)</f>
        <v>0</v>
      </c>
      <c r="AJ22" s="685" t="n">
        <f aca="false">MIN(0,'Cash Flow - Monthly'!AK149)</f>
        <v>0</v>
      </c>
      <c r="AK22" s="685" t="n">
        <f aca="false">MIN(0,'Cash Flow - Monthly'!AL149)</f>
        <v>0</v>
      </c>
      <c r="AL22" s="685" t="n">
        <f aca="false">MIN(0,'Cash Flow - Monthly'!AM149)</f>
        <v>0</v>
      </c>
      <c r="AM22" s="685" t="n">
        <f aca="false">MIN(0,'Cash Flow - Monthly'!AN149)</f>
        <v>0</v>
      </c>
      <c r="AN22" s="685" t="n">
        <f aca="false">MIN(0,'Cash Flow - Monthly'!AO149)</f>
        <v>0</v>
      </c>
      <c r="AO22" s="685" t="n">
        <f aca="false">MIN(0,'Cash Flow - Monthly'!AP149)</f>
        <v>0</v>
      </c>
      <c r="AP22" s="685" t="n">
        <f aca="false">MIN(0,'Cash Flow - Monthly'!AQ149)</f>
        <v>0</v>
      </c>
      <c r="AQ22" s="436" t="n">
        <f aca="false">MIN(0,'Cash Flow - Monthly'!AR149)</f>
        <v>0</v>
      </c>
      <c r="AR22" s="685" t="n">
        <f aca="false">MIN(0,'Cash Flow - Monthly'!AS149)</f>
        <v>0</v>
      </c>
      <c r="AS22" s="685" t="n">
        <f aca="false">MIN(0,'Cash Flow - Monthly'!AT149)</f>
        <v>0</v>
      </c>
      <c r="AT22" s="685" t="n">
        <f aca="false">MIN(0,'Cash Flow - Monthly'!AU149)</f>
        <v>0</v>
      </c>
      <c r="AU22" s="685" t="n">
        <f aca="false">MIN(0,'Cash Flow - Monthly'!AV149)</f>
        <v>0</v>
      </c>
      <c r="AV22" s="685" t="n">
        <f aca="false">MIN(0,'Cash Flow - Monthly'!AW149)</f>
        <v>0</v>
      </c>
      <c r="AW22" s="685" t="n">
        <f aca="false">MIN(0,'Cash Flow - Monthly'!AX149)</f>
        <v>0</v>
      </c>
      <c r="AX22" s="685" t="n">
        <f aca="false">MIN(0,'Cash Flow - Monthly'!AY149)</f>
        <v>0</v>
      </c>
      <c r="AY22" s="685" t="n">
        <f aca="false">MIN(0,'Cash Flow - Monthly'!AZ149)</f>
        <v>0</v>
      </c>
      <c r="AZ22" s="685" t="n">
        <f aca="false">MIN(0,'Cash Flow - Monthly'!BA149)</f>
        <v>0</v>
      </c>
      <c r="BA22" s="685" t="n">
        <f aca="false">MIN(0,'Cash Flow - Monthly'!BB149)</f>
        <v>0</v>
      </c>
      <c r="BB22" s="685" t="n">
        <f aca="false">MIN(0,'Cash Flow - Monthly'!BC149)</f>
        <v>0</v>
      </c>
      <c r="BC22" s="436" t="n">
        <f aca="false">MIN(0,'Cash Flow - Monthly'!BD149)</f>
        <v>0</v>
      </c>
      <c r="BD22" s="685" t="n">
        <f aca="false">MIN(0,'Cash Flow - Monthly'!BE149)</f>
        <v>0</v>
      </c>
      <c r="BE22" s="685" t="n">
        <f aca="false">MIN(0,'Cash Flow - Monthly'!BF149)</f>
        <v>0</v>
      </c>
      <c r="BF22" s="685" t="n">
        <f aca="false">MIN(0,'Cash Flow - Monthly'!BG149)</f>
        <v>0</v>
      </c>
      <c r="BG22" s="685" t="n">
        <f aca="false">MIN(0,'Cash Flow - Monthly'!BH149)</f>
        <v>0</v>
      </c>
      <c r="BH22" s="685" t="n">
        <f aca="false">MIN(0,'Cash Flow - Monthly'!BI149)</f>
        <v>0</v>
      </c>
      <c r="BI22" s="685" t="n">
        <f aca="false">MIN(0,'Cash Flow - Monthly'!BJ149)</f>
        <v>0</v>
      </c>
      <c r="BJ22" s="685" t="n">
        <f aca="false">MIN(0,'Cash Flow - Monthly'!BK149)</f>
        <v>0</v>
      </c>
      <c r="BK22" s="685" t="n">
        <f aca="false">MIN(0,'Cash Flow - Monthly'!BL149)</f>
        <v>0</v>
      </c>
      <c r="BL22" s="685" t="n">
        <f aca="false">MIN(0,'Cash Flow - Monthly'!BM149)</f>
        <v>0</v>
      </c>
      <c r="BM22" s="685" t="n">
        <f aca="false">MIN(0,'Cash Flow - Monthly'!BN149)</f>
        <v>0</v>
      </c>
      <c r="BN22" s="685" t="n">
        <f aca="false">MIN(0,'Cash Flow - Monthly'!BO149)</f>
        <v>0</v>
      </c>
      <c r="BO22" s="436" t="n">
        <f aca="false">MIN(0,'Cash Flow - Monthly'!BP149)</f>
        <v>0</v>
      </c>
      <c r="BP22" s="685" t="n">
        <f aca="false">MIN(0,'Cash Flow - Monthly'!BQ149)</f>
        <v>0</v>
      </c>
      <c r="BQ22" s="685" t="n">
        <f aca="false">MIN(0,'Cash Flow - Monthly'!BR149)</f>
        <v>0</v>
      </c>
      <c r="BR22" s="685" t="n">
        <f aca="false">MIN(0,'Cash Flow - Monthly'!BS149)</f>
        <v>0</v>
      </c>
      <c r="BS22" s="685" t="n">
        <f aca="false">MIN(0,'Cash Flow - Monthly'!BT149)</f>
        <v>0</v>
      </c>
      <c r="BT22" s="685" t="n">
        <f aca="false">MIN(0,'Cash Flow - Monthly'!BU149)</f>
        <v>0</v>
      </c>
      <c r="BU22" s="685" t="n">
        <f aca="false">MIN(0,'Cash Flow - Monthly'!BV149)</f>
        <v>0</v>
      </c>
      <c r="BV22" s="685" t="n">
        <f aca="false">MIN(0,'Cash Flow - Monthly'!BW149)</f>
        <v>0</v>
      </c>
      <c r="BW22" s="685" t="n">
        <f aca="false">MIN(0,'Cash Flow - Monthly'!BX149)</f>
        <v>0</v>
      </c>
      <c r="BX22" s="685" t="n">
        <f aca="false">MIN(0,'Cash Flow - Monthly'!BY149)</f>
        <v>0</v>
      </c>
      <c r="BY22" s="685" t="n">
        <f aca="false">MIN(0,'Cash Flow - Monthly'!BZ149)</f>
        <v>0</v>
      </c>
      <c r="BZ22" s="685" t="n">
        <f aca="false">MIN(0,'Cash Flow - Monthly'!CA149)</f>
        <v>0</v>
      </c>
      <c r="CA22" s="436" t="n">
        <f aca="false">MIN(0,'Cash Flow - Monthly'!CB149)</f>
        <v>0</v>
      </c>
      <c r="CB22" s="685" t="n">
        <f aca="false">MIN(0,'Cash Flow - Monthly'!CC149)</f>
        <v>0</v>
      </c>
      <c r="CC22" s="685" t="n">
        <f aca="false">MIN(0,'Cash Flow - Monthly'!CD149)</f>
        <v>0</v>
      </c>
      <c r="CD22" s="685" t="n">
        <f aca="false">MIN(0,'Cash Flow - Monthly'!CE149)</f>
        <v>0</v>
      </c>
      <c r="CE22" s="685" t="n">
        <f aca="false">MIN(0,'Cash Flow - Monthly'!CF149)</f>
        <v>0</v>
      </c>
      <c r="CF22" s="685" t="n">
        <f aca="false">MIN(0,'Cash Flow - Monthly'!CG149)</f>
        <v>0</v>
      </c>
      <c r="CG22" s="685" t="n">
        <f aca="false">MIN(0,'Cash Flow - Monthly'!CH149)</f>
        <v>0</v>
      </c>
      <c r="CH22" s="685" t="n">
        <f aca="false">MIN(0,'Cash Flow - Monthly'!CI149)</f>
        <v>0</v>
      </c>
      <c r="CI22" s="685" t="n">
        <f aca="false">MIN(0,'Cash Flow - Monthly'!CJ149)</f>
        <v>0</v>
      </c>
      <c r="CJ22" s="685" t="n">
        <f aca="false">MIN(0,'Cash Flow - Monthly'!CK149)</f>
        <v>0</v>
      </c>
      <c r="CK22" s="685" t="n">
        <f aca="false">MIN(0,'Cash Flow - Monthly'!CL149)</f>
        <v>0</v>
      </c>
      <c r="CL22" s="685" t="n">
        <f aca="false">MIN(0,'Cash Flow - Monthly'!CM149)</f>
        <v>0</v>
      </c>
      <c r="CM22" s="436" t="n">
        <f aca="false">MIN(0,'Cash Flow - Monthly'!CN149)</f>
        <v>0</v>
      </c>
      <c r="CN22" s="685" t="n">
        <f aca="false">MIN(0,'Cash Flow - Monthly'!CO149)</f>
        <v>0</v>
      </c>
      <c r="CO22" s="685" t="n">
        <f aca="false">MIN(0,'Cash Flow - Monthly'!CP149)</f>
        <v>0</v>
      </c>
      <c r="CP22" s="685" t="n">
        <f aca="false">MIN(0,'Cash Flow - Monthly'!CQ149)</f>
        <v>0</v>
      </c>
      <c r="CQ22" s="685" t="n">
        <f aca="false">MIN(0,'Cash Flow - Monthly'!CR149)</f>
        <v>0</v>
      </c>
      <c r="CR22" s="685" t="n">
        <f aca="false">MIN(0,'Cash Flow - Monthly'!CS149)</f>
        <v>0</v>
      </c>
      <c r="CS22" s="685" t="n">
        <f aca="false">MIN(0,'Cash Flow - Monthly'!CT149)</f>
        <v>0</v>
      </c>
      <c r="CT22" s="685" t="n">
        <f aca="false">MIN(0,'Cash Flow - Monthly'!CU149)</f>
        <v>0</v>
      </c>
      <c r="CU22" s="685" t="n">
        <f aca="false">MIN(0,'Cash Flow - Monthly'!CV149)</f>
        <v>0</v>
      </c>
      <c r="CV22" s="685" t="n">
        <f aca="false">MIN(0,'Cash Flow - Monthly'!CW149)</f>
        <v>0</v>
      </c>
      <c r="CW22" s="685" t="n">
        <f aca="false">MIN(0,'Cash Flow - Monthly'!CX149)</f>
        <v>0</v>
      </c>
      <c r="CX22" s="685" t="n">
        <f aca="false">MIN(0,'Cash Flow - Monthly'!CY149)</f>
        <v>0</v>
      </c>
      <c r="CY22" s="436" t="n">
        <f aca="false">MIN(0,'Cash Flow - Monthly'!CZ149)</f>
        <v>0</v>
      </c>
      <c r="CZ22" s="685" t="n">
        <f aca="false">MIN(0,'Cash Flow - Monthly'!DA149)</f>
        <v>0</v>
      </c>
      <c r="DA22" s="685" t="n">
        <f aca="false">MIN(0,'Cash Flow - Monthly'!DB149)</f>
        <v>0</v>
      </c>
      <c r="DB22" s="685" t="n">
        <f aca="false">MIN(0,'Cash Flow - Monthly'!DC149)</f>
        <v>0</v>
      </c>
      <c r="DC22" s="685" t="n">
        <f aca="false">MIN(0,'Cash Flow - Monthly'!DD149)</f>
        <v>0</v>
      </c>
      <c r="DD22" s="685" t="n">
        <f aca="false">MIN(0,'Cash Flow - Monthly'!DE149)</f>
        <v>0</v>
      </c>
      <c r="DE22" s="685" t="n">
        <f aca="false">MIN(0,'Cash Flow - Monthly'!DF149)</f>
        <v>0</v>
      </c>
      <c r="DF22" s="685" t="n">
        <f aca="false">MIN(0,'Cash Flow - Monthly'!DG149)</f>
        <v>0</v>
      </c>
      <c r="DG22" s="685" t="n">
        <f aca="false">MIN(0,'Cash Flow - Monthly'!DH149)</f>
        <v>0</v>
      </c>
      <c r="DH22" s="685" t="n">
        <f aca="false">MIN(0,'Cash Flow - Monthly'!DI149)</f>
        <v>0</v>
      </c>
      <c r="DI22" s="685" t="n">
        <f aca="false">MIN(0,'Cash Flow - Monthly'!DJ149)</f>
        <v>0</v>
      </c>
      <c r="DJ22" s="685" t="n">
        <f aca="false">MIN(0,'Cash Flow - Monthly'!DK149)</f>
        <v>0</v>
      </c>
      <c r="DK22" s="436" t="n">
        <f aca="false">MIN(0,'Cash Flow - Monthly'!DL149)</f>
        <v>0</v>
      </c>
      <c r="DL22" s="685" t="n">
        <f aca="false">MIN(0,'Cash Flow - Monthly'!DM149)</f>
        <v>0</v>
      </c>
      <c r="DM22" s="685" t="n">
        <f aca="false">MIN(0,'Cash Flow - Monthly'!DN149)</f>
        <v>0</v>
      </c>
      <c r="DN22" s="685" t="n">
        <f aca="false">MIN(0,'Cash Flow - Monthly'!DO149)</f>
        <v>0</v>
      </c>
      <c r="DO22" s="685" t="n">
        <f aca="false">MIN(0,'Cash Flow - Monthly'!DP149)</f>
        <v>0</v>
      </c>
      <c r="DP22" s="685" t="n">
        <f aca="false">MIN(0,'Cash Flow - Monthly'!DQ149)</f>
        <v>0</v>
      </c>
      <c r="DQ22" s="685" t="n">
        <f aca="false">MIN(0,'Cash Flow - Monthly'!DR149)</f>
        <v>0</v>
      </c>
      <c r="DR22" s="685" t="n">
        <f aca="false">MIN(0,'Cash Flow - Monthly'!DS149)</f>
        <v>0</v>
      </c>
      <c r="DS22" s="685" t="n">
        <f aca="false">MIN(0,'Cash Flow - Monthly'!DT149)</f>
        <v>0</v>
      </c>
      <c r="DT22" s="685" t="n">
        <f aca="false">MIN(0,'Cash Flow - Monthly'!DU149)</f>
        <v>0</v>
      </c>
      <c r="DU22" s="685" t="n">
        <f aca="false">MIN(0,'Cash Flow - Monthly'!DV149)</f>
        <v>0</v>
      </c>
      <c r="DV22" s="686" t="n">
        <f aca="false">MIN(0,'Cash Flow - Monthly'!EI149)</f>
        <v>0</v>
      </c>
    </row>
    <row r="23" s="683" customFormat="true" ht="13.5" hidden="false" customHeight="true" outlineLevel="0" collapsed="false">
      <c r="A23" s="236"/>
      <c r="B23" s="684"/>
      <c r="C23" s="242"/>
      <c r="D23" s="665"/>
      <c r="E23" s="704"/>
      <c r="F23" s="685"/>
      <c r="G23" s="436"/>
      <c r="H23" s="685"/>
      <c r="I23" s="685"/>
      <c r="J23" s="685"/>
      <c r="K23" s="685"/>
      <c r="L23" s="685"/>
      <c r="M23" s="685"/>
      <c r="N23" s="685"/>
      <c r="O23" s="685"/>
      <c r="P23" s="685"/>
      <c r="Q23" s="685"/>
      <c r="R23" s="685"/>
      <c r="S23" s="436"/>
      <c r="T23" s="685"/>
      <c r="U23" s="685"/>
      <c r="V23" s="685"/>
      <c r="W23" s="685"/>
      <c r="X23" s="685"/>
      <c r="Y23" s="685"/>
      <c r="Z23" s="685"/>
      <c r="AA23" s="685"/>
      <c r="AB23" s="685"/>
      <c r="AC23" s="685"/>
      <c r="AD23" s="685"/>
      <c r="AE23" s="436"/>
      <c r="AF23" s="685"/>
      <c r="AG23" s="685"/>
      <c r="AH23" s="685"/>
      <c r="AI23" s="685"/>
      <c r="AJ23" s="685"/>
      <c r="AK23" s="685"/>
      <c r="AL23" s="685"/>
      <c r="AM23" s="685"/>
      <c r="AN23" s="685"/>
      <c r="AO23" s="685"/>
      <c r="AP23" s="685"/>
      <c r="AQ23" s="436"/>
      <c r="AR23" s="685"/>
      <c r="AS23" s="685"/>
      <c r="AT23" s="685"/>
      <c r="AU23" s="685"/>
      <c r="AV23" s="685"/>
      <c r="AW23" s="685"/>
      <c r="AX23" s="685"/>
      <c r="AY23" s="685"/>
      <c r="AZ23" s="685"/>
      <c r="BA23" s="685"/>
      <c r="BB23" s="685"/>
      <c r="BC23" s="436"/>
      <c r="BD23" s="685"/>
      <c r="BE23" s="685"/>
      <c r="BF23" s="685"/>
      <c r="BG23" s="685"/>
      <c r="BH23" s="685"/>
      <c r="BI23" s="685"/>
      <c r="BJ23" s="685"/>
      <c r="BK23" s="685"/>
      <c r="BL23" s="685"/>
      <c r="BM23" s="685"/>
      <c r="BN23" s="685"/>
      <c r="BO23" s="436"/>
      <c r="BP23" s="685"/>
      <c r="BQ23" s="685"/>
      <c r="BR23" s="685"/>
      <c r="BS23" s="685"/>
      <c r="BT23" s="685"/>
      <c r="BU23" s="685"/>
      <c r="BV23" s="685"/>
      <c r="BW23" s="685"/>
      <c r="BX23" s="685"/>
      <c r="BY23" s="685"/>
      <c r="BZ23" s="685"/>
      <c r="CA23" s="436"/>
      <c r="CB23" s="685"/>
      <c r="CC23" s="685"/>
      <c r="CD23" s="685"/>
      <c r="CE23" s="685"/>
      <c r="CF23" s="685"/>
      <c r="CG23" s="685"/>
      <c r="CH23" s="685"/>
      <c r="CI23" s="685"/>
      <c r="CJ23" s="685"/>
      <c r="CK23" s="685"/>
      <c r="CL23" s="685"/>
      <c r="CM23" s="436"/>
      <c r="CN23" s="685"/>
      <c r="CO23" s="685"/>
      <c r="CP23" s="685"/>
      <c r="CQ23" s="685"/>
      <c r="CR23" s="685"/>
      <c r="CS23" s="685"/>
      <c r="CT23" s="685"/>
      <c r="CU23" s="685"/>
      <c r="CV23" s="685"/>
      <c r="CW23" s="685"/>
      <c r="CX23" s="685"/>
      <c r="CY23" s="436"/>
      <c r="CZ23" s="685"/>
      <c r="DA23" s="685"/>
      <c r="DB23" s="685"/>
      <c r="DC23" s="685"/>
      <c r="DD23" s="685"/>
      <c r="DE23" s="685"/>
      <c r="DF23" s="685"/>
      <c r="DG23" s="685"/>
      <c r="DH23" s="685"/>
      <c r="DI23" s="685"/>
      <c r="DJ23" s="685"/>
      <c r="DK23" s="436"/>
      <c r="DL23" s="685"/>
      <c r="DM23" s="685"/>
      <c r="DN23" s="685"/>
      <c r="DO23" s="685"/>
      <c r="DP23" s="685"/>
      <c r="DQ23" s="685"/>
      <c r="DR23" s="685"/>
      <c r="DS23" s="685"/>
      <c r="DT23" s="685"/>
      <c r="DU23" s="685"/>
      <c r="DV23" s="686"/>
    </row>
    <row r="24" s="683" customFormat="true" ht="13.5" hidden="false" customHeight="true" outlineLevel="0" collapsed="false">
      <c r="A24" s="236"/>
      <c r="B24" s="684" t="s">
        <v>639</v>
      </c>
      <c r="C24" s="242"/>
      <c r="D24" s="685" t="e">
        <f aca="false">SUM(F24:DV24)</f>
        <v>#VALUE!</v>
      </c>
      <c r="E24" s="665"/>
      <c r="F24" s="685" t="e">
        <f aca="false">IF(F5="","",-(MIN(F6,0)+F33))</f>
        <v>#VALUE!</v>
      </c>
      <c r="G24" s="436" t="e">
        <f aca="false">IF(G5="","",-(MIN(G6,0)+G33))</f>
        <v>#VALUE!</v>
      </c>
      <c r="H24" s="685" t="e">
        <f aca="false">IF(H5="","",-(MIN(H6,0)+H33))</f>
        <v>#VALUE!</v>
      </c>
      <c r="I24" s="685" t="e">
        <f aca="false">IF(I5="","",-(MIN(I6,0)+I33))</f>
        <v>#VALUE!</v>
      </c>
      <c r="J24" s="685" t="e">
        <f aca="false">IF(J5="","",-(MIN(J6,0)+J33))</f>
        <v>#VALUE!</v>
      </c>
      <c r="K24" s="685" t="e">
        <f aca="false">IF(K5="","",-(MIN(K6,0)+K33))</f>
        <v>#VALUE!</v>
      </c>
      <c r="L24" s="685" t="e">
        <f aca="false">IF(L5="","",-(MIN(L6,0)+L33))</f>
        <v>#VALUE!</v>
      </c>
      <c r="M24" s="685" t="e">
        <f aca="false">IF(M5="","",-(MIN(M6,0)+M33))</f>
        <v>#VALUE!</v>
      </c>
      <c r="N24" s="685" t="e">
        <f aca="false">IF(N5="","",-(MIN(N6,0)+N33))</f>
        <v>#VALUE!</v>
      </c>
      <c r="O24" s="685" t="e">
        <f aca="false">IF(O5="","",-(MIN(O6,0)+O33))</f>
        <v>#VALUE!</v>
      </c>
      <c r="P24" s="685" t="e">
        <f aca="false">IF(P5="","",-(MIN(P6,0)+P33))</f>
        <v>#VALUE!</v>
      </c>
      <c r="Q24" s="685" t="e">
        <f aca="false">IF(Q5="","",-(MIN(Q6,0)+Q33))</f>
        <v>#VALUE!</v>
      </c>
      <c r="R24" s="685" t="e">
        <f aca="false">IF(R5="","",-(MIN(R6,0)+R33))</f>
        <v>#VALUE!</v>
      </c>
      <c r="S24" s="436" t="e">
        <f aca="false">IF(S5="","",-(MIN(S6,0)+S33))</f>
        <v>#VALUE!</v>
      </c>
      <c r="T24" s="685" t="e">
        <f aca="false">IF(T5="","",-(MIN(T6,0)+T33))</f>
        <v>#VALUE!</v>
      </c>
      <c r="U24" s="685" t="e">
        <f aca="false">IF(U5="","",-(MIN(U6,0)+U33))</f>
        <v>#VALUE!</v>
      </c>
      <c r="V24" s="685" t="e">
        <f aca="false">IF(V5="","",-(MIN(V6,0)+V33))</f>
        <v>#VALUE!</v>
      </c>
      <c r="W24" s="685" t="e">
        <f aca="false">IF(W5="","",-(MIN(W6,0)+W33))</f>
        <v>#VALUE!</v>
      </c>
      <c r="X24" s="685" t="e">
        <f aca="false">IF(X5="","",-(MIN(X6,0)+X33))</f>
        <v>#VALUE!</v>
      </c>
      <c r="Y24" s="685" t="e">
        <f aca="false">IF(Y5="","",-(MIN(Y6,0)+Y33))</f>
        <v>#VALUE!</v>
      </c>
      <c r="Z24" s="685" t="e">
        <f aca="false">IF(Z5="","",-(MIN(Z6,0)+Z33))</f>
        <v>#VALUE!</v>
      </c>
      <c r="AA24" s="685" t="e">
        <f aca="false">IF(AA5="","",-(MIN(AA6,0)+AA33))</f>
        <v>#VALUE!</v>
      </c>
      <c r="AB24" s="685" t="e">
        <f aca="false">IF(AB5="","",-(MIN(AB6,0)+AB33))</f>
        <v>#VALUE!</v>
      </c>
      <c r="AC24" s="685" t="e">
        <f aca="false">IF(AC5="","",-(MIN(AC6,0)+AC33))</f>
        <v>#VALUE!</v>
      </c>
      <c r="AD24" s="685" t="e">
        <f aca="false">IF(AD5="","",-(MIN(AD6,0)+AD33))</f>
        <v>#VALUE!</v>
      </c>
      <c r="AE24" s="436" t="e">
        <f aca="false">IF(AE5="","",-(MIN(AE6,0)+AE33))</f>
        <v>#VALUE!</v>
      </c>
      <c r="AF24" s="685" t="e">
        <f aca="false">IF(AF5="","",-(MIN(AF6,0)+AF33))</f>
        <v>#VALUE!</v>
      </c>
      <c r="AG24" s="685" t="e">
        <f aca="false">IF(AG5="","",-(MIN(AG6,0)+AG33))</f>
        <v>#VALUE!</v>
      </c>
      <c r="AH24" s="685" t="e">
        <f aca="false">IF(AH5="","",-(MIN(AH6,0)+AH33))</f>
        <v>#VALUE!</v>
      </c>
      <c r="AI24" s="685" t="e">
        <f aca="false">IF(AI5="","",-(MIN(AI6,0)+AI33))</f>
        <v>#VALUE!</v>
      </c>
      <c r="AJ24" s="685" t="e">
        <f aca="false">IF(AJ5="","",-(MIN(AJ6,0)+AJ33))</f>
        <v>#VALUE!</v>
      </c>
      <c r="AK24" s="685" t="e">
        <f aca="false">IF(AK5="","",-(MIN(AK6,0)+AK33))</f>
        <v>#VALUE!</v>
      </c>
      <c r="AL24" s="685" t="e">
        <f aca="false">IF(AL5="","",-(MIN(AL6,0)+AL33))</f>
        <v>#VALUE!</v>
      </c>
      <c r="AM24" s="685" t="e">
        <f aca="false">IF(AM5="","",-(MIN(AM6,0)+AM33))</f>
        <v>#VALUE!</v>
      </c>
      <c r="AN24" s="685" t="e">
        <f aca="false">IF(AN5="","",-(MIN(AN6,0)+AN33))</f>
        <v>#VALUE!</v>
      </c>
      <c r="AO24" s="685" t="e">
        <f aca="false">IF(AO5="","",-(MIN(AO6,0)+AO33))</f>
        <v>#VALUE!</v>
      </c>
      <c r="AP24" s="685" t="e">
        <f aca="false">IF(AP5="","",-(MIN(AP6,0)+AP33))</f>
        <v>#VALUE!</v>
      </c>
      <c r="AQ24" s="436" t="e">
        <f aca="false">IF(AQ5="","",-(MIN(AQ6,0)+AQ33))</f>
        <v>#VALUE!</v>
      </c>
      <c r="AR24" s="685" t="e">
        <f aca="false">IF(AR5="","",-(MIN(AR6,0)+AR33))</f>
        <v>#VALUE!</v>
      </c>
      <c r="AS24" s="685" t="e">
        <f aca="false">IF(AS5="","",-(MIN(AS6,0)+AS33))</f>
        <v>#VALUE!</v>
      </c>
      <c r="AT24" s="685" t="e">
        <f aca="false">IF(AT5="","",-(MIN(AT6,0)+AT33))</f>
        <v>#VALUE!</v>
      </c>
      <c r="AU24" s="685" t="e">
        <f aca="false">IF(AU5="","",-(MIN(AU6,0)+AU33))</f>
        <v>#VALUE!</v>
      </c>
      <c r="AV24" s="685" t="e">
        <f aca="false">IF(AV5="","",-(MIN(AV6,0)+AV33))</f>
        <v>#VALUE!</v>
      </c>
      <c r="AW24" s="685" t="e">
        <f aca="false">IF(AW5="","",-(MIN(AW6,0)+AW33))</f>
        <v>#VALUE!</v>
      </c>
      <c r="AX24" s="685" t="e">
        <f aca="false">IF(AX5="","",-(MIN(AX6,0)+AX33))</f>
        <v>#VALUE!</v>
      </c>
      <c r="AY24" s="685" t="e">
        <f aca="false">IF(AY5="","",-(MIN(AY6,0)+AY33))</f>
        <v>#VALUE!</v>
      </c>
      <c r="AZ24" s="685" t="e">
        <f aca="false">IF(AZ5="","",-(MIN(AZ6,0)+AZ33))</f>
        <v>#VALUE!</v>
      </c>
      <c r="BA24" s="685" t="e">
        <f aca="false">IF(BA5="","",-(MIN(BA6,0)+BA33))</f>
        <v>#VALUE!</v>
      </c>
      <c r="BB24" s="685" t="e">
        <f aca="false">IF(BB5="","",-(MIN(BB6,0)+BB33))</f>
        <v>#VALUE!</v>
      </c>
      <c r="BC24" s="436" t="e">
        <f aca="false">IF(BC5="","",-(MIN(BC6,0)+BC33))</f>
        <v>#VALUE!</v>
      </c>
      <c r="BD24" s="685" t="e">
        <f aca="false">IF(BD5="","",-(MIN(BD6,0)+BD33))</f>
        <v>#VALUE!</v>
      </c>
      <c r="BE24" s="685" t="e">
        <f aca="false">IF(BE5="","",-(MIN(BE6,0)+BE33))</f>
        <v>#VALUE!</v>
      </c>
      <c r="BF24" s="685" t="e">
        <f aca="false">IF(BF5="","",-(MIN(BF6,0)+BF33))</f>
        <v>#VALUE!</v>
      </c>
      <c r="BG24" s="685" t="e">
        <f aca="false">IF(BG5="","",-(MIN(BG6,0)+BG33))</f>
        <v>#VALUE!</v>
      </c>
      <c r="BH24" s="685" t="e">
        <f aca="false">IF(BH5="","",-(MIN(BH6,0)+BH33))</f>
        <v>#VALUE!</v>
      </c>
      <c r="BI24" s="685" t="e">
        <f aca="false">IF(BI5="","",-(MIN(BI6,0)+BI33))</f>
        <v>#VALUE!</v>
      </c>
      <c r="BJ24" s="685" t="e">
        <f aca="false">IF(BJ5="","",-(MIN(BJ6,0)+BJ33))</f>
        <v>#VALUE!</v>
      </c>
      <c r="BK24" s="685" t="e">
        <f aca="false">IF(BK5="","",-(MIN(BK6,0)+BK33))</f>
        <v>#VALUE!</v>
      </c>
      <c r="BL24" s="685" t="e">
        <f aca="false">IF(BL5="","",-(MIN(BL6,0)+BL33))</f>
        <v>#VALUE!</v>
      </c>
      <c r="BM24" s="685" t="e">
        <f aca="false">IF(BM5="","",-(MIN(BM6,0)+BM33))</f>
        <v>#VALUE!</v>
      </c>
      <c r="BN24" s="685" t="e">
        <f aca="false">IF(BN5="","",-(MIN(BN6,0)+BN33))</f>
        <v>#VALUE!</v>
      </c>
      <c r="BO24" s="436" t="e">
        <f aca="false">IF(BO5="","",-(MIN(BO6,0)+BO33))</f>
        <v>#VALUE!</v>
      </c>
      <c r="BP24" s="685" t="e">
        <f aca="false">IF(BP5="","",-(MIN(BP6,0)+BP33))</f>
        <v>#VALUE!</v>
      </c>
      <c r="BQ24" s="685" t="e">
        <f aca="false">IF(BQ5="","",-(MIN(BQ6,0)+BQ33))</f>
        <v>#VALUE!</v>
      </c>
      <c r="BR24" s="685" t="e">
        <f aca="false">IF(BR5="","",-(MIN(BR6,0)+BR33))</f>
        <v>#VALUE!</v>
      </c>
      <c r="BS24" s="685" t="e">
        <f aca="false">IF(BS5="","",-(MIN(BS6,0)+BS33))</f>
        <v>#VALUE!</v>
      </c>
      <c r="BT24" s="685" t="e">
        <f aca="false">IF(BT5="","",-(MIN(BT6,0)+BT33))</f>
        <v>#VALUE!</v>
      </c>
      <c r="BU24" s="685" t="e">
        <f aca="false">IF(BU5="","",-(MIN(BU6,0)+BU33))</f>
        <v>#VALUE!</v>
      </c>
      <c r="BV24" s="685" t="e">
        <f aca="false">IF(BV5="","",-(MIN(BV6,0)+BV33))</f>
        <v>#VALUE!</v>
      </c>
      <c r="BW24" s="685" t="e">
        <f aca="false">IF(BW5="","",-(MIN(BW6,0)+BW33))</f>
        <v>#VALUE!</v>
      </c>
      <c r="BX24" s="685" t="e">
        <f aca="false">IF(BX5="","",-(MIN(BX6,0)+BX33))</f>
        <v>#VALUE!</v>
      </c>
      <c r="BY24" s="685" t="e">
        <f aca="false">IF(BY5="","",-(MIN(BY6,0)+BY33))</f>
        <v>#VALUE!</v>
      </c>
      <c r="BZ24" s="685" t="e">
        <f aca="false">IF(BZ5="","",-(MIN(BZ6,0)+BZ33))</f>
        <v>#VALUE!</v>
      </c>
      <c r="CA24" s="436" t="e">
        <f aca="false">IF(CA5="","",-(MIN(CA6,0)+CA33))</f>
        <v>#VALUE!</v>
      </c>
      <c r="CB24" s="685" t="e">
        <f aca="false">IF(CB5="","",-(MIN(CB6,0)+CB33))</f>
        <v>#VALUE!</v>
      </c>
      <c r="CC24" s="685" t="e">
        <f aca="false">IF(CC5="","",-(MIN(CC6,0)+CC33))</f>
        <v>#VALUE!</v>
      </c>
      <c r="CD24" s="685" t="e">
        <f aca="false">IF(CD5="","",-(MIN(CD6,0)+CD33))</f>
        <v>#VALUE!</v>
      </c>
      <c r="CE24" s="685" t="e">
        <f aca="false">IF(CE5="","",-(MIN(CE6,0)+CE33))</f>
        <v>#VALUE!</v>
      </c>
      <c r="CF24" s="685" t="e">
        <f aca="false">IF(CF5="","",-(MIN(CF6,0)+CF33))</f>
        <v>#VALUE!</v>
      </c>
      <c r="CG24" s="685" t="e">
        <f aca="false">IF(CG5="","",-(MIN(CG6,0)+CG33))</f>
        <v>#VALUE!</v>
      </c>
      <c r="CH24" s="685" t="e">
        <f aca="false">IF(CH5="","",-(MIN(CH6,0)+CH33))</f>
        <v>#VALUE!</v>
      </c>
      <c r="CI24" s="685" t="e">
        <f aca="false">IF(CI5="","",-(MIN(CI6,0)+CI33))</f>
        <v>#VALUE!</v>
      </c>
      <c r="CJ24" s="685" t="e">
        <f aca="false">IF(CJ5="","",-(MIN(CJ6,0)+CJ33))</f>
        <v>#VALUE!</v>
      </c>
      <c r="CK24" s="685" t="e">
        <f aca="false">IF(CK5="","",-(MIN(CK6,0)+CK33))</f>
        <v>#VALUE!</v>
      </c>
      <c r="CL24" s="685" t="e">
        <f aca="false">IF(CL5="","",-(MIN(CL6,0)+CL33))</f>
        <v>#VALUE!</v>
      </c>
      <c r="CM24" s="436" t="e">
        <f aca="false">IF(CM5="","",-(MIN(CM6,0)+CM33))</f>
        <v>#VALUE!</v>
      </c>
      <c r="CN24" s="685" t="e">
        <f aca="false">IF(CN5="","",-(MIN(CN6,0)+CN33))</f>
        <v>#VALUE!</v>
      </c>
      <c r="CO24" s="685" t="e">
        <f aca="false">IF(CO5="","",-(MIN(CO6,0)+CO33))</f>
        <v>#VALUE!</v>
      </c>
      <c r="CP24" s="685" t="e">
        <f aca="false">IF(CP5="","",-(MIN(CP6,0)+CP33))</f>
        <v>#VALUE!</v>
      </c>
      <c r="CQ24" s="685" t="e">
        <f aca="false">IF(CQ5="","",-(MIN(CQ6,0)+CQ33))</f>
        <v>#VALUE!</v>
      </c>
      <c r="CR24" s="685" t="e">
        <f aca="false">IF(CR5="","",-(MIN(CR6,0)+CR33))</f>
        <v>#VALUE!</v>
      </c>
      <c r="CS24" s="685" t="e">
        <f aca="false">IF(CS5="","",-(MIN(CS6,0)+CS33))</f>
        <v>#VALUE!</v>
      </c>
      <c r="CT24" s="685" t="e">
        <f aca="false">IF(CT5="","",-(MIN(CT6,0)+CT33))</f>
        <v>#VALUE!</v>
      </c>
      <c r="CU24" s="685" t="e">
        <f aca="false">IF(CU5="","",-(MIN(CU6,0)+CU33))</f>
        <v>#VALUE!</v>
      </c>
      <c r="CV24" s="685" t="e">
        <f aca="false">IF(CV5="","",-(MIN(CV6,0)+CV33))</f>
        <v>#VALUE!</v>
      </c>
      <c r="CW24" s="685" t="e">
        <f aca="false">IF(CW5="","",-(MIN(CW6,0)+CW33))</f>
        <v>#VALUE!</v>
      </c>
      <c r="CX24" s="685" t="e">
        <f aca="false">IF(CX5="","",-(MIN(CX6,0)+CX33))</f>
        <v>#VALUE!</v>
      </c>
      <c r="CY24" s="436" t="e">
        <f aca="false">IF(CY5="","",-(MIN(CY6,0)+CY33))</f>
        <v>#VALUE!</v>
      </c>
      <c r="CZ24" s="685" t="e">
        <f aca="false">IF(CZ5="","",-(MIN(CZ6,0)+CZ33))</f>
        <v>#VALUE!</v>
      </c>
      <c r="DA24" s="685" t="e">
        <f aca="false">IF(DA5="","",-(MIN(DA6,0)+DA33))</f>
        <v>#VALUE!</v>
      </c>
      <c r="DB24" s="685" t="e">
        <f aca="false">IF(DB5="","",-(MIN(DB6,0)+DB33))</f>
        <v>#VALUE!</v>
      </c>
      <c r="DC24" s="685" t="e">
        <f aca="false">IF(DC5="","",-(MIN(DC6,0)+DC33))</f>
        <v>#VALUE!</v>
      </c>
      <c r="DD24" s="685" t="e">
        <f aca="false">IF(DD5="","",-(MIN(DD6,0)+DD33))</f>
        <v>#VALUE!</v>
      </c>
      <c r="DE24" s="685" t="e">
        <f aca="false">IF(DE5="","",-(MIN(DE6,0)+DE33))</f>
        <v>#VALUE!</v>
      </c>
      <c r="DF24" s="685" t="e">
        <f aca="false">IF(DF5="","",-(MIN(DF6,0)+DF33))</f>
        <v>#VALUE!</v>
      </c>
      <c r="DG24" s="685" t="e">
        <f aca="false">IF(DG5="","",-(MIN(DG6,0)+DG33))</f>
        <v>#VALUE!</v>
      </c>
      <c r="DH24" s="685" t="e">
        <f aca="false">IF(DH5="","",-(MIN(DH6,0)+DH33))</f>
        <v>#VALUE!</v>
      </c>
      <c r="DI24" s="685" t="e">
        <f aca="false">IF(DI5="","",-(MIN(DI6,0)+DI33))</f>
        <v>#VALUE!</v>
      </c>
      <c r="DJ24" s="685" t="e">
        <f aca="false">IF(DJ5="","",-(MIN(DJ6,0)+DJ33))</f>
        <v>#VALUE!</v>
      </c>
      <c r="DK24" s="436" t="e">
        <f aca="false">IF(DK5="","",-(MIN(DK6,0)+DK33))</f>
        <v>#VALUE!</v>
      </c>
      <c r="DL24" s="685" t="e">
        <f aca="false">IF(DL5="","",-(MIN(DL6,0)+DL33))</f>
        <v>#VALUE!</v>
      </c>
      <c r="DM24" s="685" t="e">
        <f aca="false">IF(DM5="","",-(MIN(DM6,0)+DM33))</f>
        <v>#VALUE!</v>
      </c>
      <c r="DN24" s="685" t="e">
        <f aca="false">IF(DN5="","",-(MIN(DN6,0)+DN33))</f>
        <v>#VALUE!</v>
      </c>
      <c r="DO24" s="685" t="e">
        <f aca="false">IF(DO5="","",-(MIN(DO6,0)+DO33))</f>
        <v>#VALUE!</v>
      </c>
      <c r="DP24" s="685" t="e">
        <f aca="false">IF(DP5="","",-(MIN(DP6,0)+DP33))</f>
        <v>#VALUE!</v>
      </c>
      <c r="DQ24" s="685" t="e">
        <f aca="false">IF(DQ5="","",-(MIN(DQ6,0)+DQ33))</f>
        <v>#VALUE!</v>
      </c>
      <c r="DR24" s="685" t="e">
        <f aca="false">IF(DR5="","",-(MIN(DR6,0)+DR33))</f>
        <v>#VALUE!</v>
      </c>
      <c r="DS24" s="685" t="e">
        <f aca="false">IF(DS5="","",-(MIN(DS6,0)+DS33))</f>
        <v>#VALUE!</v>
      </c>
      <c r="DT24" s="685" t="e">
        <f aca="false">IF(DT5="","",-(MIN(DT6,0)+DT33))</f>
        <v>#VALUE!</v>
      </c>
      <c r="DU24" s="685" t="e">
        <f aca="false">IF(DU5="","",-(MIN(DU6,0)+DU33))</f>
        <v>#VALUE!</v>
      </c>
      <c r="DV24" s="686" t="e">
        <f aca="false">IF(DV5="","",-(MIN(DV6,0)+DV33))</f>
        <v>#VALUE!</v>
      </c>
    </row>
    <row r="25" s="683" customFormat="true" ht="13.5" hidden="false" customHeight="true" outlineLevel="0" collapsed="false">
      <c r="A25" s="236"/>
      <c r="B25" s="684" t="s">
        <v>640</v>
      </c>
      <c r="C25" s="242"/>
      <c r="D25" s="702" t="e">
        <f aca="false">D21+D22-D23-D24</f>
        <v>#VALUE!</v>
      </c>
      <c r="E25" s="655"/>
      <c r="F25" s="687"/>
      <c r="G25" s="436"/>
      <c r="H25" s="688"/>
      <c r="I25" s="688"/>
      <c r="J25" s="688"/>
      <c r="K25" s="688"/>
      <c r="L25" s="688"/>
      <c r="M25" s="688"/>
      <c r="N25" s="688"/>
      <c r="O25" s="688"/>
      <c r="P25" s="688"/>
      <c r="Q25" s="688"/>
      <c r="R25" s="688"/>
      <c r="S25" s="689"/>
      <c r="T25" s="688"/>
      <c r="U25" s="688"/>
      <c r="V25" s="688"/>
      <c r="W25" s="688"/>
      <c r="X25" s="688"/>
      <c r="Y25" s="688"/>
      <c r="Z25" s="688"/>
      <c r="AA25" s="688"/>
      <c r="AB25" s="688"/>
      <c r="AC25" s="688"/>
      <c r="AD25" s="688"/>
      <c r="AE25" s="689"/>
      <c r="AF25" s="688"/>
      <c r="AG25" s="688"/>
      <c r="AH25" s="688"/>
      <c r="AI25" s="688"/>
      <c r="AJ25" s="688"/>
      <c r="AK25" s="688"/>
      <c r="AL25" s="688"/>
      <c r="AM25" s="688"/>
      <c r="AN25" s="688"/>
      <c r="AO25" s="688"/>
      <c r="AP25" s="688"/>
      <c r="AQ25" s="689"/>
      <c r="AR25" s="688"/>
      <c r="AS25" s="688"/>
      <c r="AT25" s="688"/>
      <c r="AU25" s="688"/>
      <c r="AV25" s="688"/>
      <c r="AW25" s="688"/>
      <c r="AX25" s="688"/>
      <c r="AY25" s="688"/>
      <c r="AZ25" s="688"/>
      <c r="BA25" s="688"/>
      <c r="BB25" s="688"/>
      <c r="BC25" s="689"/>
      <c r="BD25" s="688"/>
      <c r="BE25" s="688"/>
      <c r="BF25" s="688"/>
      <c r="BG25" s="688"/>
      <c r="BH25" s="688"/>
      <c r="BI25" s="688"/>
      <c r="BJ25" s="688"/>
      <c r="BK25" s="688"/>
      <c r="BL25" s="688"/>
      <c r="BM25" s="688"/>
      <c r="BN25" s="688"/>
      <c r="BO25" s="689"/>
      <c r="BP25" s="688"/>
      <c r="BQ25" s="688"/>
      <c r="BR25" s="688"/>
      <c r="BS25" s="688"/>
      <c r="BT25" s="688"/>
      <c r="BU25" s="688"/>
      <c r="BV25" s="688"/>
      <c r="BW25" s="688"/>
      <c r="BX25" s="688"/>
      <c r="BY25" s="688"/>
      <c r="BZ25" s="688"/>
      <c r="CA25" s="689"/>
      <c r="CB25" s="688"/>
      <c r="CC25" s="688"/>
      <c r="CD25" s="688"/>
      <c r="CE25" s="688"/>
      <c r="CF25" s="688"/>
      <c r="CG25" s="688"/>
      <c r="CH25" s="688"/>
      <c r="CI25" s="688"/>
      <c r="CJ25" s="688"/>
      <c r="CK25" s="688"/>
      <c r="CL25" s="688"/>
      <c r="CM25" s="689"/>
      <c r="CN25" s="688"/>
      <c r="CO25" s="688"/>
      <c r="CP25" s="688"/>
      <c r="CQ25" s="688"/>
      <c r="CR25" s="688"/>
      <c r="CS25" s="688"/>
      <c r="CT25" s="688"/>
      <c r="CU25" s="688"/>
      <c r="CV25" s="688"/>
      <c r="CW25" s="688"/>
      <c r="CX25" s="688"/>
      <c r="CY25" s="689"/>
      <c r="CZ25" s="688"/>
      <c r="DA25" s="688"/>
      <c r="DB25" s="688"/>
      <c r="DC25" s="688"/>
      <c r="DD25" s="688"/>
      <c r="DE25" s="688"/>
      <c r="DF25" s="688"/>
      <c r="DG25" s="688"/>
      <c r="DH25" s="688"/>
      <c r="DI25" s="688"/>
      <c r="DJ25" s="688"/>
      <c r="DK25" s="689"/>
      <c r="DL25" s="688"/>
      <c r="DM25" s="688"/>
      <c r="DN25" s="688"/>
      <c r="DO25" s="688"/>
      <c r="DP25" s="688"/>
      <c r="DQ25" s="688"/>
      <c r="DR25" s="688"/>
      <c r="DS25" s="688"/>
      <c r="DT25" s="688"/>
      <c r="DU25" s="688"/>
      <c r="DV25" s="690"/>
    </row>
    <row r="26" s="683" customFormat="true" ht="13.5" hidden="false" customHeight="true" outlineLevel="0" collapsed="false">
      <c r="A26" s="236"/>
      <c r="B26" s="674" t="s">
        <v>641</v>
      </c>
      <c r="C26" s="66"/>
      <c r="D26" s="691" t="e">
        <f aca="false">(1+IRR(F26:DV26,0.1/12))^12-1</f>
        <v>#VALUE!</v>
      </c>
      <c r="E26" s="655"/>
      <c r="F26" s="685" t="e">
        <f aca="false">IF(F5="","",(-F24)+F21)+F22-F23</f>
        <v>#VALUE!</v>
      </c>
      <c r="G26" s="436" t="e">
        <f aca="false">IF(G5="","",(-G24)+G21)+G22-G23</f>
        <v>#VALUE!</v>
      </c>
      <c r="H26" s="685" t="e">
        <f aca="false">IF(H5="","",(-H24)+H21)+H22-H23</f>
        <v>#VALUE!</v>
      </c>
      <c r="I26" s="685" t="e">
        <f aca="false">IF(I5="","",(-I24)+I21)+I22-I23</f>
        <v>#VALUE!</v>
      </c>
      <c r="J26" s="685" t="e">
        <f aca="false">IF(J5="","",(-J24)+J21)+J22-J23</f>
        <v>#VALUE!</v>
      </c>
      <c r="K26" s="685" t="e">
        <f aca="false">IF(K5="","",(-K24)+K21)+K22-K23</f>
        <v>#VALUE!</v>
      </c>
      <c r="L26" s="685" t="e">
        <f aca="false">IF(L5="","",(-L24)+L21)+L22-L23</f>
        <v>#VALUE!</v>
      </c>
      <c r="M26" s="685" t="e">
        <f aca="false">IF(M5="","",(-M24)+M21)+M22-M23</f>
        <v>#VALUE!</v>
      </c>
      <c r="N26" s="685" t="e">
        <f aca="false">IF(N5="","",(-N24)+N21)+N22-N23</f>
        <v>#VALUE!</v>
      </c>
      <c r="O26" s="685" t="e">
        <f aca="false">IF(O5="","",(-O24)+O21)+O22-O23</f>
        <v>#VALUE!</v>
      </c>
      <c r="P26" s="685" t="e">
        <f aca="false">IF(P5="","",(-P24)+P21)+P22-P23</f>
        <v>#VALUE!</v>
      </c>
      <c r="Q26" s="685" t="e">
        <f aca="false">IF(Q5="","",(-Q24)+Q21)+Q22-Q23</f>
        <v>#VALUE!</v>
      </c>
      <c r="R26" s="685" t="e">
        <f aca="false">IF(R5="","",(-R24)+R21)+R22-R23</f>
        <v>#VALUE!</v>
      </c>
      <c r="S26" s="436" t="e">
        <f aca="false">IF(S5="","",(-S24)+S21)+S22-S23</f>
        <v>#VALUE!</v>
      </c>
      <c r="T26" s="685" t="e">
        <f aca="false">IF(T5="","",(-T24)+T21)+T22-T23</f>
        <v>#VALUE!</v>
      </c>
      <c r="U26" s="685" t="e">
        <f aca="false">IF(U5="","",(-U24)+U21)+U22-U23</f>
        <v>#VALUE!</v>
      </c>
      <c r="V26" s="685" t="e">
        <f aca="false">IF(V5="","",(-V24)+V21)+V22-V23</f>
        <v>#VALUE!</v>
      </c>
      <c r="W26" s="685" t="e">
        <f aca="false">IF(W5="","",(-W24)+W21)+W22-W23</f>
        <v>#VALUE!</v>
      </c>
      <c r="X26" s="685" t="e">
        <f aca="false">IF(X5="","",(-X24)+X21)+X22-X23</f>
        <v>#VALUE!</v>
      </c>
      <c r="Y26" s="685" t="e">
        <f aca="false">IF(Y5="","",(-Y24)+Y21)+Y22-Y23</f>
        <v>#VALUE!</v>
      </c>
      <c r="Z26" s="685" t="e">
        <f aca="false">IF(Z5="","",(-Z24)+Z21)+Z22-Z23</f>
        <v>#VALUE!</v>
      </c>
      <c r="AA26" s="685" t="e">
        <f aca="false">IF(AA5="","",(-AA24)+AA21)+AA22-AA23</f>
        <v>#VALUE!</v>
      </c>
      <c r="AB26" s="685" t="e">
        <f aca="false">IF(AB5="","",(-AB24)+AB21)+AB22-AB23</f>
        <v>#VALUE!</v>
      </c>
      <c r="AC26" s="685" t="e">
        <f aca="false">IF(AC5="","",(-AC24)+AC21)+AC22-AC23</f>
        <v>#VALUE!</v>
      </c>
      <c r="AD26" s="685" t="e">
        <f aca="false">IF(AD5="","",(-AD24)+AD21)+AD22-AD23</f>
        <v>#VALUE!</v>
      </c>
      <c r="AE26" s="436" t="e">
        <f aca="false">IF(AE5="","",(-AE24)+AE21)+AE22-AE23</f>
        <v>#VALUE!</v>
      </c>
      <c r="AF26" s="685" t="e">
        <f aca="false">IF(AF5="","",(-AF24)+AF21)+AF22-AF23</f>
        <v>#VALUE!</v>
      </c>
      <c r="AG26" s="685" t="e">
        <f aca="false">IF(AG5="","",(-AG24)+AG21)+AG22-AG23</f>
        <v>#VALUE!</v>
      </c>
      <c r="AH26" s="685" t="e">
        <f aca="false">IF(AH5="","",(-AH24)+AH21)+AH22-AH23</f>
        <v>#VALUE!</v>
      </c>
      <c r="AI26" s="685" t="e">
        <f aca="false">IF(AI5="","",(-AI24)+AI21)+AI22-AI23</f>
        <v>#VALUE!</v>
      </c>
      <c r="AJ26" s="685" t="e">
        <f aca="false">IF(AJ5="","",(-AJ24)+AJ21)+AJ22-AJ23</f>
        <v>#VALUE!</v>
      </c>
      <c r="AK26" s="685" t="e">
        <f aca="false">IF(AK5="","",(-AK24)+AK21)+AK22-AK23</f>
        <v>#VALUE!</v>
      </c>
      <c r="AL26" s="685" t="e">
        <f aca="false">IF(AL5="","",(-AL24)+AL21)+AL22-AL23</f>
        <v>#VALUE!</v>
      </c>
      <c r="AM26" s="685" t="e">
        <f aca="false">IF(AM5="","",(-AM24)+AM21)+AM22-AM23</f>
        <v>#VALUE!</v>
      </c>
      <c r="AN26" s="685" t="e">
        <f aca="false">IF(AN5="","",(-AN24)+AN21)+AN22-AN23</f>
        <v>#VALUE!</v>
      </c>
      <c r="AO26" s="685" t="e">
        <f aca="false">IF(AO5="","",(-AO24)+AO21)+AO22-AO23</f>
        <v>#VALUE!</v>
      </c>
      <c r="AP26" s="685" t="e">
        <f aca="false">IF(AP5="","",(-AP24)+AP21)+AP22-AP23</f>
        <v>#VALUE!</v>
      </c>
      <c r="AQ26" s="436" t="e">
        <f aca="false">IF(AQ5="","",(-AQ24)+AQ21)+AQ22-AQ23</f>
        <v>#VALUE!</v>
      </c>
      <c r="AR26" s="685" t="e">
        <f aca="false">IF(AR5="","",(-AR24)+AR21)+AR22-AR23</f>
        <v>#VALUE!</v>
      </c>
      <c r="AS26" s="685" t="e">
        <f aca="false">IF(AS5="","",(-AS24)+AS21)+AS22-AS23</f>
        <v>#VALUE!</v>
      </c>
      <c r="AT26" s="685" t="e">
        <f aca="false">IF(AT5="","",(-AT24)+AT21)+AT22-AT23</f>
        <v>#VALUE!</v>
      </c>
      <c r="AU26" s="685" t="e">
        <f aca="false">IF(AU5="","",(-AU24)+AU21)+AU22-AU23</f>
        <v>#VALUE!</v>
      </c>
      <c r="AV26" s="685" t="e">
        <f aca="false">IF(AV5="","",(-AV24)+AV21)+AV22-AV23</f>
        <v>#VALUE!</v>
      </c>
      <c r="AW26" s="685" t="e">
        <f aca="false">IF(AW5="","",(-AW24)+AW21)+AW22-AW23</f>
        <v>#VALUE!</v>
      </c>
      <c r="AX26" s="685" t="e">
        <f aca="false">IF(AX5="","",(-AX24)+AX21)+AX22-AX23</f>
        <v>#VALUE!</v>
      </c>
      <c r="AY26" s="685" t="e">
        <f aca="false">IF(AY5="","",(-AY24)+AY21)+AY22-AY23</f>
        <v>#VALUE!</v>
      </c>
      <c r="AZ26" s="685" t="e">
        <f aca="false">IF(AZ5="","",(-AZ24)+AZ21)+AZ22-AZ23</f>
        <v>#VALUE!</v>
      </c>
      <c r="BA26" s="685" t="e">
        <f aca="false">IF(BA5="","",(-BA24)+BA21)+BA22-BA23</f>
        <v>#VALUE!</v>
      </c>
      <c r="BB26" s="685" t="e">
        <f aca="false">IF(BB5="","",(-BB24)+BB21)+BB22-BB23</f>
        <v>#VALUE!</v>
      </c>
      <c r="BC26" s="436" t="e">
        <f aca="false">IF(BC5="","",(-BC24)+BC21)+BC22-BC23</f>
        <v>#VALUE!</v>
      </c>
      <c r="BD26" s="685" t="e">
        <f aca="false">IF(BD5="","",(-BD24)+BD21)+BD22-BD23</f>
        <v>#VALUE!</v>
      </c>
      <c r="BE26" s="685" t="e">
        <f aca="false">IF(BE5="","",(-BE24)+BE21)+BE22-BE23</f>
        <v>#VALUE!</v>
      </c>
      <c r="BF26" s="685" t="e">
        <f aca="false">IF(BF5="","",(-BF24)+BF21)+BF22-BF23</f>
        <v>#VALUE!</v>
      </c>
      <c r="BG26" s="685" t="e">
        <f aca="false">IF(BG5="","",(-BG24)+BG21)+BG22-BG23</f>
        <v>#VALUE!</v>
      </c>
      <c r="BH26" s="685" t="e">
        <f aca="false">IF(BH5="","",(-BH24)+BH21)+BH22-BH23</f>
        <v>#VALUE!</v>
      </c>
      <c r="BI26" s="685" t="e">
        <f aca="false">IF(BI5="","",(-BI24)+BI21)+BI22-BI23</f>
        <v>#VALUE!</v>
      </c>
      <c r="BJ26" s="685" t="e">
        <f aca="false">IF(BJ5="","",(-BJ24)+BJ21)+BJ22-BJ23</f>
        <v>#VALUE!</v>
      </c>
      <c r="BK26" s="685" t="e">
        <f aca="false">IF(BK5="","",(-BK24)+BK21)+BK22-BK23</f>
        <v>#VALUE!</v>
      </c>
      <c r="BL26" s="685" t="e">
        <f aca="false">IF(BL5="","",(-BL24)+BL21)+BL22-BL23</f>
        <v>#VALUE!</v>
      </c>
      <c r="BM26" s="685" t="e">
        <f aca="false">IF(BM5="","",(-BM24)+BM21)+BM22-BM23</f>
        <v>#VALUE!</v>
      </c>
      <c r="BN26" s="685" t="e">
        <f aca="false">IF(BN5="","",(-BN24)+BN21)+BN22-BN23</f>
        <v>#VALUE!</v>
      </c>
      <c r="BO26" s="436" t="e">
        <f aca="false">IF(BO5="","",(-BO24)+BO21)+BO22-BO23</f>
        <v>#VALUE!</v>
      </c>
      <c r="BP26" s="685" t="e">
        <f aca="false">IF(BP5="","",(-BP24)+BP21)+BP22-BP23</f>
        <v>#VALUE!</v>
      </c>
      <c r="BQ26" s="685" t="e">
        <f aca="false">IF(BQ5="","",(-BQ24)+BQ21)+BQ22-BQ23</f>
        <v>#VALUE!</v>
      </c>
      <c r="BR26" s="685" t="e">
        <f aca="false">IF(BR5="","",(-BR24)+BR21)+BR22-BR23</f>
        <v>#VALUE!</v>
      </c>
      <c r="BS26" s="685" t="e">
        <f aca="false">IF(BS5="","",(-BS24)+BS21)+BS22-BS23</f>
        <v>#VALUE!</v>
      </c>
      <c r="BT26" s="685" t="e">
        <f aca="false">IF(BT5="","",(-BT24)+BT21)+BT22-BT23</f>
        <v>#VALUE!</v>
      </c>
      <c r="BU26" s="685" t="e">
        <f aca="false">IF(BU5="","",(-BU24)+BU21)+BU22-BU23</f>
        <v>#VALUE!</v>
      </c>
      <c r="BV26" s="685" t="e">
        <f aca="false">IF(BV5="","",(-BV24)+BV21)+BV22-BV23</f>
        <v>#VALUE!</v>
      </c>
      <c r="BW26" s="685" t="e">
        <f aca="false">IF(BW5="","",(-BW24)+BW21)+BW22-BW23</f>
        <v>#VALUE!</v>
      </c>
      <c r="BX26" s="685" t="e">
        <f aca="false">IF(BX5="","",(-BX24)+BX21)+BX22-BX23</f>
        <v>#VALUE!</v>
      </c>
      <c r="BY26" s="685" t="e">
        <f aca="false">IF(BY5="","",(-BY24)+BY21)+BY22-BY23</f>
        <v>#VALUE!</v>
      </c>
      <c r="BZ26" s="685" t="e">
        <f aca="false">IF(BZ5="","",(-BZ24)+BZ21)+BZ22-BZ23</f>
        <v>#VALUE!</v>
      </c>
      <c r="CA26" s="436" t="e">
        <f aca="false">IF(CA5="","",(-CA24)+CA21)+CA22-CA23</f>
        <v>#VALUE!</v>
      </c>
      <c r="CB26" s="685" t="e">
        <f aca="false">IF(CB5="","",(-CB24)+CB21)+CB22-CB23</f>
        <v>#VALUE!</v>
      </c>
      <c r="CC26" s="685" t="e">
        <f aca="false">IF(CC5="","",(-CC24)+CC21)+CC22-CC23</f>
        <v>#VALUE!</v>
      </c>
      <c r="CD26" s="685" t="e">
        <f aca="false">IF(CD5="","",(-CD24)+CD21)+CD22-CD23</f>
        <v>#VALUE!</v>
      </c>
      <c r="CE26" s="685" t="e">
        <f aca="false">IF(CE5="","",(-CE24)+CE21)+CE22-CE23</f>
        <v>#VALUE!</v>
      </c>
      <c r="CF26" s="685" t="e">
        <f aca="false">IF(CF5="","",(-CF24)+CF21)+CF22-CF23</f>
        <v>#VALUE!</v>
      </c>
      <c r="CG26" s="685" t="e">
        <f aca="false">IF(CG5="","",(-CG24)+CG21)+CG22-CG23</f>
        <v>#VALUE!</v>
      </c>
      <c r="CH26" s="685" t="e">
        <f aca="false">IF(CH5="","",(-CH24)+CH21)+CH22-CH23</f>
        <v>#VALUE!</v>
      </c>
      <c r="CI26" s="685" t="e">
        <f aca="false">IF(CI5="","",(-CI24)+CI21)+CI22-CI23</f>
        <v>#VALUE!</v>
      </c>
      <c r="CJ26" s="685" t="e">
        <f aca="false">IF(CJ5="","",(-CJ24)+CJ21)+CJ22-CJ23</f>
        <v>#VALUE!</v>
      </c>
      <c r="CK26" s="685" t="e">
        <f aca="false">IF(CK5="","",(-CK24)+CK21)+CK22-CK23</f>
        <v>#VALUE!</v>
      </c>
      <c r="CL26" s="685" t="e">
        <f aca="false">IF(CL5="","",(-CL24)+CL21)+CL22-CL23</f>
        <v>#VALUE!</v>
      </c>
      <c r="CM26" s="436" t="e">
        <f aca="false">IF(CM5="","",(-CM24)+CM21)+CM22-CM23</f>
        <v>#VALUE!</v>
      </c>
      <c r="CN26" s="685" t="e">
        <f aca="false">IF(CN5="","",(-CN24)+CN21)+CN22-CN23</f>
        <v>#VALUE!</v>
      </c>
      <c r="CO26" s="685" t="e">
        <f aca="false">IF(CO5="","",(-CO24)+CO21)+CO22-CO23</f>
        <v>#VALUE!</v>
      </c>
      <c r="CP26" s="685" t="e">
        <f aca="false">IF(CP5="","",(-CP24)+CP21)+CP22-CP23</f>
        <v>#VALUE!</v>
      </c>
      <c r="CQ26" s="685" t="e">
        <f aca="false">IF(CQ5="","",(-CQ24)+CQ21)+CQ22-CQ23</f>
        <v>#VALUE!</v>
      </c>
      <c r="CR26" s="685" t="e">
        <f aca="false">IF(CR5="","",(-CR24)+CR21)+CR22-CR23</f>
        <v>#VALUE!</v>
      </c>
      <c r="CS26" s="685" t="e">
        <f aca="false">IF(CS5="","",(-CS24)+CS21)+CS22-CS23</f>
        <v>#VALUE!</v>
      </c>
      <c r="CT26" s="685" t="e">
        <f aca="false">IF(CT5="","",(-CT24)+CT21)+CT22-CT23</f>
        <v>#VALUE!</v>
      </c>
      <c r="CU26" s="685" t="e">
        <f aca="false">IF(CU5="","",(-CU24)+CU21)+CU22-CU23</f>
        <v>#VALUE!</v>
      </c>
      <c r="CV26" s="685" t="e">
        <f aca="false">IF(CV5="","",(-CV24)+CV21)+CV22-CV23</f>
        <v>#VALUE!</v>
      </c>
      <c r="CW26" s="685" t="e">
        <f aca="false">IF(CW5="","",(-CW24)+CW21)+CW22-CW23</f>
        <v>#VALUE!</v>
      </c>
      <c r="CX26" s="685" t="e">
        <f aca="false">IF(CX5="","",(-CX24)+CX21)+CX22-CX23</f>
        <v>#VALUE!</v>
      </c>
      <c r="CY26" s="436" t="e">
        <f aca="false">IF(CY5="","",(-CY24)+CY21)+CY22-CY23</f>
        <v>#VALUE!</v>
      </c>
      <c r="CZ26" s="685" t="e">
        <f aca="false">IF(CZ5="","",(-CZ24)+CZ21)+CZ22-CZ23</f>
        <v>#VALUE!</v>
      </c>
      <c r="DA26" s="685" t="e">
        <f aca="false">IF(DA5="","",(-DA24)+DA21)+DA22-DA23</f>
        <v>#VALUE!</v>
      </c>
      <c r="DB26" s="685" t="e">
        <f aca="false">IF(DB5="","",(-DB24)+DB21)+DB22-DB23</f>
        <v>#VALUE!</v>
      </c>
      <c r="DC26" s="685" t="e">
        <f aca="false">IF(DC5="","",(-DC24)+DC21)+DC22-DC23</f>
        <v>#VALUE!</v>
      </c>
      <c r="DD26" s="685" t="e">
        <f aca="false">IF(DD5="","",(-DD24)+DD21)+DD22-DD23</f>
        <v>#VALUE!</v>
      </c>
      <c r="DE26" s="685" t="e">
        <f aca="false">IF(DE5="","",(-DE24)+DE21)+DE22-DE23</f>
        <v>#VALUE!</v>
      </c>
      <c r="DF26" s="685" t="e">
        <f aca="false">IF(DF5="","",(-DF24)+DF21)+DF22-DF23</f>
        <v>#VALUE!</v>
      </c>
      <c r="DG26" s="685" t="e">
        <f aca="false">IF(DG5="","",(-DG24)+DG21)+DG22-DG23</f>
        <v>#VALUE!</v>
      </c>
      <c r="DH26" s="685" t="e">
        <f aca="false">IF(DH5="","",(-DH24)+DH21)+DH22-DH23</f>
        <v>#VALUE!</v>
      </c>
      <c r="DI26" s="685" t="e">
        <f aca="false">IF(DI5="","",(-DI24)+DI21)+DI22-DI23</f>
        <v>#VALUE!</v>
      </c>
      <c r="DJ26" s="685" t="e">
        <f aca="false">IF(DJ5="","",(-DJ24)+DJ21)+DJ22-DJ23</f>
        <v>#VALUE!</v>
      </c>
      <c r="DK26" s="436" t="e">
        <f aca="false">IF(DK5="","",(-DK24)+DK21)+DK22-DK23</f>
        <v>#VALUE!</v>
      </c>
      <c r="DL26" s="685" t="e">
        <f aca="false">IF(DL5="","",(-DL24)+DL21)+DL22-DL23</f>
        <v>#VALUE!</v>
      </c>
      <c r="DM26" s="685" t="e">
        <f aca="false">IF(DM5="","",(-DM24)+DM21)+DM22-DM23</f>
        <v>#VALUE!</v>
      </c>
      <c r="DN26" s="685" t="e">
        <f aca="false">IF(DN5="","",(-DN24)+DN21)+DN22-DN23</f>
        <v>#VALUE!</v>
      </c>
      <c r="DO26" s="685" t="e">
        <f aca="false">IF(DO5="","",(-DO24)+DO21)+DO22-DO23</f>
        <v>#VALUE!</v>
      </c>
      <c r="DP26" s="685" t="e">
        <f aca="false">IF(DP5="","",(-DP24)+DP21)+DP22-DP23</f>
        <v>#VALUE!</v>
      </c>
      <c r="DQ26" s="685" t="e">
        <f aca="false">IF(DQ5="","",(-DQ24)+DQ21)+DQ22-DQ23</f>
        <v>#VALUE!</v>
      </c>
      <c r="DR26" s="685" t="e">
        <f aca="false">IF(DR5="","",(-DR24)+DR21)+DR22-DR23</f>
        <v>#VALUE!</v>
      </c>
      <c r="DS26" s="685" t="e">
        <f aca="false">IF(DS5="","",(-DS24)+DS21)+DS22-DS23</f>
        <v>#VALUE!</v>
      </c>
      <c r="DT26" s="685" t="e">
        <f aca="false">IF(DT5="","",(-DT24)+DT21)+DT22-DT23</f>
        <v>#VALUE!</v>
      </c>
      <c r="DU26" s="685" t="e">
        <f aca="false">IF(DU5="","",(-DU24)+DU21)+DU22-DU23</f>
        <v>#VALUE!</v>
      </c>
      <c r="DV26" s="686" t="e">
        <f aca="false">IF(DV5="","",(-DV24)+DV21)+DV22-DV23</f>
        <v>#VALUE!</v>
      </c>
    </row>
    <row r="27" s="683" customFormat="true" ht="13.5" hidden="false" customHeight="true" outlineLevel="0" collapsed="false">
      <c r="A27" s="236"/>
      <c r="B27" s="692" t="s">
        <v>642</v>
      </c>
      <c r="C27" s="469"/>
      <c r="D27" s="670" t="e">
        <f aca="false">(D21+D22-D23)/D24</f>
        <v>#VALUE!</v>
      </c>
      <c r="E27" s="693"/>
      <c r="F27" s="432"/>
      <c r="G27" s="705"/>
      <c r="H27" s="413"/>
      <c r="I27" s="413"/>
      <c r="J27" s="413"/>
      <c r="K27" s="413"/>
      <c r="L27" s="413"/>
      <c r="M27" s="413"/>
      <c r="N27" s="413"/>
      <c r="O27" s="413"/>
      <c r="P27" s="413"/>
      <c r="Q27" s="696"/>
      <c r="R27" s="696"/>
      <c r="S27" s="697"/>
      <c r="T27" s="696"/>
      <c r="U27" s="696"/>
      <c r="V27" s="696"/>
      <c r="W27" s="696"/>
      <c r="X27" s="696"/>
      <c r="Y27" s="696"/>
      <c r="Z27" s="696"/>
      <c r="AA27" s="696"/>
      <c r="AB27" s="696"/>
      <c r="AC27" s="696"/>
      <c r="AD27" s="696"/>
      <c r="AE27" s="697"/>
      <c r="AF27" s="696"/>
      <c r="AG27" s="696"/>
      <c r="AH27" s="696"/>
      <c r="AI27" s="696"/>
      <c r="AJ27" s="696"/>
      <c r="AK27" s="696"/>
      <c r="AL27" s="696"/>
      <c r="AM27" s="696"/>
      <c r="AN27" s="696"/>
      <c r="AO27" s="696"/>
      <c r="AP27" s="696"/>
      <c r="AQ27" s="697"/>
      <c r="AR27" s="696"/>
      <c r="AS27" s="696"/>
      <c r="AT27" s="696"/>
      <c r="AU27" s="696"/>
      <c r="AV27" s="696"/>
      <c r="AW27" s="696"/>
      <c r="AX27" s="696"/>
      <c r="AY27" s="696"/>
      <c r="AZ27" s="696"/>
      <c r="BA27" s="696"/>
      <c r="BB27" s="696"/>
      <c r="BC27" s="697"/>
      <c r="BD27" s="696"/>
      <c r="BE27" s="696"/>
      <c r="BF27" s="696"/>
      <c r="BG27" s="696"/>
      <c r="BH27" s="696"/>
      <c r="BI27" s="696"/>
      <c r="BJ27" s="696"/>
      <c r="BK27" s="696"/>
      <c r="BL27" s="696"/>
      <c r="BM27" s="696"/>
      <c r="BN27" s="696"/>
      <c r="BO27" s="697"/>
      <c r="BP27" s="696"/>
      <c r="BQ27" s="696"/>
      <c r="BR27" s="696"/>
      <c r="BS27" s="696"/>
      <c r="BT27" s="696"/>
      <c r="BU27" s="696"/>
      <c r="BV27" s="696"/>
      <c r="BW27" s="696"/>
      <c r="BX27" s="696"/>
      <c r="BY27" s="696"/>
      <c r="BZ27" s="696"/>
      <c r="CA27" s="697"/>
      <c r="CB27" s="696"/>
      <c r="CC27" s="696"/>
      <c r="CD27" s="696"/>
      <c r="CE27" s="696"/>
      <c r="CF27" s="696"/>
      <c r="CG27" s="696"/>
      <c r="CH27" s="696"/>
      <c r="CI27" s="696"/>
      <c r="CJ27" s="696"/>
      <c r="CK27" s="696"/>
      <c r="CL27" s="696"/>
      <c r="CM27" s="697"/>
      <c r="CN27" s="696"/>
      <c r="CO27" s="696"/>
      <c r="CP27" s="696"/>
      <c r="CQ27" s="696"/>
      <c r="CR27" s="696"/>
      <c r="CS27" s="696"/>
      <c r="CT27" s="696"/>
      <c r="CU27" s="696"/>
      <c r="CV27" s="696"/>
      <c r="CW27" s="696"/>
      <c r="CX27" s="696"/>
      <c r="CY27" s="697"/>
      <c r="CZ27" s="696"/>
      <c r="DA27" s="696"/>
      <c r="DB27" s="696"/>
      <c r="DC27" s="696"/>
      <c r="DD27" s="696"/>
      <c r="DE27" s="696"/>
      <c r="DF27" s="696"/>
      <c r="DG27" s="696"/>
      <c r="DH27" s="696"/>
      <c r="DI27" s="696"/>
      <c r="DJ27" s="696"/>
      <c r="DK27" s="697"/>
      <c r="DL27" s="696"/>
      <c r="DM27" s="696"/>
      <c r="DN27" s="696"/>
      <c r="DO27" s="696"/>
      <c r="DP27" s="696"/>
      <c r="DQ27" s="696"/>
      <c r="DR27" s="696"/>
      <c r="DS27" s="696"/>
      <c r="DT27" s="696"/>
      <c r="DU27" s="696"/>
      <c r="DV27" s="698"/>
    </row>
    <row r="28" s="683" customFormat="true" ht="13.5" hidden="false" customHeight="true" outlineLevel="0" collapsed="false">
      <c r="A28" s="236"/>
      <c r="B28" s="69"/>
      <c r="C28" s="242"/>
      <c r="D28" s="242"/>
      <c r="E28" s="706"/>
      <c r="F28" s="707"/>
      <c r="G28" s="339"/>
      <c r="H28" s="405"/>
      <c r="I28" s="405"/>
      <c r="J28" s="405"/>
      <c r="K28" s="405"/>
      <c r="L28" s="405"/>
      <c r="M28" s="405"/>
      <c r="N28" s="405"/>
      <c r="O28" s="405"/>
      <c r="P28" s="707"/>
      <c r="Q28" s="688"/>
      <c r="R28" s="688"/>
      <c r="S28" s="689"/>
      <c r="T28" s="688"/>
      <c r="U28" s="688"/>
      <c r="V28" s="688"/>
      <c r="W28" s="688"/>
      <c r="X28" s="688"/>
      <c r="Y28" s="688"/>
      <c r="Z28" s="688"/>
      <c r="AA28" s="688"/>
      <c r="AB28" s="688"/>
      <c r="AC28" s="688"/>
      <c r="AD28" s="688"/>
      <c r="AE28" s="689"/>
      <c r="AF28" s="688"/>
      <c r="AG28" s="688"/>
      <c r="AH28" s="688"/>
      <c r="AI28" s="688"/>
      <c r="AJ28" s="688"/>
      <c r="AK28" s="688"/>
      <c r="AL28" s="688"/>
      <c r="AM28" s="688"/>
      <c r="AN28" s="688"/>
      <c r="AO28" s="688"/>
      <c r="AP28" s="688"/>
      <c r="AQ28" s="689"/>
      <c r="AR28" s="688"/>
      <c r="AS28" s="688"/>
      <c r="AT28" s="688"/>
      <c r="AU28" s="688"/>
      <c r="AV28" s="688"/>
      <c r="AW28" s="688"/>
      <c r="AX28" s="688"/>
      <c r="AY28" s="688"/>
      <c r="AZ28" s="688"/>
      <c r="BA28" s="688"/>
      <c r="BB28" s="688"/>
      <c r="BC28" s="689"/>
      <c r="BD28" s="688"/>
      <c r="BE28" s="688"/>
      <c r="BF28" s="688"/>
      <c r="BG28" s="688"/>
      <c r="BH28" s="688"/>
      <c r="BI28" s="688"/>
      <c r="BJ28" s="688"/>
      <c r="BK28" s="688"/>
      <c r="BL28" s="688"/>
      <c r="BM28" s="688"/>
      <c r="BN28" s="688"/>
      <c r="BO28" s="689"/>
      <c r="BP28" s="688"/>
      <c r="BQ28" s="688"/>
      <c r="BR28" s="688"/>
      <c r="BS28" s="688"/>
      <c r="BT28" s="688"/>
      <c r="BU28" s="688"/>
      <c r="BV28" s="688"/>
      <c r="BW28" s="688"/>
      <c r="BX28" s="688"/>
      <c r="BY28" s="688"/>
      <c r="BZ28" s="688"/>
      <c r="CA28" s="689"/>
      <c r="CB28" s="688"/>
      <c r="CC28" s="688"/>
      <c r="CD28" s="688"/>
      <c r="CE28" s="688"/>
      <c r="CF28" s="688"/>
      <c r="CG28" s="688"/>
      <c r="CH28" s="688"/>
      <c r="CI28" s="688"/>
      <c r="CJ28" s="688"/>
      <c r="CK28" s="688"/>
      <c r="CL28" s="688"/>
      <c r="CM28" s="689"/>
      <c r="CN28" s="688"/>
      <c r="CO28" s="688"/>
      <c r="CP28" s="688"/>
      <c r="CQ28" s="688"/>
      <c r="CR28" s="688"/>
      <c r="CS28" s="688"/>
      <c r="CT28" s="688"/>
      <c r="CU28" s="688"/>
      <c r="CV28" s="688"/>
      <c r="CW28" s="688"/>
      <c r="CX28" s="688"/>
      <c r="CY28" s="689"/>
      <c r="CZ28" s="688"/>
      <c r="DA28" s="688"/>
      <c r="DB28" s="688"/>
      <c r="DC28" s="688"/>
      <c r="DD28" s="688"/>
      <c r="DE28" s="688"/>
      <c r="DF28" s="688"/>
      <c r="DG28" s="688"/>
      <c r="DH28" s="688"/>
      <c r="DI28" s="688"/>
      <c r="DJ28" s="688"/>
      <c r="DK28" s="689"/>
      <c r="DL28" s="688"/>
      <c r="DM28" s="688"/>
      <c r="DN28" s="688"/>
      <c r="DO28" s="688"/>
      <c r="DP28" s="688"/>
      <c r="DQ28" s="688"/>
      <c r="DR28" s="688"/>
      <c r="DS28" s="688"/>
      <c r="DT28" s="688"/>
      <c r="DU28" s="688"/>
      <c r="DV28" s="690"/>
    </row>
    <row r="29" s="683" customFormat="true" ht="13.5" hidden="false" customHeight="true" outlineLevel="0" collapsed="false">
      <c r="A29" s="236"/>
      <c r="B29" s="21" t="s">
        <v>643</v>
      </c>
      <c r="C29" s="239"/>
      <c r="D29" s="239"/>
      <c r="E29" s="239"/>
      <c r="F29" s="679"/>
      <c r="G29" s="708"/>
      <c r="H29" s="679"/>
      <c r="I29" s="679"/>
      <c r="J29" s="679"/>
      <c r="K29" s="679"/>
      <c r="L29" s="679"/>
      <c r="M29" s="679"/>
      <c r="N29" s="679"/>
      <c r="O29" s="679"/>
      <c r="P29" s="679"/>
      <c r="Q29" s="680"/>
      <c r="R29" s="680"/>
      <c r="S29" s="681"/>
      <c r="T29" s="680"/>
      <c r="U29" s="680"/>
      <c r="V29" s="680"/>
      <c r="W29" s="680"/>
      <c r="X29" s="680"/>
      <c r="Y29" s="680"/>
      <c r="Z29" s="680"/>
      <c r="AA29" s="680"/>
      <c r="AB29" s="680"/>
      <c r="AC29" s="680"/>
      <c r="AD29" s="680"/>
      <c r="AE29" s="681"/>
      <c r="AF29" s="680"/>
      <c r="AG29" s="680"/>
      <c r="AH29" s="680"/>
      <c r="AI29" s="680"/>
      <c r="AJ29" s="680"/>
      <c r="AK29" s="680"/>
      <c r="AL29" s="680"/>
      <c r="AM29" s="680"/>
      <c r="AN29" s="680"/>
      <c r="AO29" s="680"/>
      <c r="AP29" s="680"/>
      <c r="AQ29" s="681"/>
      <c r="AR29" s="680"/>
      <c r="AS29" s="680"/>
      <c r="AT29" s="680"/>
      <c r="AU29" s="680"/>
      <c r="AV29" s="680"/>
      <c r="AW29" s="680"/>
      <c r="AX29" s="680"/>
      <c r="AY29" s="680"/>
      <c r="AZ29" s="680"/>
      <c r="BA29" s="680"/>
      <c r="BB29" s="680"/>
      <c r="BC29" s="681"/>
      <c r="BD29" s="680"/>
      <c r="BE29" s="680"/>
      <c r="BF29" s="680"/>
      <c r="BG29" s="680"/>
      <c r="BH29" s="680"/>
      <c r="BI29" s="680"/>
      <c r="BJ29" s="680"/>
      <c r="BK29" s="680"/>
      <c r="BL29" s="680"/>
      <c r="BM29" s="680"/>
      <c r="BN29" s="680"/>
      <c r="BO29" s="681"/>
      <c r="BP29" s="680"/>
      <c r="BQ29" s="680"/>
      <c r="BR29" s="680"/>
      <c r="BS29" s="680"/>
      <c r="BT29" s="680"/>
      <c r="BU29" s="680"/>
      <c r="BV29" s="680"/>
      <c r="BW29" s="680"/>
      <c r="BX29" s="680"/>
      <c r="BY29" s="680"/>
      <c r="BZ29" s="680"/>
      <c r="CA29" s="681"/>
      <c r="CB29" s="680"/>
      <c r="CC29" s="680"/>
      <c r="CD29" s="680"/>
      <c r="CE29" s="680"/>
      <c r="CF29" s="680"/>
      <c r="CG29" s="680"/>
      <c r="CH29" s="680"/>
      <c r="CI29" s="680"/>
      <c r="CJ29" s="680"/>
      <c r="CK29" s="680"/>
      <c r="CL29" s="680"/>
      <c r="CM29" s="681"/>
      <c r="CN29" s="680"/>
      <c r="CO29" s="680"/>
      <c r="CP29" s="680"/>
      <c r="CQ29" s="680"/>
      <c r="CR29" s="680"/>
      <c r="CS29" s="680"/>
      <c r="CT29" s="680"/>
      <c r="CU29" s="680"/>
      <c r="CV29" s="680"/>
      <c r="CW29" s="680"/>
      <c r="CX29" s="680"/>
      <c r="CY29" s="681"/>
      <c r="CZ29" s="680"/>
      <c r="DA29" s="680"/>
      <c r="DB29" s="680"/>
      <c r="DC29" s="680"/>
      <c r="DD29" s="680"/>
      <c r="DE29" s="680"/>
      <c r="DF29" s="680"/>
      <c r="DG29" s="680"/>
      <c r="DH29" s="680"/>
      <c r="DI29" s="680"/>
      <c r="DJ29" s="680"/>
      <c r="DK29" s="681"/>
      <c r="DL29" s="680"/>
      <c r="DM29" s="680"/>
      <c r="DN29" s="680"/>
      <c r="DO29" s="680"/>
      <c r="DP29" s="680"/>
      <c r="DQ29" s="680"/>
      <c r="DR29" s="680"/>
      <c r="DS29" s="680"/>
      <c r="DT29" s="680"/>
      <c r="DU29" s="680"/>
      <c r="DV29" s="682"/>
    </row>
    <row r="30" s="683" customFormat="true" ht="13.5" hidden="false" customHeight="true" outlineLevel="0" collapsed="false">
      <c r="A30" s="236"/>
      <c r="B30" s="95" t="s">
        <v>644</v>
      </c>
      <c r="C30" s="709" t="n">
        <f aca="false">'Executive Summary'!P20</f>
        <v>0.08</v>
      </c>
      <c r="D30" s="268"/>
      <c r="E30" s="268"/>
      <c r="F30" s="413"/>
      <c r="G30" s="710"/>
      <c r="H30" s="413"/>
      <c r="I30" s="413"/>
      <c r="J30" s="413"/>
      <c r="K30" s="413"/>
      <c r="L30" s="413"/>
      <c r="M30" s="413"/>
      <c r="N30" s="413"/>
      <c r="O30" s="413"/>
      <c r="P30" s="413"/>
      <c r="Q30" s="696"/>
      <c r="R30" s="696"/>
      <c r="S30" s="697"/>
      <c r="T30" s="696"/>
      <c r="U30" s="696"/>
      <c r="V30" s="696"/>
      <c r="W30" s="696"/>
      <c r="X30" s="696"/>
      <c r="Y30" s="696"/>
      <c r="Z30" s="696"/>
      <c r="AA30" s="696"/>
      <c r="AB30" s="696"/>
      <c r="AC30" s="696"/>
      <c r="AD30" s="696"/>
      <c r="AE30" s="697"/>
      <c r="AF30" s="696"/>
      <c r="AG30" s="696"/>
      <c r="AH30" s="696"/>
      <c r="AI30" s="696"/>
      <c r="AJ30" s="696"/>
      <c r="AK30" s="696"/>
      <c r="AL30" s="696"/>
      <c r="AM30" s="696"/>
      <c r="AN30" s="696"/>
      <c r="AO30" s="696"/>
      <c r="AP30" s="711"/>
      <c r="AQ30" s="712"/>
      <c r="AR30" s="696"/>
      <c r="AS30" s="696"/>
      <c r="AT30" s="696"/>
      <c r="AU30" s="696"/>
      <c r="AV30" s="696"/>
      <c r="AW30" s="696"/>
      <c r="AX30" s="696"/>
      <c r="AY30" s="696"/>
      <c r="AZ30" s="696"/>
      <c r="BA30" s="696"/>
      <c r="BB30" s="696"/>
      <c r="BC30" s="697"/>
      <c r="BD30" s="696"/>
      <c r="BE30" s="696"/>
      <c r="BF30" s="696"/>
      <c r="BG30" s="696"/>
      <c r="BH30" s="696"/>
      <c r="BI30" s="696"/>
      <c r="BJ30" s="696"/>
      <c r="BK30" s="696"/>
      <c r="BL30" s="696"/>
      <c r="BM30" s="696"/>
      <c r="BN30" s="696"/>
      <c r="BO30" s="697"/>
      <c r="BP30" s="696"/>
      <c r="BQ30" s="696"/>
      <c r="BR30" s="696"/>
      <c r="BS30" s="696"/>
      <c r="BT30" s="696"/>
      <c r="BU30" s="696"/>
      <c r="BV30" s="696"/>
      <c r="BW30" s="696"/>
      <c r="BX30" s="696"/>
      <c r="BY30" s="696"/>
      <c r="BZ30" s="696"/>
      <c r="CA30" s="697"/>
      <c r="CB30" s="696"/>
      <c r="CC30" s="696"/>
      <c r="CD30" s="696"/>
      <c r="CE30" s="696"/>
      <c r="CF30" s="696"/>
      <c r="CG30" s="696"/>
      <c r="CH30" s="696"/>
      <c r="CI30" s="696"/>
      <c r="CJ30" s="696"/>
      <c r="CK30" s="696"/>
      <c r="CL30" s="696"/>
      <c r="CM30" s="697"/>
      <c r="CN30" s="696"/>
      <c r="CO30" s="696"/>
      <c r="CP30" s="696"/>
      <c r="CQ30" s="696"/>
      <c r="CR30" s="696"/>
      <c r="CS30" s="696"/>
      <c r="CT30" s="696"/>
      <c r="CU30" s="696"/>
      <c r="CV30" s="696"/>
      <c r="CW30" s="696"/>
      <c r="CX30" s="696"/>
      <c r="CY30" s="697"/>
      <c r="CZ30" s="696"/>
      <c r="DA30" s="696"/>
      <c r="DB30" s="696"/>
      <c r="DC30" s="696"/>
      <c r="DD30" s="696"/>
      <c r="DE30" s="696"/>
      <c r="DF30" s="696"/>
      <c r="DG30" s="696"/>
      <c r="DH30" s="696"/>
      <c r="DI30" s="696"/>
      <c r="DJ30" s="696"/>
      <c r="DK30" s="697"/>
      <c r="DL30" s="696"/>
      <c r="DM30" s="696"/>
      <c r="DN30" s="696"/>
      <c r="DO30" s="696"/>
      <c r="DP30" s="696"/>
      <c r="DQ30" s="696"/>
      <c r="DR30" s="696"/>
      <c r="DS30" s="696"/>
      <c r="DT30" s="696"/>
      <c r="DU30" s="696"/>
      <c r="DV30" s="698"/>
    </row>
    <row r="31" s="683" customFormat="true" ht="13.5" hidden="false" customHeight="true" outlineLevel="0" collapsed="false">
      <c r="A31" s="236"/>
      <c r="B31" s="69" t="s">
        <v>645</v>
      </c>
      <c r="C31" s="242"/>
      <c r="D31" s="242"/>
      <c r="E31" s="242"/>
      <c r="F31" s="688" t="n">
        <f aca="false">IF(F5="","",E35)</f>
        <v>0</v>
      </c>
      <c r="G31" s="689" t="e">
        <f aca="false">IF(G5="","",F35)</f>
        <v>#VALUE!</v>
      </c>
      <c r="H31" s="688" t="e">
        <f aca="false">IF(H5="","",G35)</f>
        <v>#VALUE!</v>
      </c>
      <c r="I31" s="688" t="e">
        <f aca="false">IF(I5="","",H35)</f>
        <v>#VALUE!</v>
      </c>
      <c r="J31" s="688" t="e">
        <f aca="false">IF(J5="","",I35)</f>
        <v>#VALUE!</v>
      </c>
      <c r="K31" s="688" t="e">
        <f aca="false">IF(K5="","",J35)</f>
        <v>#VALUE!</v>
      </c>
      <c r="L31" s="688" t="e">
        <f aca="false">IF(L5="","",K35)</f>
        <v>#VALUE!</v>
      </c>
      <c r="M31" s="688" t="e">
        <f aca="false">IF(M5="","",L35)</f>
        <v>#VALUE!</v>
      </c>
      <c r="N31" s="688" t="e">
        <f aca="false">IF(N5="","",M35)</f>
        <v>#VALUE!</v>
      </c>
      <c r="O31" s="688" t="e">
        <f aca="false">IF(O5="","",N35)</f>
        <v>#VALUE!</v>
      </c>
      <c r="P31" s="688" t="e">
        <f aca="false">IF(P5="","",O35)</f>
        <v>#VALUE!</v>
      </c>
      <c r="Q31" s="688" t="e">
        <f aca="false">IF(Q5="","",P35)</f>
        <v>#VALUE!</v>
      </c>
      <c r="R31" s="688" t="e">
        <f aca="false">IF(R5="","",Q35)</f>
        <v>#VALUE!</v>
      </c>
      <c r="S31" s="689" t="e">
        <f aca="false">IF(S5="","",R35)</f>
        <v>#VALUE!</v>
      </c>
      <c r="T31" s="688" t="e">
        <f aca="false">IF(T5="","",S35)</f>
        <v>#VALUE!</v>
      </c>
      <c r="U31" s="688" t="e">
        <f aca="false">IF(U5="","",T35)</f>
        <v>#VALUE!</v>
      </c>
      <c r="V31" s="688" t="e">
        <f aca="false">IF(V5="","",U35)</f>
        <v>#VALUE!</v>
      </c>
      <c r="W31" s="688" t="e">
        <f aca="false">IF(W5="","",V35)</f>
        <v>#VALUE!</v>
      </c>
      <c r="X31" s="688" t="e">
        <f aca="false">IF(X5="","",W35)</f>
        <v>#VALUE!</v>
      </c>
      <c r="Y31" s="688" t="e">
        <f aca="false">IF(Y5="","",X35)</f>
        <v>#VALUE!</v>
      </c>
      <c r="Z31" s="688" t="e">
        <f aca="false">IF(Z5="","",Y35)</f>
        <v>#VALUE!</v>
      </c>
      <c r="AA31" s="688" t="e">
        <f aca="false">IF(AA5="","",Z35)</f>
        <v>#VALUE!</v>
      </c>
      <c r="AB31" s="688" t="e">
        <f aca="false">IF(AB5="","",AA35)</f>
        <v>#VALUE!</v>
      </c>
      <c r="AC31" s="688" t="e">
        <f aca="false">IF(AC5="","",AB35)</f>
        <v>#VALUE!</v>
      </c>
      <c r="AD31" s="688" t="e">
        <f aca="false">IF(AD5="","",AC35)</f>
        <v>#VALUE!</v>
      </c>
      <c r="AE31" s="689" t="e">
        <f aca="false">IF(AE5="","",AD35)</f>
        <v>#VALUE!</v>
      </c>
      <c r="AF31" s="688" t="e">
        <f aca="false">IF(AF5="","",AE35)</f>
        <v>#VALUE!</v>
      </c>
      <c r="AG31" s="688" t="e">
        <f aca="false">IF(AG5="","",AF35)</f>
        <v>#VALUE!</v>
      </c>
      <c r="AH31" s="688" t="e">
        <f aca="false">IF(AH5="","",AG35)</f>
        <v>#VALUE!</v>
      </c>
      <c r="AI31" s="688" t="e">
        <f aca="false">IF(AI5="","",AH35)</f>
        <v>#VALUE!</v>
      </c>
      <c r="AJ31" s="688" t="e">
        <f aca="false">IF(AJ5="","",AI35)</f>
        <v>#VALUE!</v>
      </c>
      <c r="AK31" s="688" t="e">
        <f aca="false">IF(AK5="","",AJ35)</f>
        <v>#VALUE!</v>
      </c>
      <c r="AL31" s="688" t="e">
        <f aca="false">IF(AL5="","",AK35)</f>
        <v>#VALUE!</v>
      </c>
      <c r="AM31" s="688" t="e">
        <f aca="false">IF(AM5="","",AL35)</f>
        <v>#VALUE!</v>
      </c>
      <c r="AN31" s="688" t="e">
        <f aca="false">IF(AN5="","",AM35)</f>
        <v>#VALUE!</v>
      </c>
      <c r="AO31" s="688" t="e">
        <f aca="false">IF(AO5="","",AN35)</f>
        <v>#VALUE!</v>
      </c>
      <c r="AP31" s="688" t="e">
        <f aca="false">IF(AP5="","",AO35)</f>
        <v>#VALUE!</v>
      </c>
      <c r="AQ31" s="689" t="e">
        <f aca="false">IF(AQ5="","",AP35)</f>
        <v>#VALUE!</v>
      </c>
      <c r="AR31" s="688" t="e">
        <f aca="false">IF(AR5="","",AQ35)</f>
        <v>#VALUE!</v>
      </c>
      <c r="AS31" s="688" t="e">
        <f aca="false">IF(AS5="","",AR35)</f>
        <v>#VALUE!</v>
      </c>
      <c r="AT31" s="688" t="e">
        <f aca="false">IF(AT5="","",AS35)</f>
        <v>#VALUE!</v>
      </c>
      <c r="AU31" s="688" t="e">
        <f aca="false">IF(AU5="","",AT35)</f>
        <v>#VALUE!</v>
      </c>
      <c r="AV31" s="688" t="e">
        <f aca="false">IF(AV5="","",AU35)</f>
        <v>#VALUE!</v>
      </c>
      <c r="AW31" s="688" t="e">
        <f aca="false">IF(AW5="","",AV35)</f>
        <v>#VALUE!</v>
      </c>
      <c r="AX31" s="688" t="e">
        <f aca="false">IF(AX5="","",AW35)</f>
        <v>#VALUE!</v>
      </c>
      <c r="AY31" s="688" t="e">
        <f aca="false">IF(AY5="","",AX35)</f>
        <v>#VALUE!</v>
      </c>
      <c r="AZ31" s="688" t="e">
        <f aca="false">IF(AZ5="","",AY35)</f>
        <v>#VALUE!</v>
      </c>
      <c r="BA31" s="688" t="e">
        <f aca="false">IF(BA5="","",AZ35)</f>
        <v>#VALUE!</v>
      </c>
      <c r="BB31" s="688" t="e">
        <f aca="false">IF(BB5="","",BA35)</f>
        <v>#VALUE!</v>
      </c>
      <c r="BC31" s="689" t="e">
        <f aca="false">IF(BC5="","",BB35)</f>
        <v>#VALUE!</v>
      </c>
      <c r="BD31" s="688" t="e">
        <f aca="false">IF(BD5="","",BC35)</f>
        <v>#VALUE!</v>
      </c>
      <c r="BE31" s="688" t="e">
        <f aca="false">IF(BE5="","",BD35)</f>
        <v>#VALUE!</v>
      </c>
      <c r="BF31" s="688" t="e">
        <f aca="false">IF(BF5="","",BE35)</f>
        <v>#VALUE!</v>
      </c>
      <c r="BG31" s="688" t="e">
        <f aca="false">IF(BG5="","",BF35)</f>
        <v>#VALUE!</v>
      </c>
      <c r="BH31" s="688" t="e">
        <f aca="false">IF(BH5="","",BG35)</f>
        <v>#VALUE!</v>
      </c>
      <c r="BI31" s="688" t="e">
        <f aca="false">IF(BI5="","",BH35)</f>
        <v>#VALUE!</v>
      </c>
      <c r="BJ31" s="688" t="e">
        <f aca="false">IF(BJ5="","",BI35)</f>
        <v>#VALUE!</v>
      </c>
      <c r="BK31" s="688" t="e">
        <f aca="false">IF(BK5="","",BJ35)</f>
        <v>#VALUE!</v>
      </c>
      <c r="BL31" s="688" t="e">
        <f aca="false">IF(BL5="","",BK35)</f>
        <v>#VALUE!</v>
      </c>
      <c r="BM31" s="688" t="e">
        <f aca="false">IF(BM5="","",BL35)</f>
        <v>#VALUE!</v>
      </c>
      <c r="BN31" s="688" t="e">
        <f aca="false">IF(BN5="","",BM35)</f>
        <v>#VALUE!</v>
      </c>
      <c r="BO31" s="689" t="e">
        <f aca="false">IF(BO5="","",BN35)</f>
        <v>#VALUE!</v>
      </c>
      <c r="BP31" s="688" t="e">
        <f aca="false">IF(BP5="","",BO35)</f>
        <v>#VALUE!</v>
      </c>
      <c r="BQ31" s="688" t="e">
        <f aca="false">IF(BQ5="","",BP35)</f>
        <v>#VALUE!</v>
      </c>
      <c r="BR31" s="688" t="e">
        <f aca="false">IF(BR5="","",BQ35)</f>
        <v>#VALUE!</v>
      </c>
      <c r="BS31" s="688" t="e">
        <f aca="false">IF(BS5="","",BR35)</f>
        <v>#VALUE!</v>
      </c>
      <c r="BT31" s="688" t="e">
        <f aca="false">IF(BT5="","",BS35)</f>
        <v>#VALUE!</v>
      </c>
      <c r="BU31" s="688" t="e">
        <f aca="false">IF(BU5="","",BT35)</f>
        <v>#VALUE!</v>
      </c>
      <c r="BV31" s="688" t="e">
        <f aca="false">IF(BV5="","",BU35)</f>
        <v>#VALUE!</v>
      </c>
      <c r="BW31" s="688" t="e">
        <f aca="false">IF(BW5="","",BV35)</f>
        <v>#VALUE!</v>
      </c>
      <c r="BX31" s="688" t="e">
        <f aca="false">IF(BX5="","",BW35)</f>
        <v>#VALUE!</v>
      </c>
      <c r="BY31" s="688" t="e">
        <f aca="false">IF(BY5="","",BX35)</f>
        <v>#VALUE!</v>
      </c>
      <c r="BZ31" s="688" t="e">
        <f aca="false">IF(BZ5="","",BY35)</f>
        <v>#VALUE!</v>
      </c>
      <c r="CA31" s="689" t="e">
        <f aca="false">IF(CA5="","",BZ35)</f>
        <v>#VALUE!</v>
      </c>
      <c r="CB31" s="688" t="e">
        <f aca="false">IF(CB5="","",CA35)</f>
        <v>#VALUE!</v>
      </c>
      <c r="CC31" s="688" t="e">
        <f aca="false">IF(CC5="","",CB35)</f>
        <v>#VALUE!</v>
      </c>
      <c r="CD31" s="688" t="e">
        <f aca="false">IF(CD5="","",CC35)</f>
        <v>#VALUE!</v>
      </c>
      <c r="CE31" s="688" t="e">
        <f aca="false">IF(CE5="","",CD35)</f>
        <v>#VALUE!</v>
      </c>
      <c r="CF31" s="688" t="e">
        <f aca="false">IF(CF5="","",CE35)</f>
        <v>#VALUE!</v>
      </c>
      <c r="CG31" s="688" t="e">
        <f aca="false">IF(CG5="","",CF35)</f>
        <v>#VALUE!</v>
      </c>
      <c r="CH31" s="688" t="e">
        <f aca="false">IF(CH5="","",CG35)</f>
        <v>#VALUE!</v>
      </c>
      <c r="CI31" s="688" t="e">
        <f aca="false">IF(CI5="","",CH35)</f>
        <v>#VALUE!</v>
      </c>
      <c r="CJ31" s="688" t="e">
        <f aca="false">IF(CJ5="","",CI35)</f>
        <v>#VALUE!</v>
      </c>
      <c r="CK31" s="688" t="e">
        <f aca="false">IF(CK5="","",CJ35)</f>
        <v>#VALUE!</v>
      </c>
      <c r="CL31" s="688" t="e">
        <f aca="false">IF(CL5="","",CK35)</f>
        <v>#VALUE!</v>
      </c>
      <c r="CM31" s="689" t="e">
        <f aca="false">IF(CM5="","",CL35)</f>
        <v>#VALUE!</v>
      </c>
      <c r="CN31" s="688" t="e">
        <f aca="false">IF(CN5="","",CM35)</f>
        <v>#VALUE!</v>
      </c>
      <c r="CO31" s="688" t="e">
        <f aca="false">IF(CO5="","",CN35)</f>
        <v>#VALUE!</v>
      </c>
      <c r="CP31" s="688" t="e">
        <f aca="false">IF(CP5="","",CO35)</f>
        <v>#VALUE!</v>
      </c>
      <c r="CQ31" s="688" t="e">
        <f aca="false">IF(CQ5="","",CP35)</f>
        <v>#VALUE!</v>
      </c>
      <c r="CR31" s="688" t="e">
        <f aca="false">IF(CR5="","",CQ35)</f>
        <v>#VALUE!</v>
      </c>
      <c r="CS31" s="688" t="e">
        <f aca="false">IF(CS5="","",CR35)</f>
        <v>#VALUE!</v>
      </c>
      <c r="CT31" s="688" t="e">
        <f aca="false">IF(CT5="","",CS35)</f>
        <v>#VALUE!</v>
      </c>
      <c r="CU31" s="688" t="e">
        <f aca="false">IF(CU5="","",CT35)</f>
        <v>#VALUE!</v>
      </c>
      <c r="CV31" s="688" t="e">
        <f aca="false">IF(CV5="","",CU35)</f>
        <v>#VALUE!</v>
      </c>
      <c r="CW31" s="688" t="e">
        <f aca="false">IF(CW5="","",CV35)</f>
        <v>#VALUE!</v>
      </c>
      <c r="CX31" s="688" t="e">
        <f aca="false">IF(CX5="","",CW35)</f>
        <v>#VALUE!</v>
      </c>
      <c r="CY31" s="689" t="e">
        <f aca="false">IF(CY5="","",CX35)</f>
        <v>#VALUE!</v>
      </c>
      <c r="CZ31" s="688" t="e">
        <f aca="false">IF(CZ5="","",CY35)</f>
        <v>#VALUE!</v>
      </c>
      <c r="DA31" s="688" t="e">
        <f aca="false">IF(DA5="","",CZ35)</f>
        <v>#VALUE!</v>
      </c>
      <c r="DB31" s="688" t="e">
        <f aca="false">IF(DB5="","",DA35)</f>
        <v>#VALUE!</v>
      </c>
      <c r="DC31" s="688" t="e">
        <f aca="false">IF(DC5="","",DB35)</f>
        <v>#VALUE!</v>
      </c>
      <c r="DD31" s="688" t="e">
        <f aca="false">IF(DD5="","",DC35)</f>
        <v>#VALUE!</v>
      </c>
      <c r="DE31" s="688" t="e">
        <f aca="false">IF(DE5="","",DD35)</f>
        <v>#VALUE!</v>
      </c>
      <c r="DF31" s="688" t="e">
        <f aca="false">IF(DF5="","",DE35)</f>
        <v>#VALUE!</v>
      </c>
      <c r="DG31" s="688" t="e">
        <f aca="false">IF(DG5="","",DF35)</f>
        <v>#VALUE!</v>
      </c>
      <c r="DH31" s="688" t="e">
        <f aca="false">IF(DH5="","",DG35)</f>
        <v>#VALUE!</v>
      </c>
      <c r="DI31" s="688" t="e">
        <f aca="false">IF(DI5="","",DH35)</f>
        <v>#VALUE!</v>
      </c>
      <c r="DJ31" s="688" t="e">
        <f aca="false">IF(DJ5="","",DI35)</f>
        <v>#VALUE!</v>
      </c>
      <c r="DK31" s="689" t="e">
        <f aca="false">IF(DK5="","",DJ35)</f>
        <v>#VALUE!</v>
      </c>
      <c r="DL31" s="688" t="e">
        <f aca="false">IF(DL5="","",DK35)</f>
        <v>#VALUE!</v>
      </c>
      <c r="DM31" s="688" t="e">
        <f aca="false">IF(DM5="","",DL35)</f>
        <v>#VALUE!</v>
      </c>
      <c r="DN31" s="688" t="e">
        <f aca="false">IF(DN5="","",DM35)</f>
        <v>#VALUE!</v>
      </c>
      <c r="DO31" s="688" t="e">
        <f aca="false">IF(DO5="","",DN35)</f>
        <v>#VALUE!</v>
      </c>
      <c r="DP31" s="688" t="e">
        <f aca="false">IF(DP5="","",DO35)</f>
        <v>#VALUE!</v>
      </c>
      <c r="DQ31" s="688" t="e">
        <f aca="false">IF(DQ5="","",DP35)</f>
        <v>#VALUE!</v>
      </c>
      <c r="DR31" s="688" t="e">
        <f aca="false">IF(DR5="","",DQ35)</f>
        <v>#VALUE!</v>
      </c>
      <c r="DS31" s="688" t="e">
        <f aca="false">IF(DS5="","",DR35)</f>
        <v>#VALUE!</v>
      </c>
      <c r="DT31" s="688" t="e">
        <f aca="false">IF(DT5="","",DS35)</f>
        <v>#VALUE!</v>
      </c>
      <c r="DU31" s="688" t="e">
        <f aca="false">IF(DU5="","",DT35)</f>
        <v>#VALUE!</v>
      </c>
      <c r="DV31" s="690" t="e">
        <f aca="false">IF(DV5="","",DU35)</f>
        <v>#VALUE!</v>
      </c>
    </row>
    <row r="32" s="683" customFormat="true" ht="13.5" hidden="false" customHeight="true" outlineLevel="0" collapsed="false">
      <c r="A32" s="236"/>
      <c r="B32" s="69" t="s">
        <v>646</v>
      </c>
      <c r="C32" s="242"/>
      <c r="D32" s="242"/>
      <c r="E32" s="242"/>
      <c r="F32" s="688" t="str">
        <f aca="false">IF(F31="","",F31*'Executive Summary'!$P$20/12)</f>
        <v/>
      </c>
      <c r="G32" s="689" t="e">
        <f aca="false">IF(G31="","",G31*((1+$C30)^(1/12)-1))</f>
        <v>#VALUE!</v>
      </c>
      <c r="H32" s="688" t="e">
        <f aca="false">IF(H31="","",H31*((1+$C30)^(1/12)-1))</f>
        <v>#VALUE!</v>
      </c>
      <c r="I32" s="688" t="e">
        <f aca="false">IF(I31="","",I31*((1+$C30)^(1/12)-1))</f>
        <v>#VALUE!</v>
      </c>
      <c r="J32" s="688" t="e">
        <f aca="false">IF(J31="","",J31*((1+$C30)^(1/12)-1))</f>
        <v>#VALUE!</v>
      </c>
      <c r="K32" s="688" t="e">
        <f aca="false">IF(K31="","",K31*((1+$C30)^(1/12)-1))</f>
        <v>#VALUE!</v>
      </c>
      <c r="L32" s="688" t="e">
        <f aca="false">IF(L31="","",L31*((1+$C30)^(1/12)-1))</f>
        <v>#VALUE!</v>
      </c>
      <c r="M32" s="688" t="e">
        <f aca="false">IF(M31="","",M31*((1+$C30)^(1/12)-1))</f>
        <v>#VALUE!</v>
      </c>
      <c r="N32" s="688" t="e">
        <f aca="false">IF(N31="","",N31*((1+$C30)^(1/12)-1))</f>
        <v>#VALUE!</v>
      </c>
      <c r="O32" s="688" t="e">
        <f aca="false">IF(O31="","",O31*((1+$C30)^(1/12)-1))</f>
        <v>#VALUE!</v>
      </c>
      <c r="P32" s="688" t="e">
        <f aca="false">IF(P31="","",P31*((1+$C30)^(1/12)-1))</f>
        <v>#VALUE!</v>
      </c>
      <c r="Q32" s="688" t="e">
        <f aca="false">IF(Q31="","",Q31*((1+$C30)^(1/12)-1))</f>
        <v>#VALUE!</v>
      </c>
      <c r="R32" s="688" t="e">
        <f aca="false">IF(R31="","",R31*((1+$C30)^(1/12)-1))</f>
        <v>#VALUE!</v>
      </c>
      <c r="S32" s="689" t="e">
        <f aca="false">IF(S31="","",S31*((1+$C30)^(1/12)-1))</f>
        <v>#VALUE!</v>
      </c>
      <c r="T32" s="688" t="e">
        <f aca="false">IF(T31="","",T31*((1+$C30)^(1/12)-1))</f>
        <v>#VALUE!</v>
      </c>
      <c r="U32" s="688" t="e">
        <f aca="false">IF(U31="","",U31*((1+$C30)^(1/12)-1))</f>
        <v>#VALUE!</v>
      </c>
      <c r="V32" s="688" t="e">
        <f aca="false">IF(V31="","",V31*((1+$C30)^(1/12)-1))</f>
        <v>#VALUE!</v>
      </c>
      <c r="W32" s="688" t="e">
        <f aca="false">IF(W31="","",W31*((1+$C30)^(1/12)-1))</f>
        <v>#VALUE!</v>
      </c>
      <c r="X32" s="688" t="e">
        <f aca="false">IF(X31="","",X31*((1+$C30)^(1/12)-1))</f>
        <v>#VALUE!</v>
      </c>
      <c r="Y32" s="688" t="e">
        <f aca="false">IF(Y31="","",Y31*((1+$C30)^(1/12)-1))</f>
        <v>#VALUE!</v>
      </c>
      <c r="Z32" s="688" t="e">
        <f aca="false">IF(Z31="","",Z31*((1+$C30)^(1/12)-1))</f>
        <v>#VALUE!</v>
      </c>
      <c r="AA32" s="688" t="e">
        <f aca="false">IF(AA31="","",AA31*((1+$C30)^(1/12)-1))</f>
        <v>#VALUE!</v>
      </c>
      <c r="AB32" s="688" t="e">
        <f aca="false">IF(AB31="","",AB31*((1+$C30)^(1/12)-1))</f>
        <v>#VALUE!</v>
      </c>
      <c r="AC32" s="688" t="e">
        <f aca="false">IF(AC31="","",AC31*((1+$C30)^(1/12)-1))</f>
        <v>#VALUE!</v>
      </c>
      <c r="AD32" s="688" t="e">
        <f aca="false">IF(AD31="","",AD31*((1+$C30)^(1/12)-1))</f>
        <v>#VALUE!</v>
      </c>
      <c r="AE32" s="689" t="e">
        <f aca="false">IF(AE31="","",AE31*((1+$C30)^(1/12)-1))</f>
        <v>#VALUE!</v>
      </c>
      <c r="AF32" s="688" t="e">
        <f aca="false">IF(AF31="","",AF31*((1+$C30)^(1/12)-1))</f>
        <v>#VALUE!</v>
      </c>
      <c r="AG32" s="688" t="e">
        <f aca="false">IF(AG31="","",AG31*((1+$C30)^(1/12)-1))</f>
        <v>#VALUE!</v>
      </c>
      <c r="AH32" s="688" t="e">
        <f aca="false">IF(AH31="","",AH31*((1+$C30)^(1/12)-1))</f>
        <v>#VALUE!</v>
      </c>
      <c r="AI32" s="688" t="e">
        <f aca="false">IF(AI31="","",AI31*((1+$C30)^(1/12)-1))</f>
        <v>#VALUE!</v>
      </c>
      <c r="AJ32" s="688" t="e">
        <f aca="false">IF(AJ31="","",AJ31*((1+$C30)^(1/12)-1))</f>
        <v>#VALUE!</v>
      </c>
      <c r="AK32" s="688" t="e">
        <f aca="false">IF(AK31="","",AK31*((1+$C30)^(1/12)-1))</f>
        <v>#VALUE!</v>
      </c>
      <c r="AL32" s="688" t="e">
        <f aca="false">IF(AL31="","",AL31*((1+$C30)^(1/12)-1))</f>
        <v>#VALUE!</v>
      </c>
      <c r="AM32" s="688" t="e">
        <f aca="false">IF(AM31="","",AM31*((1+$C30)^(1/12)-1))</f>
        <v>#VALUE!</v>
      </c>
      <c r="AN32" s="688" t="e">
        <f aca="false">IF(AN31="","",AN31*((1+$C30)^(1/12)-1))</f>
        <v>#VALUE!</v>
      </c>
      <c r="AO32" s="688" t="e">
        <f aca="false">IF(AO31="","",AO31*((1+$C30)^(1/12)-1))</f>
        <v>#VALUE!</v>
      </c>
      <c r="AP32" s="688" t="e">
        <f aca="false">IF(AP31="","",AP31*((1+$C30)^(1/12)-1))</f>
        <v>#VALUE!</v>
      </c>
      <c r="AQ32" s="689" t="e">
        <f aca="false">IF(AQ31="","",AQ31*((1+$C30)^(1/12)-1))</f>
        <v>#VALUE!</v>
      </c>
      <c r="AR32" s="688" t="e">
        <f aca="false">IF(AR31="","",AR31*((1+$C30)^(1/12)-1))</f>
        <v>#VALUE!</v>
      </c>
      <c r="AS32" s="688" t="e">
        <f aca="false">IF(AS31="","",AS31*((1+$C30)^(1/12)-1))</f>
        <v>#VALUE!</v>
      </c>
      <c r="AT32" s="688" t="e">
        <f aca="false">IF(AT31="","",AT31*((1+$C30)^(1/12)-1))</f>
        <v>#VALUE!</v>
      </c>
      <c r="AU32" s="688" t="e">
        <f aca="false">IF(AU31="","",AU31*((1+$C30)^(1/12)-1))</f>
        <v>#VALUE!</v>
      </c>
      <c r="AV32" s="688" t="e">
        <f aca="false">IF(AV31="","",AV31*((1+$C30)^(1/12)-1))</f>
        <v>#VALUE!</v>
      </c>
      <c r="AW32" s="688" t="e">
        <f aca="false">IF(AW31="","",AW31*((1+$C30)^(1/12)-1))</f>
        <v>#VALUE!</v>
      </c>
      <c r="AX32" s="688" t="e">
        <f aca="false">IF(AX31="","",AX31*((1+$C30)^(1/12)-1))</f>
        <v>#VALUE!</v>
      </c>
      <c r="AY32" s="688" t="e">
        <f aca="false">IF(AY31="","",AY31*((1+$C30)^(1/12)-1))</f>
        <v>#VALUE!</v>
      </c>
      <c r="AZ32" s="688" t="e">
        <f aca="false">IF(AZ31="","",AZ31*((1+$C30)^(1/12)-1))</f>
        <v>#VALUE!</v>
      </c>
      <c r="BA32" s="688" t="e">
        <f aca="false">IF(BA31="","",BA31*((1+$C30)^(1/12)-1))</f>
        <v>#VALUE!</v>
      </c>
      <c r="BB32" s="688" t="e">
        <f aca="false">IF(BB31="","",BB31*((1+$C30)^(1/12)-1))</f>
        <v>#VALUE!</v>
      </c>
      <c r="BC32" s="689" t="e">
        <f aca="false">IF(BC31="","",BC31*((1+$C30)^(1/12)-1))</f>
        <v>#VALUE!</v>
      </c>
      <c r="BD32" s="688" t="e">
        <f aca="false">IF(BD31="","",BD31*((1+$C30)^(1/12)-1))</f>
        <v>#VALUE!</v>
      </c>
      <c r="BE32" s="688" t="e">
        <f aca="false">IF(BE31="","",BE31*((1+$C30)^(1/12)-1))</f>
        <v>#VALUE!</v>
      </c>
      <c r="BF32" s="688" t="e">
        <f aca="false">IF(BF31="","",BF31*((1+$C30)^(1/12)-1))</f>
        <v>#VALUE!</v>
      </c>
      <c r="BG32" s="688" t="e">
        <f aca="false">IF(BG31="","",BG31*((1+$C30)^(1/12)-1))</f>
        <v>#VALUE!</v>
      </c>
      <c r="BH32" s="688" t="e">
        <f aca="false">IF(BH31="","",BH31*((1+$C30)^(1/12)-1))</f>
        <v>#VALUE!</v>
      </c>
      <c r="BI32" s="688" t="e">
        <f aca="false">IF(BI31="","",BI31*((1+$C30)^(1/12)-1))</f>
        <v>#VALUE!</v>
      </c>
      <c r="BJ32" s="688" t="e">
        <f aca="false">IF(BJ31="","",BJ31*((1+$C30)^(1/12)-1))</f>
        <v>#VALUE!</v>
      </c>
      <c r="BK32" s="688" t="e">
        <f aca="false">IF(BK31="","",BK31*((1+$C30)^(1/12)-1))</f>
        <v>#VALUE!</v>
      </c>
      <c r="BL32" s="688" t="e">
        <f aca="false">IF(BL31="","",BL31*((1+$C30)^(1/12)-1))</f>
        <v>#VALUE!</v>
      </c>
      <c r="BM32" s="688" t="e">
        <f aca="false">IF(BM31="","",BM31*((1+$C30)^(1/12)-1))</f>
        <v>#VALUE!</v>
      </c>
      <c r="BN32" s="688" t="e">
        <f aca="false">IF(BN31="","",BN31*((1+$C30)^(1/12)-1))</f>
        <v>#VALUE!</v>
      </c>
      <c r="BO32" s="689" t="e">
        <f aca="false">IF(BO31="","",BO31*((1+$C30)^(1/12)-1))</f>
        <v>#VALUE!</v>
      </c>
      <c r="BP32" s="688" t="e">
        <f aca="false">IF(BP31="","",BP31*((1+$C30)^(1/12)-1))</f>
        <v>#VALUE!</v>
      </c>
      <c r="BQ32" s="688" t="e">
        <f aca="false">IF(BQ31="","",BQ31*((1+$C30)^(1/12)-1))</f>
        <v>#VALUE!</v>
      </c>
      <c r="BR32" s="688" t="e">
        <f aca="false">IF(BR31="","",BR31*((1+$C30)^(1/12)-1))</f>
        <v>#VALUE!</v>
      </c>
      <c r="BS32" s="688" t="e">
        <f aca="false">IF(BS31="","",BS31*((1+$C30)^(1/12)-1))</f>
        <v>#VALUE!</v>
      </c>
      <c r="BT32" s="688" t="e">
        <f aca="false">IF(BT31="","",BT31*((1+$C30)^(1/12)-1))</f>
        <v>#VALUE!</v>
      </c>
      <c r="BU32" s="688" t="e">
        <f aca="false">IF(BU31="","",BU31*((1+$C30)^(1/12)-1))</f>
        <v>#VALUE!</v>
      </c>
      <c r="BV32" s="688" t="e">
        <f aca="false">IF(BV31="","",BV31*((1+$C30)^(1/12)-1))</f>
        <v>#VALUE!</v>
      </c>
      <c r="BW32" s="688" t="e">
        <f aca="false">IF(BW31="","",BW31*((1+$C30)^(1/12)-1))</f>
        <v>#VALUE!</v>
      </c>
      <c r="BX32" s="688" t="e">
        <f aca="false">IF(BX31="","",BX31*((1+$C30)^(1/12)-1))</f>
        <v>#VALUE!</v>
      </c>
      <c r="BY32" s="688" t="e">
        <f aca="false">IF(BY31="","",BY31*((1+$C30)^(1/12)-1))</f>
        <v>#VALUE!</v>
      </c>
      <c r="BZ32" s="688" t="e">
        <f aca="false">IF(BZ31="","",BZ31*((1+$C30)^(1/12)-1))</f>
        <v>#VALUE!</v>
      </c>
      <c r="CA32" s="689" t="e">
        <f aca="false">IF(CA31="","",CA31*((1+$C30)^(1/12)-1))</f>
        <v>#VALUE!</v>
      </c>
      <c r="CB32" s="688" t="e">
        <f aca="false">IF(CB31="","",CB31*((1+$C30)^(1/12)-1))</f>
        <v>#VALUE!</v>
      </c>
      <c r="CC32" s="688" t="e">
        <f aca="false">IF(CC31="","",CC31*((1+$C30)^(1/12)-1))</f>
        <v>#VALUE!</v>
      </c>
      <c r="CD32" s="688" t="e">
        <f aca="false">IF(CD31="","",CD31*((1+$C30)^(1/12)-1))</f>
        <v>#VALUE!</v>
      </c>
      <c r="CE32" s="688" t="e">
        <f aca="false">IF(CE31="","",CE31*((1+$C30)^(1/12)-1))</f>
        <v>#VALUE!</v>
      </c>
      <c r="CF32" s="688" t="e">
        <f aca="false">IF(CF31="","",CF31*((1+$C30)^(1/12)-1))</f>
        <v>#VALUE!</v>
      </c>
      <c r="CG32" s="688" t="e">
        <f aca="false">IF(CG31="","",CG31*((1+$C30)^(1/12)-1))</f>
        <v>#VALUE!</v>
      </c>
      <c r="CH32" s="688" t="e">
        <f aca="false">IF(CH31="","",CH31*((1+$C30)^(1/12)-1))</f>
        <v>#VALUE!</v>
      </c>
      <c r="CI32" s="688" t="e">
        <f aca="false">IF(CI31="","",CI31*((1+$C30)^(1/12)-1))</f>
        <v>#VALUE!</v>
      </c>
      <c r="CJ32" s="688" t="e">
        <f aca="false">IF(CJ31="","",CJ31*((1+$C30)^(1/12)-1))</f>
        <v>#VALUE!</v>
      </c>
      <c r="CK32" s="688" t="e">
        <f aca="false">IF(CK31="","",CK31*((1+$C30)^(1/12)-1))</f>
        <v>#VALUE!</v>
      </c>
      <c r="CL32" s="688" t="e">
        <f aca="false">IF(CL31="","",CL31*((1+$C30)^(1/12)-1))</f>
        <v>#VALUE!</v>
      </c>
      <c r="CM32" s="689" t="e">
        <f aca="false">IF(CM31="","",CM31*((1+$C30)^(1/12)-1))</f>
        <v>#VALUE!</v>
      </c>
      <c r="CN32" s="688" t="e">
        <f aca="false">IF(CN31="","",CN31*((1+$C30)^(1/12)-1))</f>
        <v>#VALUE!</v>
      </c>
      <c r="CO32" s="688" t="e">
        <f aca="false">IF(CO31="","",CO31*((1+$C30)^(1/12)-1))</f>
        <v>#VALUE!</v>
      </c>
      <c r="CP32" s="688" t="e">
        <f aca="false">IF(CP31="","",CP31*((1+$C30)^(1/12)-1))</f>
        <v>#VALUE!</v>
      </c>
      <c r="CQ32" s="688" t="e">
        <f aca="false">IF(CQ31="","",CQ31*((1+$C30)^(1/12)-1))</f>
        <v>#VALUE!</v>
      </c>
      <c r="CR32" s="688" t="e">
        <f aca="false">IF(CR31="","",CR31*((1+$C30)^(1/12)-1))</f>
        <v>#VALUE!</v>
      </c>
      <c r="CS32" s="688" t="e">
        <f aca="false">IF(CS31="","",CS31*((1+$C30)^(1/12)-1))</f>
        <v>#VALUE!</v>
      </c>
      <c r="CT32" s="688" t="e">
        <f aca="false">IF(CT31="","",CT31*((1+$C30)^(1/12)-1))</f>
        <v>#VALUE!</v>
      </c>
      <c r="CU32" s="688" t="e">
        <f aca="false">IF(CU31="","",CU31*((1+$C30)^(1/12)-1))</f>
        <v>#VALUE!</v>
      </c>
      <c r="CV32" s="688" t="e">
        <f aca="false">IF(CV31="","",CV31*((1+$C30)^(1/12)-1))</f>
        <v>#VALUE!</v>
      </c>
      <c r="CW32" s="688" t="e">
        <f aca="false">IF(CW31="","",CW31*((1+$C30)^(1/12)-1))</f>
        <v>#VALUE!</v>
      </c>
      <c r="CX32" s="688" t="e">
        <f aca="false">IF(CX31="","",CX31*((1+$C30)^(1/12)-1))</f>
        <v>#VALUE!</v>
      </c>
      <c r="CY32" s="689" t="e">
        <f aca="false">IF(CY31="","",CY31*((1+$C30)^(1/12)-1))</f>
        <v>#VALUE!</v>
      </c>
      <c r="CZ32" s="688" t="e">
        <f aca="false">IF(CZ31="","",CZ31*((1+$C30)^(1/12)-1))</f>
        <v>#VALUE!</v>
      </c>
      <c r="DA32" s="688" t="e">
        <f aca="false">IF(DA31="","",DA31*((1+$C30)^(1/12)-1))</f>
        <v>#VALUE!</v>
      </c>
      <c r="DB32" s="688" t="e">
        <f aca="false">IF(DB31="","",DB31*((1+$C30)^(1/12)-1))</f>
        <v>#VALUE!</v>
      </c>
      <c r="DC32" s="688" t="e">
        <f aca="false">IF(DC31="","",DC31*((1+$C30)^(1/12)-1))</f>
        <v>#VALUE!</v>
      </c>
      <c r="DD32" s="688" t="e">
        <f aca="false">IF(DD31="","",DD31*((1+$C30)^(1/12)-1))</f>
        <v>#VALUE!</v>
      </c>
      <c r="DE32" s="688" t="e">
        <f aca="false">IF(DE31="","",DE31*((1+$C30)^(1/12)-1))</f>
        <v>#VALUE!</v>
      </c>
      <c r="DF32" s="688" t="e">
        <f aca="false">IF(DF31="","",DF31*((1+$C30)^(1/12)-1))</f>
        <v>#VALUE!</v>
      </c>
      <c r="DG32" s="688" t="e">
        <f aca="false">IF(DG31="","",DG31*((1+$C30)^(1/12)-1))</f>
        <v>#VALUE!</v>
      </c>
      <c r="DH32" s="688" t="e">
        <f aca="false">IF(DH31="","",DH31*((1+$C30)^(1/12)-1))</f>
        <v>#VALUE!</v>
      </c>
      <c r="DI32" s="688" t="e">
        <f aca="false">IF(DI31="","",DI31*((1+$C30)^(1/12)-1))</f>
        <v>#VALUE!</v>
      </c>
      <c r="DJ32" s="688" t="e">
        <f aca="false">IF(DJ31="","",DJ31*((1+$C30)^(1/12)-1))</f>
        <v>#VALUE!</v>
      </c>
      <c r="DK32" s="689" t="e">
        <f aca="false">IF(DK31="","",DK31*((1+$C30)^(1/12)-1))</f>
        <v>#VALUE!</v>
      </c>
      <c r="DL32" s="688" t="e">
        <f aca="false">IF(DL31="","",DL31*((1+$C30)^(1/12)-1))</f>
        <v>#VALUE!</v>
      </c>
      <c r="DM32" s="688" t="e">
        <f aca="false">IF(DM31="","",DM31*((1+$C30)^(1/12)-1))</f>
        <v>#VALUE!</v>
      </c>
      <c r="DN32" s="688" t="e">
        <f aca="false">IF(DN31="","",DN31*((1+$C30)^(1/12)-1))</f>
        <v>#VALUE!</v>
      </c>
      <c r="DO32" s="688" t="e">
        <f aca="false">IF(DO31="","",DO31*((1+$C30)^(1/12)-1))</f>
        <v>#VALUE!</v>
      </c>
      <c r="DP32" s="688" t="e">
        <f aca="false">IF(DP31="","",DP31*((1+$C30)^(1/12)-1))</f>
        <v>#VALUE!</v>
      </c>
      <c r="DQ32" s="688" t="e">
        <f aca="false">IF(DQ31="","",DQ31*((1+$C30)^(1/12)-1))</f>
        <v>#VALUE!</v>
      </c>
      <c r="DR32" s="688" t="e">
        <f aca="false">IF(DR31="","",DR31*((1+$C30)^(1/12)-1))</f>
        <v>#VALUE!</v>
      </c>
      <c r="DS32" s="688" t="e">
        <f aca="false">IF(DS31="","",DS31*((1+$C30)^(1/12)-1))</f>
        <v>#VALUE!</v>
      </c>
      <c r="DT32" s="688" t="e">
        <f aca="false">IF(DT31="","",DT31*((1+$C30)^(1/12)-1))</f>
        <v>#VALUE!</v>
      </c>
      <c r="DU32" s="688" t="e">
        <f aca="false">IF(DU31="","",DU31*((1+$C30)^(1/12)-1))</f>
        <v>#VALUE!</v>
      </c>
      <c r="DV32" s="690" t="e">
        <f aca="false">IF(DV31="","",DV31*((1+$C30)^(1/12)-1))</f>
        <v>#VALUE!</v>
      </c>
    </row>
    <row r="33" s="683" customFormat="true" ht="13.5" hidden="false" customHeight="true" outlineLevel="0" collapsed="false">
      <c r="A33" s="236"/>
      <c r="B33" s="69" t="s">
        <v>647</v>
      </c>
      <c r="C33" s="242"/>
      <c r="D33" s="242"/>
      <c r="E33" s="242"/>
      <c r="F33" s="688" t="str">
        <f aca="false">IF(F31="","",-MIN(0,F6*'Executive Summary'!$O$5))</f>
        <v/>
      </c>
      <c r="G33" s="689" t="e">
        <f aca="false">IF(G31="","",-MIN(0,G6*'Executive Summary'!$O$5))</f>
        <v>#VALUE!</v>
      </c>
      <c r="H33" s="688" t="e">
        <f aca="false">IF(H31="","",-MIN(0,H6*'Executive Summary'!$O$5))</f>
        <v>#VALUE!</v>
      </c>
      <c r="I33" s="688" t="e">
        <f aca="false">IF(I31="","",-MIN(0,I6*'Executive Summary'!$O$5))</f>
        <v>#VALUE!</v>
      </c>
      <c r="J33" s="688" t="e">
        <f aca="false">IF(J31="","",-MIN(0,J6*'Executive Summary'!$O$5))</f>
        <v>#VALUE!</v>
      </c>
      <c r="K33" s="688" t="e">
        <f aca="false">IF(K31="","",-MIN(0,K6*'Executive Summary'!$O$5))</f>
        <v>#VALUE!</v>
      </c>
      <c r="L33" s="688" t="e">
        <f aca="false">IF(L31="","",-MIN(0,L6*'Executive Summary'!$O$5))</f>
        <v>#VALUE!</v>
      </c>
      <c r="M33" s="688" t="e">
        <f aca="false">IF(M31="","",-MIN(0,M6*'Executive Summary'!$O$5))</f>
        <v>#VALUE!</v>
      </c>
      <c r="N33" s="688" t="e">
        <f aca="false">IF(N31="","",-MIN(0,N6*'Executive Summary'!$O$5))</f>
        <v>#VALUE!</v>
      </c>
      <c r="O33" s="688" t="e">
        <f aca="false">IF(O31="","",-MIN(0,O6*'Executive Summary'!$O$5))</f>
        <v>#VALUE!</v>
      </c>
      <c r="P33" s="688" t="e">
        <f aca="false">IF(P31="","",-MIN(0,P6*'Executive Summary'!$O$5))</f>
        <v>#VALUE!</v>
      </c>
      <c r="Q33" s="688" t="e">
        <f aca="false">IF(Q31="","",-MIN(0,Q6*'Executive Summary'!$O$5))</f>
        <v>#VALUE!</v>
      </c>
      <c r="R33" s="688" t="e">
        <f aca="false">IF(R31="","",-MIN(0,R6*'Executive Summary'!$O$5))</f>
        <v>#VALUE!</v>
      </c>
      <c r="S33" s="689" t="e">
        <f aca="false">IF(S31="","",-MIN(0,S6*'Executive Summary'!$O$5))</f>
        <v>#VALUE!</v>
      </c>
      <c r="T33" s="688" t="e">
        <f aca="false">IF(T31="","",-MIN(0,T6*'Executive Summary'!$O$5))</f>
        <v>#VALUE!</v>
      </c>
      <c r="U33" s="688" t="e">
        <f aca="false">IF(U31="","",-MIN(0,U6*'Executive Summary'!$O$5))</f>
        <v>#VALUE!</v>
      </c>
      <c r="V33" s="688" t="e">
        <f aca="false">IF(V31="","",-MIN(0,V6*'Executive Summary'!$O$5))</f>
        <v>#VALUE!</v>
      </c>
      <c r="W33" s="688" t="e">
        <f aca="false">IF(W31="","",-MIN(0,W6*'Executive Summary'!$O$5))</f>
        <v>#VALUE!</v>
      </c>
      <c r="X33" s="688" t="e">
        <f aca="false">IF(X31="","",-MIN(0,X6*'Executive Summary'!$O$5))</f>
        <v>#VALUE!</v>
      </c>
      <c r="Y33" s="688" t="e">
        <f aca="false">IF(Y31="","",-MIN(0,Y6*'Executive Summary'!$O$5))</f>
        <v>#VALUE!</v>
      </c>
      <c r="Z33" s="688" t="e">
        <f aca="false">IF(Z31="","",-MIN(0,Z6*'Executive Summary'!$O$5))</f>
        <v>#VALUE!</v>
      </c>
      <c r="AA33" s="688" t="e">
        <f aca="false">IF(AA31="","",-MIN(0,AA6*'Executive Summary'!$O$5))</f>
        <v>#VALUE!</v>
      </c>
      <c r="AB33" s="688" t="e">
        <f aca="false">IF(AB31="","",-MIN(0,AB6*'Executive Summary'!$O$5))</f>
        <v>#VALUE!</v>
      </c>
      <c r="AC33" s="688" t="e">
        <f aca="false">IF(AC31="","",-MIN(0,AC6*'Executive Summary'!$O$5))</f>
        <v>#VALUE!</v>
      </c>
      <c r="AD33" s="688" t="e">
        <f aca="false">IF(AD31="","",-MIN(0,AD6*'Executive Summary'!$O$5))</f>
        <v>#VALUE!</v>
      </c>
      <c r="AE33" s="689" t="e">
        <f aca="false">IF(AE31="","",-MIN(0,AE6*'Executive Summary'!$O$5))</f>
        <v>#VALUE!</v>
      </c>
      <c r="AF33" s="688" t="e">
        <f aca="false">IF(AF31="","",-MIN(0,AF6*'Executive Summary'!$O$5))</f>
        <v>#VALUE!</v>
      </c>
      <c r="AG33" s="688" t="e">
        <f aca="false">IF(AG31="","",-MIN(0,AG6*'Executive Summary'!$O$5))</f>
        <v>#VALUE!</v>
      </c>
      <c r="AH33" s="688" t="e">
        <f aca="false">IF(AH31="","",-MIN(0,AH6*'Executive Summary'!$O$5))</f>
        <v>#VALUE!</v>
      </c>
      <c r="AI33" s="688" t="e">
        <f aca="false">IF(AI31="","",-MIN(0,AI6*'Executive Summary'!$O$5))</f>
        <v>#VALUE!</v>
      </c>
      <c r="AJ33" s="688" t="e">
        <f aca="false">IF(AJ31="","",-MIN(0,AJ6*'Executive Summary'!$O$5))</f>
        <v>#VALUE!</v>
      </c>
      <c r="AK33" s="688" t="e">
        <f aca="false">IF(AK31="","",-MIN(0,AK6*'Executive Summary'!$O$5))</f>
        <v>#VALUE!</v>
      </c>
      <c r="AL33" s="688" t="e">
        <f aca="false">IF(AL31="","",-MIN(0,AL6*'Executive Summary'!$O$5))</f>
        <v>#VALUE!</v>
      </c>
      <c r="AM33" s="688" t="e">
        <f aca="false">IF(AM31="","",-MIN(0,AM6*'Executive Summary'!$O$5))</f>
        <v>#VALUE!</v>
      </c>
      <c r="AN33" s="688" t="e">
        <f aca="false">IF(AN31="","",-MIN(0,AN6*'Executive Summary'!$O$5))</f>
        <v>#VALUE!</v>
      </c>
      <c r="AO33" s="688" t="e">
        <f aca="false">IF(AO31="","",-MIN(0,AO6*'Executive Summary'!$O$5))</f>
        <v>#VALUE!</v>
      </c>
      <c r="AP33" s="688" t="e">
        <f aca="false">IF(AP31="","",-MIN(0,AP6*'Executive Summary'!$O$5))</f>
        <v>#VALUE!</v>
      </c>
      <c r="AQ33" s="689" t="e">
        <f aca="false">IF(AQ31="","",-MIN(0,AQ6*'Executive Summary'!$O$5))</f>
        <v>#VALUE!</v>
      </c>
      <c r="AR33" s="688" t="e">
        <f aca="false">IF(AR31="","",-MIN(0,AR6*'Executive Summary'!$O$5))</f>
        <v>#VALUE!</v>
      </c>
      <c r="AS33" s="688" t="e">
        <f aca="false">IF(AS31="","",-MIN(0,AS6*'Executive Summary'!$O$5))</f>
        <v>#VALUE!</v>
      </c>
      <c r="AT33" s="688" t="e">
        <f aca="false">IF(AT31="","",-MIN(0,AT6*'Executive Summary'!$O$5))</f>
        <v>#VALUE!</v>
      </c>
      <c r="AU33" s="688" t="e">
        <f aca="false">IF(AU31="","",-MIN(0,AU6*'Executive Summary'!$O$5))</f>
        <v>#VALUE!</v>
      </c>
      <c r="AV33" s="688" t="e">
        <f aca="false">IF(AV31="","",-MIN(0,AV6*'Executive Summary'!$O$5))</f>
        <v>#VALUE!</v>
      </c>
      <c r="AW33" s="688" t="e">
        <f aca="false">IF(AW31="","",-MIN(0,AW6*'Executive Summary'!$O$5))</f>
        <v>#VALUE!</v>
      </c>
      <c r="AX33" s="688" t="e">
        <f aca="false">IF(AX31="","",-MIN(0,AX6*'Executive Summary'!$O$5))</f>
        <v>#VALUE!</v>
      </c>
      <c r="AY33" s="688" t="e">
        <f aca="false">IF(AY31="","",-MIN(0,AY6*'Executive Summary'!$O$5))</f>
        <v>#VALUE!</v>
      </c>
      <c r="AZ33" s="688" t="e">
        <f aca="false">IF(AZ31="","",-MIN(0,AZ6*'Executive Summary'!$O$5))</f>
        <v>#VALUE!</v>
      </c>
      <c r="BA33" s="688" t="e">
        <f aca="false">IF(BA31="","",-MIN(0,BA6*'Executive Summary'!$O$5))</f>
        <v>#VALUE!</v>
      </c>
      <c r="BB33" s="688" t="e">
        <f aca="false">IF(BB31="","",-MIN(0,BB6*'Executive Summary'!$O$5))</f>
        <v>#VALUE!</v>
      </c>
      <c r="BC33" s="689" t="e">
        <f aca="false">IF(BC31="","",-MIN(0,BC6*'Executive Summary'!$O$5))</f>
        <v>#VALUE!</v>
      </c>
      <c r="BD33" s="688" t="e">
        <f aca="false">IF(BD31="","",-MIN(0,BD6*'Executive Summary'!$O$5))</f>
        <v>#VALUE!</v>
      </c>
      <c r="BE33" s="688" t="e">
        <f aca="false">IF(BE31="","",-MIN(0,BE6*'Executive Summary'!$O$5))</f>
        <v>#VALUE!</v>
      </c>
      <c r="BF33" s="688" t="e">
        <f aca="false">IF(BF31="","",-MIN(0,BF6*'Executive Summary'!$O$5))</f>
        <v>#VALUE!</v>
      </c>
      <c r="BG33" s="688" t="e">
        <f aca="false">IF(BG31="","",-MIN(0,BG6*'Executive Summary'!$O$5))</f>
        <v>#VALUE!</v>
      </c>
      <c r="BH33" s="688" t="e">
        <f aca="false">IF(BH31="","",-MIN(0,BH6*'Executive Summary'!$O$5))</f>
        <v>#VALUE!</v>
      </c>
      <c r="BI33" s="688" t="e">
        <f aca="false">IF(BI31="","",-MIN(0,BI6*'Executive Summary'!$O$5))</f>
        <v>#VALUE!</v>
      </c>
      <c r="BJ33" s="688" t="e">
        <f aca="false">IF(BJ31="","",-MIN(0,BJ6*'Executive Summary'!$O$5))</f>
        <v>#VALUE!</v>
      </c>
      <c r="BK33" s="688" t="e">
        <f aca="false">IF(BK31="","",-MIN(0,BK6*'Executive Summary'!$O$5))</f>
        <v>#VALUE!</v>
      </c>
      <c r="BL33" s="688" t="e">
        <f aca="false">IF(BL31="","",-MIN(0,BL6*'Executive Summary'!$O$5))</f>
        <v>#VALUE!</v>
      </c>
      <c r="BM33" s="688" t="e">
        <f aca="false">IF(BM31="","",-MIN(0,BM6*'Executive Summary'!$O$5))</f>
        <v>#VALUE!</v>
      </c>
      <c r="BN33" s="688" t="e">
        <f aca="false">IF(BN31="","",-MIN(0,BN6*'Executive Summary'!$O$5))</f>
        <v>#VALUE!</v>
      </c>
      <c r="BO33" s="689" t="e">
        <f aca="false">IF(BO31="","",-MIN(0,BO6*'Executive Summary'!$O$5))</f>
        <v>#VALUE!</v>
      </c>
      <c r="BP33" s="688" t="e">
        <f aca="false">IF(BP31="","",-MIN(0,BP6*'Executive Summary'!$O$5))</f>
        <v>#VALUE!</v>
      </c>
      <c r="BQ33" s="688" t="e">
        <f aca="false">IF(BQ31="","",-MIN(0,BQ6*'Executive Summary'!$O$5))</f>
        <v>#VALUE!</v>
      </c>
      <c r="BR33" s="688" t="e">
        <f aca="false">IF(BR31="","",-MIN(0,BR6*'Executive Summary'!$O$5))</f>
        <v>#VALUE!</v>
      </c>
      <c r="BS33" s="688" t="e">
        <f aca="false">IF(BS31="","",-MIN(0,BS6*'Executive Summary'!$O$5))</f>
        <v>#VALUE!</v>
      </c>
      <c r="BT33" s="688" t="e">
        <f aca="false">IF(BT31="","",-MIN(0,BT6*'Executive Summary'!$O$5))</f>
        <v>#VALUE!</v>
      </c>
      <c r="BU33" s="688" t="e">
        <f aca="false">IF(BU31="","",-MIN(0,BU6*'Executive Summary'!$O$5))</f>
        <v>#VALUE!</v>
      </c>
      <c r="BV33" s="688" t="e">
        <f aca="false">IF(BV31="","",-MIN(0,BV6*'Executive Summary'!$O$5))</f>
        <v>#VALUE!</v>
      </c>
      <c r="BW33" s="688" t="e">
        <f aca="false">IF(BW31="","",-MIN(0,BW6*'Executive Summary'!$O$5))</f>
        <v>#VALUE!</v>
      </c>
      <c r="BX33" s="688" t="e">
        <f aca="false">IF(BX31="","",-MIN(0,BX6*'Executive Summary'!$O$5))</f>
        <v>#VALUE!</v>
      </c>
      <c r="BY33" s="688" t="e">
        <f aca="false">IF(BY31="","",-MIN(0,BY6*'Executive Summary'!$O$5))</f>
        <v>#VALUE!</v>
      </c>
      <c r="BZ33" s="688" t="e">
        <f aca="false">IF(BZ31="","",-MIN(0,BZ6*'Executive Summary'!$O$5))</f>
        <v>#VALUE!</v>
      </c>
      <c r="CA33" s="689" t="e">
        <f aca="false">IF(CA31="","",-MIN(0,CA6*'Executive Summary'!$O$5))</f>
        <v>#VALUE!</v>
      </c>
      <c r="CB33" s="688" t="e">
        <f aca="false">IF(CB31="","",-MIN(0,CB6*'Executive Summary'!$O$5))</f>
        <v>#VALUE!</v>
      </c>
      <c r="CC33" s="688" t="e">
        <f aca="false">IF(CC31="","",-MIN(0,CC6*'Executive Summary'!$O$5))</f>
        <v>#VALUE!</v>
      </c>
      <c r="CD33" s="688" t="e">
        <f aca="false">IF(CD31="","",-MIN(0,CD6*'Executive Summary'!$O$5))</f>
        <v>#VALUE!</v>
      </c>
      <c r="CE33" s="688" t="e">
        <f aca="false">IF(CE31="","",-MIN(0,CE6*'Executive Summary'!$O$5))</f>
        <v>#VALUE!</v>
      </c>
      <c r="CF33" s="688" t="e">
        <f aca="false">IF(CF31="","",-MIN(0,CF6*'Executive Summary'!$O$5))</f>
        <v>#VALUE!</v>
      </c>
      <c r="CG33" s="688" t="e">
        <f aca="false">IF(CG31="","",-MIN(0,CG6*'Executive Summary'!$O$5))</f>
        <v>#VALUE!</v>
      </c>
      <c r="CH33" s="688" t="e">
        <f aca="false">IF(CH31="","",-MIN(0,CH6*'Executive Summary'!$O$5))</f>
        <v>#VALUE!</v>
      </c>
      <c r="CI33" s="688" t="e">
        <f aca="false">IF(CI31="","",-MIN(0,CI6*'Executive Summary'!$O$5))</f>
        <v>#VALUE!</v>
      </c>
      <c r="CJ33" s="688" t="e">
        <f aca="false">IF(CJ31="","",-MIN(0,CJ6*'Executive Summary'!$O$5))</f>
        <v>#VALUE!</v>
      </c>
      <c r="CK33" s="688" t="e">
        <f aca="false">IF(CK31="","",-MIN(0,CK6*'Executive Summary'!$O$5))</f>
        <v>#VALUE!</v>
      </c>
      <c r="CL33" s="688" t="e">
        <f aca="false">IF(CL31="","",-MIN(0,CL6*'Executive Summary'!$O$5))</f>
        <v>#VALUE!</v>
      </c>
      <c r="CM33" s="689" t="e">
        <f aca="false">IF(CM31="","",-MIN(0,CM6*'Executive Summary'!$O$5))</f>
        <v>#VALUE!</v>
      </c>
      <c r="CN33" s="688" t="e">
        <f aca="false">IF(CN31="","",-MIN(0,CN6*'Executive Summary'!$O$5))</f>
        <v>#VALUE!</v>
      </c>
      <c r="CO33" s="688" t="e">
        <f aca="false">IF(CO31="","",-MIN(0,CO6*'Executive Summary'!$O$5))</f>
        <v>#VALUE!</v>
      </c>
      <c r="CP33" s="688" t="e">
        <f aca="false">IF(CP31="","",-MIN(0,CP6*'Executive Summary'!$O$5))</f>
        <v>#VALUE!</v>
      </c>
      <c r="CQ33" s="688" t="e">
        <f aca="false">IF(CQ31="","",-MIN(0,CQ6*'Executive Summary'!$O$5))</f>
        <v>#VALUE!</v>
      </c>
      <c r="CR33" s="688" t="e">
        <f aca="false">IF(CR31="","",-MIN(0,CR6*'Executive Summary'!$O$5))</f>
        <v>#VALUE!</v>
      </c>
      <c r="CS33" s="688" t="e">
        <f aca="false">IF(CS31="","",-MIN(0,CS6*'Executive Summary'!$O$5))</f>
        <v>#VALUE!</v>
      </c>
      <c r="CT33" s="688" t="e">
        <f aca="false">IF(CT31="","",-MIN(0,CT6*'Executive Summary'!$O$5))</f>
        <v>#VALUE!</v>
      </c>
      <c r="CU33" s="688" t="e">
        <f aca="false">IF(CU31="","",-MIN(0,CU6*'Executive Summary'!$O$5))</f>
        <v>#VALUE!</v>
      </c>
      <c r="CV33" s="688" t="e">
        <f aca="false">IF(CV31="","",-MIN(0,CV6*'Executive Summary'!$O$5))</f>
        <v>#VALUE!</v>
      </c>
      <c r="CW33" s="688" t="e">
        <f aca="false">IF(CW31="","",-MIN(0,CW6*'Executive Summary'!$O$5))</f>
        <v>#VALUE!</v>
      </c>
      <c r="CX33" s="688" t="e">
        <f aca="false">IF(CX31="","",-MIN(0,CX6*'Executive Summary'!$O$5))</f>
        <v>#VALUE!</v>
      </c>
      <c r="CY33" s="689" t="e">
        <f aca="false">IF(CY31="","",-MIN(0,CY6*'Executive Summary'!$O$5))</f>
        <v>#VALUE!</v>
      </c>
      <c r="CZ33" s="688" t="e">
        <f aca="false">IF(CZ31="","",-MIN(0,CZ6*'Executive Summary'!$O$5))</f>
        <v>#VALUE!</v>
      </c>
      <c r="DA33" s="688" t="e">
        <f aca="false">IF(DA31="","",-MIN(0,DA6*'Executive Summary'!$O$5))</f>
        <v>#VALUE!</v>
      </c>
      <c r="DB33" s="688" t="e">
        <f aca="false">IF(DB31="","",-MIN(0,DB6*'Executive Summary'!$O$5))</f>
        <v>#VALUE!</v>
      </c>
      <c r="DC33" s="688" t="e">
        <f aca="false">IF(DC31="","",-MIN(0,DC6*'Executive Summary'!$O$5))</f>
        <v>#VALUE!</v>
      </c>
      <c r="DD33" s="688" t="e">
        <f aca="false">IF(DD31="","",-MIN(0,DD6*'Executive Summary'!$O$5))</f>
        <v>#VALUE!</v>
      </c>
      <c r="DE33" s="688" t="e">
        <f aca="false">IF(DE31="","",-MIN(0,DE6*'Executive Summary'!$O$5))</f>
        <v>#VALUE!</v>
      </c>
      <c r="DF33" s="688" t="e">
        <f aca="false">IF(DF31="","",-MIN(0,DF6*'Executive Summary'!$O$5))</f>
        <v>#VALUE!</v>
      </c>
      <c r="DG33" s="688" t="e">
        <f aca="false">IF(DG31="","",-MIN(0,DG6*'Executive Summary'!$O$5))</f>
        <v>#VALUE!</v>
      </c>
      <c r="DH33" s="688" t="e">
        <f aca="false">IF(DH31="","",-MIN(0,DH6*'Executive Summary'!$O$5))</f>
        <v>#VALUE!</v>
      </c>
      <c r="DI33" s="688" t="e">
        <f aca="false">IF(DI31="","",-MIN(0,DI6*'Executive Summary'!$O$5))</f>
        <v>#VALUE!</v>
      </c>
      <c r="DJ33" s="688" t="e">
        <f aca="false">IF(DJ31="","",-MIN(0,DJ6*'Executive Summary'!$O$5))</f>
        <v>#VALUE!</v>
      </c>
      <c r="DK33" s="689" t="e">
        <f aca="false">IF(DK31="","",-MIN(0,DK6*'Executive Summary'!$O$5))</f>
        <v>#VALUE!</v>
      </c>
      <c r="DL33" s="688" t="e">
        <f aca="false">IF(DL31="","",-MIN(0,DL6*'Executive Summary'!$O$5))</f>
        <v>#VALUE!</v>
      </c>
      <c r="DM33" s="688" t="e">
        <f aca="false">IF(DM31="","",-MIN(0,DM6*'Executive Summary'!$O$5))</f>
        <v>#VALUE!</v>
      </c>
      <c r="DN33" s="688" t="e">
        <f aca="false">IF(DN31="","",-MIN(0,DN6*'Executive Summary'!$O$5))</f>
        <v>#VALUE!</v>
      </c>
      <c r="DO33" s="688" t="e">
        <f aca="false">IF(DO31="","",-MIN(0,DO6*'Executive Summary'!$O$5))</f>
        <v>#VALUE!</v>
      </c>
      <c r="DP33" s="688" t="e">
        <f aca="false">IF(DP31="","",-MIN(0,DP6*'Executive Summary'!$O$5))</f>
        <v>#VALUE!</v>
      </c>
      <c r="DQ33" s="688" t="e">
        <f aca="false">IF(DQ31="","",-MIN(0,DQ6*'Executive Summary'!$O$5))</f>
        <v>#VALUE!</v>
      </c>
      <c r="DR33" s="688" t="e">
        <f aca="false">IF(DR31="","",-MIN(0,DR6*'Executive Summary'!$O$5))</f>
        <v>#VALUE!</v>
      </c>
      <c r="DS33" s="688" t="e">
        <f aca="false">IF(DS31="","",-MIN(0,DS6*'Executive Summary'!$O$5))</f>
        <v>#VALUE!</v>
      </c>
      <c r="DT33" s="688" t="e">
        <f aca="false">IF(DT31="","",-MIN(0,DT6*'Executive Summary'!$O$5))</f>
        <v>#VALUE!</v>
      </c>
      <c r="DU33" s="688" t="e">
        <f aca="false">IF(DU31="","",-MIN(0,DU6*'Executive Summary'!$O$5))</f>
        <v>#VALUE!</v>
      </c>
      <c r="DV33" s="690" t="e">
        <f aca="false">IF(DV31="","",-MIN(0,DV6*'Executive Summary'!$O$5))</f>
        <v>#VALUE!</v>
      </c>
    </row>
    <row r="34" s="683" customFormat="true" ht="13.5" hidden="false" customHeight="true" outlineLevel="0" collapsed="false">
      <c r="A34" s="236"/>
      <c r="B34" s="69" t="s">
        <v>648</v>
      </c>
      <c r="C34" s="242"/>
      <c r="D34" s="242"/>
      <c r="E34" s="242"/>
      <c r="F34" s="688" t="n">
        <f aca="false">MAX(F6,F32)</f>
        <v>-2083229.222</v>
      </c>
      <c r="G34" s="689" t="e">
        <f aca="false">IF(G31="","",MIN(G31+G32,MAX(G6,0)*'Executive Summary'!$O$5))</f>
        <v>#VALUE!</v>
      </c>
      <c r="H34" s="688" t="e">
        <f aca="false">IF(H31="","",MIN(H31+H32,MAX(H6,0)*'Executive Summary'!$O$5))</f>
        <v>#VALUE!</v>
      </c>
      <c r="I34" s="688" t="e">
        <f aca="false">IF(I31="","",MIN(I31+I32,MAX(I6,0)*'Executive Summary'!$O$5))</f>
        <v>#VALUE!</v>
      </c>
      <c r="J34" s="688" t="e">
        <f aca="false">IF(J31="","",MIN(J31+J32,MAX(J6,0)*'Executive Summary'!$O$5))</f>
        <v>#VALUE!</v>
      </c>
      <c r="K34" s="688" t="e">
        <f aca="false">IF(K31="","",MIN(K31+K32,MAX(K6,0)*'Executive Summary'!$O$5))</f>
        <v>#VALUE!</v>
      </c>
      <c r="L34" s="688" t="e">
        <f aca="false">IF(L31="","",MIN(L31+L32,MAX(L6,0)*'Executive Summary'!$O$5))</f>
        <v>#VALUE!</v>
      </c>
      <c r="M34" s="688" t="e">
        <f aca="false">IF(M31="","",MIN(M31+M32,MAX(M6,0)*'Executive Summary'!$O$5))</f>
        <v>#VALUE!</v>
      </c>
      <c r="N34" s="688" t="e">
        <f aca="false">IF(N31="","",MIN(N31+N32,MAX(N6,0)*'Executive Summary'!$O$5))</f>
        <v>#VALUE!</v>
      </c>
      <c r="O34" s="688" t="e">
        <f aca="false">IF(O31="","",MIN(O31+O32,MAX(O6,0)*'Executive Summary'!$O$5))</f>
        <v>#VALUE!</v>
      </c>
      <c r="P34" s="688" t="e">
        <f aca="false">IF(P31="","",MIN(P31+P32,MAX(P6,0)*'Executive Summary'!$O$5))</f>
        <v>#VALUE!</v>
      </c>
      <c r="Q34" s="688" t="e">
        <f aca="false">IF(Q31="","",MIN(Q31+Q32,MAX(Q6,0)*'Executive Summary'!$O$5))</f>
        <v>#VALUE!</v>
      </c>
      <c r="R34" s="688" t="e">
        <f aca="false">IF(R31="","",MIN(R31+R32,MAX(R6,0)*'Executive Summary'!$O$5))</f>
        <v>#VALUE!</v>
      </c>
      <c r="S34" s="689" t="e">
        <f aca="false">IF(S31="","",MIN(S31+S32,MAX(S6,0)*'Executive Summary'!$O$5))</f>
        <v>#VALUE!</v>
      </c>
      <c r="T34" s="688" t="e">
        <f aca="false">IF(T31="","",MIN(T31+T32,MAX(T6,0)*'Executive Summary'!$O$5))</f>
        <v>#VALUE!</v>
      </c>
      <c r="U34" s="688" t="e">
        <f aca="false">IF(U31="","",MIN(U31+U32,MAX(U6,0)*'Executive Summary'!$O$5))</f>
        <v>#VALUE!</v>
      </c>
      <c r="V34" s="688" t="e">
        <f aca="false">IF(V31="","",MIN(V31+V32,MAX(V6,0)*'Executive Summary'!$O$5))</f>
        <v>#VALUE!</v>
      </c>
      <c r="W34" s="688" t="e">
        <f aca="false">IF(W31="","",MIN(W31+W32,MAX(W6,0)*'Executive Summary'!$O$5))</f>
        <v>#VALUE!</v>
      </c>
      <c r="X34" s="688" t="e">
        <f aca="false">IF(X31="","",MIN(X31+X32,MAX(X6,0)*'Executive Summary'!$O$5))</f>
        <v>#VALUE!</v>
      </c>
      <c r="Y34" s="688" t="e">
        <f aca="false">IF(Y31="","",MIN(Y31+Y32,MAX(Y6,0)*'Executive Summary'!$O$5))</f>
        <v>#VALUE!</v>
      </c>
      <c r="Z34" s="688" t="e">
        <f aca="false">IF(Z31="","",MIN(Z31+Z32,MAX(Z6,0)*'Executive Summary'!$O$5))</f>
        <v>#VALUE!</v>
      </c>
      <c r="AA34" s="688" t="e">
        <f aca="false">IF(AA31="","",MIN(AA31+AA32,MAX(AA6,0)*'Executive Summary'!$O$5))</f>
        <v>#VALUE!</v>
      </c>
      <c r="AB34" s="688" t="e">
        <f aca="false">IF(AB31="","",MIN(AB31+AB32,MAX(AB6,0)*'Executive Summary'!$O$5))</f>
        <v>#VALUE!</v>
      </c>
      <c r="AC34" s="688" t="e">
        <f aca="false">IF(AC31="","",MIN(AC31+AC32,MAX(AC6,0)*'Executive Summary'!$O$5))</f>
        <v>#VALUE!</v>
      </c>
      <c r="AD34" s="688" t="e">
        <f aca="false">IF(AD31="","",MIN(AD31+AD32,MAX(AD6,0)*'Executive Summary'!$O$5))</f>
        <v>#VALUE!</v>
      </c>
      <c r="AE34" s="689" t="e">
        <f aca="false">IF(AE31="","",MIN(AE31+AE32,MAX(AE6,0)*'Executive Summary'!$O$5))</f>
        <v>#VALUE!</v>
      </c>
      <c r="AF34" s="688" t="e">
        <f aca="false">IF(AF31="","",MIN(AF31+AF32,MAX(AF6,0)*'Executive Summary'!$O$5))</f>
        <v>#VALUE!</v>
      </c>
      <c r="AG34" s="688" t="e">
        <f aca="false">IF(AG31="","",MIN(AG31+AG32,MAX(AG6,0)*'Executive Summary'!$O$5))</f>
        <v>#VALUE!</v>
      </c>
      <c r="AH34" s="688" t="e">
        <f aca="false">IF(AH31="","",MIN(AH31+AH32,MAX(AH6,0)*'Executive Summary'!$O$5))</f>
        <v>#VALUE!</v>
      </c>
      <c r="AI34" s="688" t="e">
        <f aca="false">IF(AI31="","",MIN(AI31+AI32,MAX(AI6,0)*'Executive Summary'!$O$5))</f>
        <v>#VALUE!</v>
      </c>
      <c r="AJ34" s="688" t="e">
        <f aca="false">IF(AJ31="","",MIN(AJ31+AJ32,MAX(AJ6,0)*'Executive Summary'!$O$5))</f>
        <v>#VALUE!</v>
      </c>
      <c r="AK34" s="688" t="e">
        <f aca="false">IF(AK31="","",MIN(AK31+AK32,MAX(AK6,0)*'Executive Summary'!$O$5))</f>
        <v>#VALUE!</v>
      </c>
      <c r="AL34" s="688" t="e">
        <f aca="false">IF(AL31="","",MIN(AL31+AL32,MAX(AL6,0)*'Executive Summary'!$O$5))</f>
        <v>#VALUE!</v>
      </c>
      <c r="AM34" s="688" t="e">
        <f aca="false">IF(AM31="","",MIN(AM31+AM32,MAX(AM6,0)*'Executive Summary'!$O$5))</f>
        <v>#VALUE!</v>
      </c>
      <c r="AN34" s="688" t="e">
        <f aca="false">IF(AN31="","",MIN(AN31+AN32,MAX(AN6,0)*'Executive Summary'!$O$5))</f>
        <v>#VALUE!</v>
      </c>
      <c r="AO34" s="688" t="e">
        <f aca="false">IF(AO31="","",MIN(AO31+AO32,MAX(AO6,0)*'Executive Summary'!$O$5))</f>
        <v>#VALUE!</v>
      </c>
      <c r="AP34" s="688" t="e">
        <f aca="false">IF(AP31="","",MIN(AP31+AP32,MAX(AP6,0)*'Executive Summary'!$O$5))</f>
        <v>#VALUE!</v>
      </c>
      <c r="AQ34" s="689" t="e">
        <f aca="false">IF(AQ31="","",MIN(AQ31+AQ32,MAX(AQ6,0)*'Executive Summary'!$O$5))</f>
        <v>#VALUE!</v>
      </c>
      <c r="AR34" s="688" t="e">
        <f aca="false">IF(AR31="","",MIN(AR31+AR32,MAX(AR6,0)*'Executive Summary'!$O$5))</f>
        <v>#VALUE!</v>
      </c>
      <c r="AS34" s="688" t="e">
        <f aca="false">IF(AS31="","",MIN(AS31+AS32,MAX(AS6,0)*'Executive Summary'!$O$5))</f>
        <v>#VALUE!</v>
      </c>
      <c r="AT34" s="688" t="e">
        <f aca="false">IF(AT31="","",MIN(AT31+AT32,MAX(AT6,0)*'Executive Summary'!$O$5))</f>
        <v>#VALUE!</v>
      </c>
      <c r="AU34" s="688" t="e">
        <f aca="false">IF(AU31="","",MIN(AU31+AU32,MAX(AU6,0)*'Executive Summary'!$O$5))</f>
        <v>#VALUE!</v>
      </c>
      <c r="AV34" s="688" t="e">
        <f aca="false">IF(AV31="","",MIN(AV31+AV32,MAX(AV6,0)*'Executive Summary'!$O$5))</f>
        <v>#VALUE!</v>
      </c>
      <c r="AW34" s="688" t="e">
        <f aca="false">IF(AW31="","",MIN(AW31+AW32,MAX(AW6,0)*'Executive Summary'!$O$5))</f>
        <v>#VALUE!</v>
      </c>
      <c r="AX34" s="688" t="e">
        <f aca="false">IF(AX31="","",MIN(AX31+AX32,MAX(AX6,0)*'Executive Summary'!$O$5))</f>
        <v>#VALUE!</v>
      </c>
      <c r="AY34" s="688" t="e">
        <f aca="false">IF(AY31="","",MIN(AY31+AY32,MAX(AY6,0)*'Executive Summary'!$O$5))</f>
        <v>#VALUE!</v>
      </c>
      <c r="AZ34" s="688" t="e">
        <f aca="false">IF(AZ31="","",MIN(AZ31+AZ32,MAX(AZ6,0)*'Executive Summary'!$O$5))</f>
        <v>#VALUE!</v>
      </c>
      <c r="BA34" s="688" t="e">
        <f aca="false">IF(BA31="","",MIN(BA31+BA32,MAX(BA6,0)*'Executive Summary'!$O$5))</f>
        <v>#VALUE!</v>
      </c>
      <c r="BB34" s="688" t="e">
        <f aca="false">IF(BB31="","",MIN(BB31+BB32,MAX(BB6,0)*'Executive Summary'!$O$5))</f>
        <v>#VALUE!</v>
      </c>
      <c r="BC34" s="689" t="e">
        <f aca="false">IF(BC31="","",MIN(BC31+BC32,MAX(BC6,0)*'Executive Summary'!$O$5))</f>
        <v>#VALUE!</v>
      </c>
      <c r="BD34" s="688" t="e">
        <f aca="false">IF(BD31="","",MIN(BD31+BD32,MAX(BD6,0)*'Executive Summary'!$O$5))</f>
        <v>#VALUE!</v>
      </c>
      <c r="BE34" s="688" t="e">
        <f aca="false">IF(BE31="","",MIN(BE31+BE32,MAX(BE6,0)*'Executive Summary'!$O$5))</f>
        <v>#VALUE!</v>
      </c>
      <c r="BF34" s="688" t="e">
        <f aca="false">IF(BF31="","",MIN(BF31+BF32,MAX(BF6,0)*'Executive Summary'!$O$5))</f>
        <v>#VALUE!</v>
      </c>
      <c r="BG34" s="688" t="e">
        <f aca="false">IF(BG31="","",MIN(BG31+BG32,MAX(BG6,0)*'Executive Summary'!$O$5))</f>
        <v>#VALUE!</v>
      </c>
      <c r="BH34" s="688" t="e">
        <f aca="false">IF(BH31="","",MIN(BH31+BH32,MAX(BH6,0)*'Executive Summary'!$O$5))</f>
        <v>#VALUE!</v>
      </c>
      <c r="BI34" s="688" t="e">
        <f aca="false">IF(BI31="","",MIN(BI31+BI32,MAX(BI6,0)*'Executive Summary'!$O$5))</f>
        <v>#VALUE!</v>
      </c>
      <c r="BJ34" s="688" t="e">
        <f aca="false">IF(BJ31="","",MIN(BJ31+BJ32,MAX(BJ6,0)*'Executive Summary'!$O$5))</f>
        <v>#VALUE!</v>
      </c>
      <c r="BK34" s="688" t="e">
        <f aca="false">IF(BK31="","",MIN(BK31+BK32,MAX(BK6,0)*'Executive Summary'!$O$5))</f>
        <v>#VALUE!</v>
      </c>
      <c r="BL34" s="688" t="e">
        <f aca="false">IF(BL31="","",MIN(BL31+BL32,MAX(BL6,0)*'Executive Summary'!$O$5))</f>
        <v>#VALUE!</v>
      </c>
      <c r="BM34" s="688" t="e">
        <f aca="false">IF(BM31="","",MIN(BM31+BM32,MAX(BM6,0)*'Executive Summary'!$O$5))</f>
        <v>#VALUE!</v>
      </c>
      <c r="BN34" s="688" t="e">
        <f aca="false">IF(BN31="","",MIN(BN31+BN32,MAX(BN6,0)*'Executive Summary'!$O$5))</f>
        <v>#VALUE!</v>
      </c>
      <c r="BO34" s="689" t="e">
        <f aca="false">IF(BO31="","",MIN(BO31+BO32,MAX(BO6,0)*'Executive Summary'!$O$5))</f>
        <v>#VALUE!</v>
      </c>
      <c r="BP34" s="688" t="e">
        <f aca="false">IF(BP31="","",MIN(BP31+BP32,MAX(BP6,0)*'Executive Summary'!$O$5))</f>
        <v>#VALUE!</v>
      </c>
      <c r="BQ34" s="688" t="e">
        <f aca="false">IF(BQ31="","",MIN(BQ31+BQ32,MAX(BQ6,0)*'Executive Summary'!$O$5))</f>
        <v>#VALUE!</v>
      </c>
      <c r="BR34" s="688" t="e">
        <f aca="false">IF(BR31="","",MIN(BR31+BR32,MAX(BR6,0)*'Executive Summary'!$O$5))</f>
        <v>#VALUE!</v>
      </c>
      <c r="BS34" s="688" t="e">
        <f aca="false">IF(BS31="","",MIN(BS31+BS32,MAX(BS6,0)*'Executive Summary'!$O$5))</f>
        <v>#VALUE!</v>
      </c>
      <c r="BT34" s="688" t="e">
        <f aca="false">IF(BT31="","",MIN(BT31+BT32,MAX(BT6,0)*'Executive Summary'!$O$5))</f>
        <v>#VALUE!</v>
      </c>
      <c r="BU34" s="688" t="e">
        <f aca="false">IF(BU31="","",MIN(BU31+BU32,MAX(BU6,0)*'Executive Summary'!$O$5))</f>
        <v>#VALUE!</v>
      </c>
      <c r="BV34" s="688" t="e">
        <f aca="false">IF(BV31="","",MIN(BV31+BV32,MAX(BV6,0)*'Executive Summary'!$O$5))</f>
        <v>#VALUE!</v>
      </c>
      <c r="BW34" s="688" t="e">
        <f aca="false">IF(BW31="","",MIN(BW31+BW32,MAX(BW6,0)*'Executive Summary'!$O$5))</f>
        <v>#VALUE!</v>
      </c>
      <c r="BX34" s="688" t="e">
        <f aca="false">IF(BX31="","",MIN(BX31+BX32,MAX(BX6,0)*'Executive Summary'!$O$5))</f>
        <v>#VALUE!</v>
      </c>
      <c r="BY34" s="688" t="e">
        <f aca="false">IF(BY31="","",MIN(BY31+BY32,MAX(BY6,0)*'Executive Summary'!$O$5))</f>
        <v>#VALUE!</v>
      </c>
      <c r="BZ34" s="688" t="e">
        <f aca="false">IF(BZ31="","",MIN(BZ31+BZ32,MAX(BZ6,0)*'Executive Summary'!$O$5))</f>
        <v>#VALUE!</v>
      </c>
      <c r="CA34" s="689" t="e">
        <f aca="false">IF(CA31="","",MIN(CA31+CA32,MAX(CA6,0)*'Executive Summary'!$O$5))</f>
        <v>#VALUE!</v>
      </c>
      <c r="CB34" s="688" t="e">
        <f aca="false">IF(CB31="","",MIN(CB31+CB32,MAX(CB6,0)*'Executive Summary'!$O$5))</f>
        <v>#VALUE!</v>
      </c>
      <c r="CC34" s="688" t="e">
        <f aca="false">IF(CC31="","",MIN(CC31+CC32,MAX(CC6,0)*'Executive Summary'!$O$5))</f>
        <v>#VALUE!</v>
      </c>
      <c r="CD34" s="688" t="e">
        <f aca="false">IF(CD31="","",MIN(CD31+CD32,MAX(CD6,0)*'Executive Summary'!$O$5))</f>
        <v>#VALUE!</v>
      </c>
      <c r="CE34" s="688" t="e">
        <f aca="false">IF(CE31="","",MIN(CE31+CE32,MAX(CE6,0)*'Executive Summary'!$O$5))</f>
        <v>#VALUE!</v>
      </c>
      <c r="CF34" s="688" t="e">
        <f aca="false">IF(CF31="","",MIN(CF31+CF32,MAX(CF6,0)*'Executive Summary'!$O$5))</f>
        <v>#VALUE!</v>
      </c>
      <c r="CG34" s="688" t="e">
        <f aca="false">IF(CG31="","",MIN(CG31+CG32,MAX(CG6,0)*'Executive Summary'!$O$5))</f>
        <v>#VALUE!</v>
      </c>
      <c r="CH34" s="688" t="e">
        <f aca="false">IF(CH31="","",MIN(CH31+CH32,MAX(CH6,0)*'Executive Summary'!$O$5))</f>
        <v>#VALUE!</v>
      </c>
      <c r="CI34" s="688" t="e">
        <f aca="false">IF(CI31="","",MIN(CI31+CI32,MAX(CI6,0)*'Executive Summary'!$O$5))</f>
        <v>#VALUE!</v>
      </c>
      <c r="CJ34" s="688" t="e">
        <f aca="false">IF(CJ31="","",MIN(CJ31+CJ32,MAX(CJ6,0)*'Executive Summary'!$O$5))</f>
        <v>#VALUE!</v>
      </c>
      <c r="CK34" s="688" t="e">
        <f aca="false">IF(CK31="","",MIN(CK31+CK32,MAX(CK6,0)*'Executive Summary'!$O$5))</f>
        <v>#VALUE!</v>
      </c>
      <c r="CL34" s="688" t="e">
        <f aca="false">IF(CL31="","",MIN(CL31+CL32,MAX(CL6,0)*'Executive Summary'!$O$5))</f>
        <v>#VALUE!</v>
      </c>
      <c r="CM34" s="689" t="e">
        <f aca="false">IF(CM31="","",MIN(CM31+CM32,MAX(CM6,0)*'Executive Summary'!$O$5))</f>
        <v>#VALUE!</v>
      </c>
      <c r="CN34" s="688" t="e">
        <f aca="false">IF(CN31="","",MIN(CN31+CN32,MAX(CN6,0)*'Executive Summary'!$O$5))</f>
        <v>#VALUE!</v>
      </c>
      <c r="CO34" s="688" t="e">
        <f aca="false">IF(CO31="","",MIN(CO31+CO32,MAX(CO6,0)*'Executive Summary'!$O$5))</f>
        <v>#VALUE!</v>
      </c>
      <c r="CP34" s="688" t="e">
        <f aca="false">IF(CP31="","",MIN(CP31+CP32,MAX(CP6,0)*'Executive Summary'!$O$5))</f>
        <v>#VALUE!</v>
      </c>
      <c r="CQ34" s="688" t="e">
        <f aca="false">IF(CQ31="","",MIN(CQ31+CQ32,MAX(CQ6,0)*'Executive Summary'!$O$5))</f>
        <v>#VALUE!</v>
      </c>
      <c r="CR34" s="688" t="e">
        <f aca="false">IF(CR31="","",MIN(CR31+CR32,MAX(CR6,0)*'Executive Summary'!$O$5))</f>
        <v>#VALUE!</v>
      </c>
      <c r="CS34" s="688" t="e">
        <f aca="false">IF(CS31="","",MIN(CS31+CS32,MAX(CS6,0)*'Executive Summary'!$O$5))</f>
        <v>#VALUE!</v>
      </c>
      <c r="CT34" s="688" t="e">
        <f aca="false">IF(CT31="","",MIN(CT31+CT32,MAX(CT6,0)*'Executive Summary'!$O$5))</f>
        <v>#VALUE!</v>
      </c>
      <c r="CU34" s="688" t="e">
        <f aca="false">IF(CU31="","",MIN(CU31+CU32,MAX(CU6,0)*'Executive Summary'!$O$5))</f>
        <v>#VALUE!</v>
      </c>
      <c r="CV34" s="688" t="e">
        <f aca="false">IF(CV31="","",MIN(CV31+CV32,MAX(CV6,0)*'Executive Summary'!$O$5))</f>
        <v>#VALUE!</v>
      </c>
      <c r="CW34" s="688" t="e">
        <f aca="false">IF(CW31="","",MIN(CW31+CW32,MAX(CW6,0)*'Executive Summary'!$O$5))</f>
        <v>#VALUE!</v>
      </c>
      <c r="CX34" s="688" t="e">
        <f aca="false">IF(CX31="","",MIN(CX31+CX32,MAX(CX6,0)*'Executive Summary'!$O$5))</f>
        <v>#VALUE!</v>
      </c>
      <c r="CY34" s="689" t="e">
        <f aca="false">IF(CY31="","",MIN(CY31+CY32,MAX(CY6,0)*'Executive Summary'!$O$5))</f>
        <v>#VALUE!</v>
      </c>
      <c r="CZ34" s="688" t="e">
        <f aca="false">IF(CZ31="","",MIN(CZ31+CZ32,MAX(CZ6,0)*'Executive Summary'!$O$5))</f>
        <v>#VALUE!</v>
      </c>
      <c r="DA34" s="688" t="e">
        <f aca="false">IF(DA31="","",MIN(DA31+DA32,MAX(DA6,0)*'Executive Summary'!$O$5))</f>
        <v>#VALUE!</v>
      </c>
      <c r="DB34" s="688" t="e">
        <f aca="false">IF(DB31="","",MIN(DB31+DB32,MAX(DB6,0)*'Executive Summary'!$O$5))</f>
        <v>#VALUE!</v>
      </c>
      <c r="DC34" s="688" t="e">
        <f aca="false">IF(DC31="","",MIN(DC31+DC32,MAX(DC6,0)*'Executive Summary'!$O$5))</f>
        <v>#VALUE!</v>
      </c>
      <c r="DD34" s="688" t="e">
        <f aca="false">IF(DD31="","",MIN(DD31+DD32,MAX(DD6,0)*'Executive Summary'!$O$5))</f>
        <v>#VALUE!</v>
      </c>
      <c r="DE34" s="688" t="e">
        <f aca="false">IF(DE31="","",MIN(DE31+DE32,MAX(DE6,0)*'Executive Summary'!$O$5))</f>
        <v>#VALUE!</v>
      </c>
      <c r="DF34" s="688" t="e">
        <f aca="false">IF(DF31="","",MIN(DF31+DF32,MAX(DF6,0)*'Executive Summary'!$O$5))</f>
        <v>#VALUE!</v>
      </c>
      <c r="DG34" s="688" t="e">
        <f aca="false">IF(DG31="","",MIN(DG31+DG32,MAX(DG6,0)*'Executive Summary'!$O$5))</f>
        <v>#VALUE!</v>
      </c>
      <c r="DH34" s="688" t="e">
        <f aca="false">IF(DH31="","",MIN(DH31+DH32,MAX(DH6,0)*'Executive Summary'!$O$5))</f>
        <v>#VALUE!</v>
      </c>
      <c r="DI34" s="688" t="e">
        <f aca="false">IF(DI31="","",MIN(DI31+DI32,MAX(DI6,0)*'Executive Summary'!$O$5))</f>
        <v>#VALUE!</v>
      </c>
      <c r="DJ34" s="688" t="e">
        <f aca="false">IF(DJ31="","",MIN(DJ31+DJ32,MAX(DJ6,0)*'Executive Summary'!$O$5))</f>
        <v>#VALUE!</v>
      </c>
      <c r="DK34" s="689" t="e">
        <f aca="false">IF(DK31="","",MIN(DK31+DK32,MAX(DK6,0)*'Executive Summary'!$O$5))</f>
        <v>#VALUE!</v>
      </c>
      <c r="DL34" s="688" t="e">
        <f aca="false">IF(DL31="","",MIN(DL31+DL32,MAX(DL6,0)*'Executive Summary'!$O$5))</f>
        <v>#VALUE!</v>
      </c>
      <c r="DM34" s="688" t="e">
        <f aca="false">IF(DM31="","",MIN(DM31+DM32,MAX(DM6,0)*'Executive Summary'!$O$5))</f>
        <v>#VALUE!</v>
      </c>
      <c r="DN34" s="688" t="e">
        <f aca="false">IF(DN31="","",MIN(DN31+DN32,MAX(DN6,0)*'Executive Summary'!$O$5))</f>
        <v>#VALUE!</v>
      </c>
      <c r="DO34" s="688" t="e">
        <f aca="false">IF(DO31="","",MIN(DO31+DO32,MAX(DO6,0)*'Executive Summary'!$O$5))</f>
        <v>#VALUE!</v>
      </c>
      <c r="DP34" s="688" t="e">
        <f aca="false">IF(DP31="","",MIN(DP31+DP32,MAX(DP6,0)*'Executive Summary'!$O$5))</f>
        <v>#VALUE!</v>
      </c>
      <c r="DQ34" s="688" t="e">
        <f aca="false">IF(DQ31="","",MIN(DQ31+DQ32,MAX(DQ6,0)*'Executive Summary'!$O$5))</f>
        <v>#VALUE!</v>
      </c>
      <c r="DR34" s="688" t="e">
        <f aca="false">IF(DR31="","",MIN(DR31+DR32,MAX(DR6,0)*'Executive Summary'!$O$5))</f>
        <v>#VALUE!</v>
      </c>
      <c r="DS34" s="688" t="e">
        <f aca="false">IF(DS31="","",MIN(DS31+DS32,MAX(DS6,0)*'Executive Summary'!$O$5))</f>
        <v>#VALUE!</v>
      </c>
      <c r="DT34" s="688" t="e">
        <f aca="false">IF(DT31="","",MIN(DT31+DT32,MAX(DT6,0)*'Executive Summary'!$O$5))</f>
        <v>#VALUE!</v>
      </c>
      <c r="DU34" s="688" t="e">
        <f aca="false">IF(DU31="","",MIN(DU31+DU32,MAX(DU6,0)*'Executive Summary'!$O$5))</f>
        <v>#VALUE!</v>
      </c>
      <c r="DV34" s="690" t="e">
        <f aca="false">IF(DV31="","",MIN(DV31+DV32,MAX(DV6,0)*'Executive Summary'!$O$5))</f>
        <v>#VALUE!</v>
      </c>
    </row>
    <row r="35" s="683" customFormat="true" ht="13.5" hidden="false" customHeight="true" outlineLevel="0" collapsed="false">
      <c r="A35" s="236"/>
      <c r="B35" s="69" t="s">
        <v>649</v>
      </c>
      <c r="C35" s="242"/>
      <c r="D35" s="242"/>
      <c r="E35" s="242"/>
      <c r="F35" s="688" t="e">
        <f aca="false">F31+F33-F34</f>
        <v>#VALUE!</v>
      </c>
      <c r="G35" s="689" t="e">
        <f aca="false">IF(G31="","",G31+G32+G33-G34)</f>
        <v>#VALUE!</v>
      </c>
      <c r="H35" s="688" t="e">
        <f aca="false">IF(H31="","",H31+H32+H33-H34)</f>
        <v>#VALUE!</v>
      </c>
      <c r="I35" s="688" t="e">
        <f aca="false">IF(I31="","",I31+I32+I33-I34)</f>
        <v>#VALUE!</v>
      </c>
      <c r="J35" s="688" t="e">
        <f aca="false">IF(J31="","",J31+J32+J33-J34)</f>
        <v>#VALUE!</v>
      </c>
      <c r="K35" s="688" t="e">
        <f aca="false">IF(K31="","",K31+K32+K33-K34)</f>
        <v>#VALUE!</v>
      </c>
      <c r="L35" s="688" t="e">
        <f aca="false">IF(L31="","",L31+L32+L33-L34)</f>
        <v>#VALUE!</v>
      </c>
      <c r="M35" s="688" t="e">
        <f aca="false">IF(M31="","",M31+M32+M33-M34)</f>
        <v>#VALUE!</v>
      </c>
      <c r="N35" s="688" t="e">
        <f aca="false">IF(N31="","",N31+N32+N33-N34)</f>
        <v>#VALUE!</v>
      </c>
      <c r="O35" s="688" t="e">
        <f aca="false">IF(O31="","",O31+O32+O33-O34)</f>
        <v>#VALUE!</v>
      </c>
      <c r="P35" s="688" t="e">
        <f aca="false">IF(P31="","",P31+P32+P33-P34)</f>
        <v>#VALUE!</v>
      </c>
      <c r="Q35" s="688" t="e">
        <f aca="false">IF(Q31="","",Q31+Q32+Q33-Q34)</f>
        <v>#VALUE!</v>
      </c>
      <c r="R35" s="688" t="e">
        <f aca="false">IF(R31="","",R31+R32+R33-R34)</f>
        <v>#VALUE!</v>
      </c>
      <c r="S35" s="689" t="e">
        <f aca="false">IF(S31="","",S31+S32+S33-S34)</f>
        <v>#VALUE!</v>
      </c>
      <c r="T35" s="688" t="e">
        <f aca="false">IF(T31="","",T31+T32+T33-T34)</f>
        <v>#VALUE!</v>
      </c>
      <c r="U35" s="688" t="e">
        <f aca="false">IF(U31="","",U31+U32+U33-U34)</f>
        <v>#VALUE!</v>
      </c>
      <c r="V35" s="688" t="e">
        <f aca="false">IF(V31="","",V31+V32+V33-V34)</f>
        <v>#VALUE!</v>
      </c>
      <c r="W35" s="688" t="e">
        <f aca="false">IF(W31="","",W31+W32+W33-W34)</f>
        <v>#VALUE!</v>
      </c>
      <c r="X35" s="688" t="e">
        <f aca="false">IF(X31="","",X31+X32+X33-X34)</f>
        <v>#VALUE!</v>
      </c>
      <c r="Y35" s="688" t="e">
        <f aca="false">IF(Y31="","",Y31+Y32+Y33-Y34)</f>
        <v>#VALUE!</v>
      </c>
      <c r="Z35" s="688" t="e">
        <f aca="false">IF(Z31="","",Z31+Z32+Z33-Z34)</f>
        <v>#VALUE!</v>
      </c>
      <c r="AA35" s="688" t="e">
        <f aca="false">IF(AA31="","",AA31+AA32+AA33-AA34)</f>
        <v>#VALUE!</v>
      </c>
      <c r="AB35" s="688" t="e">
        <f aca="false">IF(AB31="","",AB31+AB32+AB33-AB34)</f>
        <v>#VALUE!</v>
      </c>
      <c r="AC35" s="688" t="e">
        <f aca="false">IF(AC31="","",AC31+AC32+AC33-AC34)</f>
        <v>#VALUE!</v>
      </c>
      <c r="AD35" s="688" t="e">
        <f aca="false">IF(AD31="","",AD31+AD32+AD33-AD34)</f>
        <v>#VALUE!</v>
      </c>
      <c r="AE35" s="689" t="e">
        <f aca="false">IF(AE31="","",AE31+AE32+AE33-AE34)</f>
        <v>#VALUE!</v>
      </c>
      <c r="AF35" s="688" t="e">
        <f aca="false">IF(AF31="","",AF31+AF32+AF33-AF34)</f>
        <v>#VALUE!</v>
      </c>
      <c r="AG35" s="688" t="e">
        <f aca="false">IF(AG31="","",AG31+AG32+AG33-AG34)</f>
        <v>#VALUE!</v>
      </c>
      <c r="AH35" s="688" t="e">
        <f aca="false">IF(AH31="","",AH31+AH32+AH33-AH34)</f>
        <v>#VALUE!</v>
      </c>
      <c r="AI35" s="688" t="e">
        <f aca="false">IF(AI31="","",AI31+AI32+AI33-AI34)</f>
        <v>#VALUE!</v>
      </c>
      <c r="AJ35" s="688" t="e">
        <f aca="false">IF(AJ31="","",AJ31+AJ32+AJ33-AJ34)</f>
        <v>#VALUE!</v>
      </c>
      <c r="AK35" s="688" t="e">
        <f aca="false">IF(AK31="","",AK31+AK32+AK33-AK34)</f>
        <v>#VALUE!</v>
      </c>
      <c r="AL35" s="688" t="e">
        <f aca="false">IF(AL31="","",AL31+AL32+AL33-AL34)</f>
        <v>#VALUE!</v>
      </c>
      <c r="AM35" s="688" t="e">
        <f aca="false">IF(AM31="","",AM31+AM32+AM33-AM34)</f>
        <v>#VALUE!</v>
      </c>
      <c r="AN35" s="688" t="e">
        <f aca="false">IF(AN31="","",AN31+AN32+AN33-AN34)</f>
        <v>#VALUE!</v>
      </c>
      <c r="AO35" s="688" t="e">
        <f aca="false">IF(AO31="","",AO31+AO32+AO33-AO34)</f>
        <v>#VALUE!</v>
      </c>
      <c r="AP35" s="688" t="e">
        <f aca="false">IF(AP31="","",AP31+AP32+AP33-AP34)</f>
        <v>#VALUE!</v>
      </c>
      <c r="AQ35" s="689" t="e">
        <f aca="false">IF(AQ31="","",AQ31+AQ32+AQ33-AQ34)</f>
        <v>#VALUE!</v>
      </c>
      <c r="AR35" s="688" t="e">
        <f aca="false">IF(AR31="","",AR31+AR32+AR33-AR34)</f>
        <v>#VALUE!</v>
      </c>
      <c r="AS35" s="688" t="e">
        <f aca="false">IF(AS31="","",AS31+AS32+AS33-AS34)</f>
        <v>#VALUE!</v>
      </c>
      <c r="AT35" s="688" t="e">
        <f aca="false">IF(AT31="","",AT31+AT32+AT33-AT34)</f>
        <v>#VALUE!</v>
      </c>
      <c r="AU35" s="688" t="e">
        <f aca="false">IF(AU31="","",AU31+AU32+AU33-AU34)</f>
        <v>#VALUE!</v>
      </c>
      <c r="AV35" s="688" t="e">
        <f aca="false">IF(AV31="","",AV31+AV32+AV33-AV34)</f>
        <v>#VALUE!</v>
      </c>
      <c r="AW35" s="688" t="e">
        <f aca="false">IF(AW31="","",AW31+AW32+AW33-AW34)</f>
        <v>#VALUE!</v>
      </c>
      <c r="AX35" s="688" t="e">
        <f aca="false">IF(AX31="","",AX31+AX32+AX33-AX34)</f>
        <v>#VALUE!</v>
      </c>
      <c r="AY35" s="688" t="e">
        <f aca="false">IF(AY31="","",AY31+AY32+AY33-AY34)</f>
        <v>#VALUE!</v>
      </c>
      <c r="AZ35" s="688" t="e">
        <f aca="false">IF(AZ31="","",AZ31+AZ32+AZ33-AZ34)</f>
        <v>#VALUE!</v>
      </c>
      <c r="BA35" s="688" t="e">
        <f aca="false">IF(BA31="","",BA31+BA32+BA33-BA34)</f>
        <v>#VALUE!</v>
      </c>
      <c r="BB35" s="688" t="e">
        <f aca="false">IF(BB31="","",BB31+BB32+BB33-BB34)</f>
        <v>#VALUE!</v>
      </c>
      <c r="BC35" s="689" t="e">
        <f aca="false">IF(BC31="","",BC31+BC32+BC33-BC34)</f>
        <v>#VALUE!</v>
      </c>
      <c r="BD35" s="688" t="e">
        <f aca="false">IF(BD31="","",BD31+BD32+BD33-BD34)</f>
        <v>#VALUE!</v>
      </c>
      <c r="BE35" s="688" t="e">
        <f aca="false">IF(BE31="","",BE31+BE32+BE33-BE34)</f>
        <v>#VALUE!</v>
      </c>
      <c r="BF35" s="688" t="e">
        <f aca="false">IF(BF31="","",BF31+BF32+BF33-BF34)</f>
        <v>#VALUE!</v>
      </c>
      <c r="BG35" s="688" t="e">
        <f aca="false">IF(BG31="","",BG31+BG32+BG33-BG34)</f>
        <v>#VALUE!</v>
      </c>
      <c r="BH35" s="688" t="e">
        <f aca="false">IF(BH31="","",BH31+BH32+BH33-BH34)</f>
        <v>#VALUE!</v>
      </c>
      <c r="BI35" s="688" t="e">
        <f aca="false">IF(BI31="","",BI31+BI32+BI33-BI34)</f>
        <v>#VALUE!</v>
      </c>
      <c r="BJ35" s="688" t="e">
        <f aca="false">IF(BJ31="","",BJ31+BJ32+BJ33-BJ34)</f>
        <v>#VALUE!</v>
      </c>
      <c r="BK35" s="688" t="e">
        <f aca="false">IF(BK31="","",BK31+BK32+BK33-BK34)</f>
        <v>#VALUE!</v>
      </c>
      <c r="BL35" s="688" t="e">
        <f aca="false">IF(BL31="","",BL31+BL32+BL33-BL34)</f>
        <v>#VALUE!</v>
      </c>
      <c r="BM35" s="688" t="e">
        <f aca="false">IF(BM31="","",BM31+BM32+BM33-BM34)</f>
        <v>#VALUE!</v>
      </c>
      <c r="BN35" s="688" t="e">
        <f aca="false">IF(BN31="","",BN31+BN32+BN33-BN34)</f>
        <v>#VALUE!</v>
      </c>
      <c r="BO35" s="689" t="e">
        <f aca="false">IF(BO31="","",BO31+BO32+BO33-BO34)</f>
        <v>#VALUE!</v>
      </c>
      <c r="BP35" s="688" t="e">
        <f aca="false">IF(BP31="","",BP31+BP32+BP33-BP34)</f>
        <v>#VALUE!</v>
      </c>
      <c r="BQ35" s="688" t="e">
        <f aca="false">IF(BQ31="","",BQ31+BQ32+BQ33-BQ34)</f>
        <v>#VALUE!</v>
      </c>
      <c r="BR35" s="688" t="e">
        <f aca="false">IF(BR31="","",BR31+BR32+BR33-BR34)</f>
        <v>#VALUE!</v>
      </c>
      <c r="BS35" s="688" t="e">
        <f aca="false">IF(BS31="","",BS31+BS32+BS33-BS34)</f>
        <v>#VALUE!</v>
      </c>
      <c r="BT35" s="688" t="e">
        <f aca="false">IF(BT31="","",BT31+BT32+BT33-BT34)</f>
        <v>#VALUE!</v>
      </c>
      <c r="BU35" s="688" t="e">
        <f aca="false">IF(BU31="","",BU31+BU32+BU33-BU34)</f>
        <v>#VALUE!</v>
      </c>
      <c r="BV35" s="688" t="e">
        <f aca="false">IF(BV31="","",BV31+BV32+BV33-BV34)</f>
        <v>#VALUE!</v>
      </c>
      <c r="BW35" s="688" t="e">
        <f aca="false">IF(BW31="","",BW31+BW32+BW33-BW34)</f>
        <v>#VALUE!</v>
      </c>
      <c r="BX35" s="688" t="e">
        <f aca="false">IF(BX31="","",BX31+BX32+BX33-BX34)</f>
        <v>#VALUE!</v>
      </c>
      <c r="BY35" s="688" t="e">
        <f aca="false">IF(BY31="","",BY31+BY32+BY33-BY34)</f>
        <v>#VALUE!</v>
      </c>
      <c r="BZ35" s="688" t="e">
        <f aca="false">IF(BZ31="","",BZ31+BZ32+BZ33-BZ34)</f>
        <v>#VALUE!</v>
      </c>
      <c r="CA35" s="689" t="e">
        <f aca="false">IF(CA31="","",CA31+CA32+CA33-CA34)</f>
        <v>#VALUE!</v>
      </c>
      <c r="CB35" s="688" t="e">
        <f aca="false">IF(CB31="","",CB31+CB32+CB33-CB34)</f>
        <v>#VALUE!</v>
      </c>
      <c r="CC35" s="688" t="e">
        <f aca="false">IF(CC31="","",CC31+CC32+CC33-CC34)</f>
        <v>#VALUE!</v>
      </c>
      <c r="CD35" s="688" t="e">
        <f aca="false">IF(CD31="","",CD31+CD32+CD33-CD34)</f>
        <v>#VALUE!</v>
      </c>
      <c r="CE35" s="688" t="e">
        <f aca="false">IF(CE31="","",CE31+CE32+CE33-CE34)</f>
        <v>#VALUE!</v>
      </c>
      <c r="CF35" s="688" t="e">
        <f aca="false">IF(CF31="","",CF31+CF32+CF33-CF34)</f>
        <v>#VALUE!</v>
      </c>
      <c r="CG35" s="688" t="e">
        <f aca="false">IF(CG31="","",CG31+CG32+CG33-CG34)</f>
        <v>#VALUE!</v>
      </c>
      <c r="CH35" s="688" t="e">
        <f aca="false">IF(CH31="","",CH31+CH32+CH33-CH34)</f>
        <v>#VALUE!</v>
      </c>
      <c r="CI35" s="688" t="e">
        <f aca="false">IF(CI31="","",CI31+CI32+CI33-CI34)</f>
        <v>#VALUE!</v>
      </c>
      <c r="CJ35" s="688" t="e">
        <f aca="false">IF(CJ31="","",CJ31+CJ32+CJ33-CJ34)</f>
        <v>#VALUE!</v>
      </c>
      <c r="CK35" s="688" t="e">
        <f aca="false">IF(CK31="","",CK31+CK32+CK33-CK34)</f>
        <v>#VALUE!</v>
      </c>
      <c r="CL35" s="688" t="e">
        <f aca="false">IF(CL31="","",CL31+CL32+CL33-CL34)</f>
        <v>#VALUE!</v>
      </c>
      <c r="CM35" s="689" t="e">
        <f aca="false">IF(CM31="","",CM31+CM32+CM33-CM34)</f>
        <v>#VALUE!</v>
      </c>
      <c r="CN35" s="688" t="e">
        <f aca="false">IF(CN31="","",CN31+CN32+CN33-CN34)</f>
        <v>#VALUE!</v>
      </c>
      <c r="CO35" s="688" t="e">
        <f aca="false">IF(CO31="","",CO31+CO32+CO33-CO34)</f>
        <v>#VALUE!</v>
      </c>
      <c r="CP35" s="688" t="e">
        <f aca="false">IF(CP31="","",CP31+CP32+CP33-CP34)</f>
        <v>#VALUE!</v>
      </c>
      <c r="CQ35" s="688" t="e">
        <f aca="false">IF(CQ31="","",CQ31+CQ32+CQ33-CQ34)</f>
        <v>#VALUE!</v>
      </c>
      <c r="CR35" s="688" t="e">
        <f aca="false">IF(CR31="","",CR31+CR32+CR33-CR34)</f>
        <v>#VALUE!</v>
      </c>
      <c r="CS35" s="688" t="e">
        <f aca="false">IF(CS31="","",CS31+CS32+CS33-CS34)</f>
        <v>#VALUE!</v>
      </c>
      <c r="CT35" s="688" t="e">
        <f aca="false">IF(CT31="","",CT31+CT32+CT33-CT34)</f>
        <v>#VALUE!</v>
      </c>
      <c r="CU35" s="688" t="e">
        <f aca="false">IF(CU31="","",CU31+CU32+CU33-CU34)</f>
        <v>#VALUE!</v>
      </c>
      <c r="CV35" s="688" t="e">
        <f aca="false">IF(CV31="","",CV31+CV32+CV33-CV34)</f>
        <v>#VALUE!</v>
      </c>
      <c r="CW35" s="688" t="e">
        <f aca="false">IF(CW31="","",CW31+CW32+CW33-CW34)</f>
        <v>#VALUE!</v>
      </c>
      <c r="CX35" s="688" t="e">
        <f aca="false">IF(CX31="","",CX31+CX32+CX33-CX34)</f>
        <v>#VALUE!</v>
      </c>
      <c r="CY35" s="689" t="e">
        <f aca="false">IF(CY31="","",CY31+CY32+CY33-CY34)</f>
        <v>#VALUE!</v>
      </c>
      <c r="CZ35" s="688" t="e">
        <f aca="false">IF(CZ31="","",CZ31+CZ32+CZ33-CZ34)</f>
        <v>#VALUE!</v>
      </c>
      <c r="DA35" s="688" t="e">
        <f aca="false">IF(DA31="","",DA31+DA32+DA33-DA34)</f>
        <v>#VALUE!</v>
      </c>
      <c r="DB35" s="688" t="e">
        <f aca="false">IF(DB31="","",DB31+DB32+DB33-DB34)</f>
        <v>#VALUE!</v>
      </c>
      <c r="DC35" s="688" t="e">
        <f aca="false">IF(DC31="","",DC31+DC32+DC33-DC34)</f>
        <v>#VALUE!</v>
      </c>
      <c r="DD35" s="688" t="e">
        <f aca="false">IF(DD31="","",DD31+DD32+DD33-DD34)</f>
        <v>#VALUE!</v>
      </c>
      <c r="DE35" s="688" t="e">
        <f aca="false">IF(DE31="","",DE31+DE32+DE33-DE34)</f>
        <v>#VALUE!</v>
      </c>
      <c r="DF35" s="688" t="e">
        <f aca="false">IF(DF31="","",DF31+DF32+DF33-DF34)</f>
        <v>#VALUE!</v>
      </c>
      <c r="DG35" s="688" t="e">
        <f aca="false">IF(DG31="","",DG31+DG32+DG33-DG34)</f>
        <v>#VALUE!</v>
      </c>
      <c r="DH35" s="688" t="e">
        <f aca="false">IF(DH31="","",DH31+DH32+DH33-DH34)</f>
        <v>#VALUE!</v>
      </c>
      <c r="DI35" s="688" t="e">
        <f aca="false">IF(DI31="","",DI31+DI32+DI33-DI34)</f>
        <v>#VALUE!</v>
      </c>
      <c r="DJ35" s="688" t="e">
        <f aca="false">IF(DJ31="","",DJ31+DJ32+DJ33-DJ34)</f>
        <v>#VALUE!</v>
      </c>
      <c r="DK35" s="689" t="e">
        <f aca="false">IF(DK31="","",DK31+DK32+DK33-DK34)</f>
        <v>#VALUE!</v>
      </c>
      <c r="DL35" s="688" t="e">
        <f aca="false">IF(DL31="","",DL31+DL32+DL33-DL34)</f>
        <v>#VALUE!</v>
      </c>
      <c r="DM35" s="688" t="e">
        <f aca="false">IF(DM31="","",DM31+DM32+DM33-DM34)</f>
        <v>#VALUE!</v>
      </c>
      <c r="DN35" s="688" t="e">
        <f aca="false">IF(DN31="","",DN31+DN32+DN33-DN34)</f>
        <v>#VALUE!</v>
      </c>
      <c r="DO35" s="688" t="e">
        <f aca="false">IF(DO31="","",DO31+DO32+DO33-DO34)</f>
        <v>#VALUE!</v>
      </c>
      <c r="DP35" s="688" t="e">
        <f aca="false">IF(DP31="","",DP31+DP32+DP33-DP34)</f>
        <v>#VALUE!</v>
      </c>
      <c r="DQ35" s="688" t="e">
        <f aca="false">IF(DQ31="","",DQ31+DQ32+DQ33-DQ34)</f>
        <v>#VALUE!</v>
      </c>
      <c r="DR35" s="688" t="e">
        <f aca="false">IF(DR31="","",DR31+DR32+DR33-DR34)</f>
        <v>#VALUE!</v>
      </c>
      <c r="DS35" s="688" t="e">
        <f aca="false">IF(DS31="","",DS31+DS32+DS33-DS34)</f>
        <v>#VALUE!</v>
      </c>
      <c r="DT35" s="688" t="e">
        <f aca="false">IF(DT31="","",DT31+DT32+DT33-DT34)</f>
        <v>#VALUE!</v>
      </c>
      <c r="DU35" s="688" t="e">
        <f aca="false">IF(DU31="","",DU31+DU32+DU33-DU34)</f>
        <v>#VALUE!</v>
      </c>
      <c r="DV35" s="690" t="e">
        <f aca="false">IF(DV31="","",DV31+DV32+DV33-DV34)</f>
        <v>#VALUE!</v>
      </c>
    </row>
    <row r="36" s="715" customFormat="true" ht="13.5" hidden="true" customHeight="true" outlineLevel="1" collapsed="false">
      <c r="A36" s="659"/>
      <c r="B36" s="713" t="n">
        <f aca="false">C30</f>
        <v>0.08</v>
      </c>
      <c r="C36" s="659"/>
      <c r="D36" s="659"/>
      <c r="E36" s="714" t="e">
        <f aca="false">(IRR(F36:DV36,0.1/12)+1)^12-1</f>
        <v>#VALUE!</v>
      </c>
      <c r="F36" s="715" t="str">
        <f aca="false">IF(F31="","",-F33+F34)</f>
        <v/>
      </c>
      <c r="G36" s="716" t="e">
        <f aca="false">IF(G31="","",-G33+G34)</f>
        <v>#VALUE!</v>
      </c>
      <c r="H36" s="715" t="e">
        <f aca="false">IF(H31="","",-H33+H34)</f>
        <v>#VALUE!</v>
      </c>
      <c r="I36" s="715" t="e">
        <f aca="false">IF(I31="","",-I33+I34)</f>
        <v>#VALUE!</v>
      </c>
      <c r="J36" s="715" t="e">
        <f aca="false">IF(J31="","",-J33+J34)</f>
        <v>#VALUE!</v>
      </c>
      <c r="K36" s="715" t="e">
        <f aca="false">IF(K31="","",-K33+K34)</f>
        <v>#VALUE!</v>
      </c>
      <c r="L36" s="715" t="e">
        <f aca="false">IF(L31="","",-L33+L34)</f>
        <v>#VALUE!</v>
      </c>
      <c r="M36" s="715" t="e">
        <f aca="false">IF(M31="","",-M33+M34)</f>
        <v>#VALUE!</v>
      </c>
      <c r="N36" s="715" t="e">
        <f aca="false">IF(N31="","",-N33+N34)</f>
        <v>#VALUE!</v>
      </c>
      <c r="O36" s="715" t="e">
        <f aca="false">IF(O31="","",-O33+O34)</f>
        <v>#VALUE!</v>
      </c>
      <c r="P36" s="715" t="e">
        <f aca="false">IF(P31="","",-P33+P34)</f>
        <v>#VALUE!</v>
      </c>
      <c r="Q36" s="715" t="e">
        <f aca="false">IF(Q31="","",-Q33+Q34)</f>
        <v>#VALUE!</v>
      </c>
      <c r="R36" s="715" t="e">
        <f aca="false">IF(R31="","",-R33+R34)</f>
        <v>#VALUE!</v>
      </c>
      <c r="S36" s="716" t="e">
        <f aca="false">IF(S31="","",-S33+S34)</f>
        <v>#VALUE!</v>
      </c>
      <c r="T36" s="715" t="e">
        <f aca="false">IF(T31="","",-T33+T34)</f>
        <v>#VALUE!</v>
      </c>
      <c r="U36" s="715" t="e">
        <f aca="false">IF(U31="","",-U33+U34)</f>
        <v>#VALUE!</v>
      </c>
      <c r="V36" s="715" t="e">
        <f aca="false">IF(V31="","",-V33+V34)</f>
        <v>#VALUE!</v>
      </c>
      <c r="W36" s="715" t="e">
        <f aca="false">IF(W31="","",-W33+W34)</f>
        <v>#VALUE!</v>
      </c>
      <c r="X36" s="715" t="e">
        <f aca="false">IF(X31="","",-X33+X34)</f>
        <v>#VALUE!</v>
      </c>
      <c r="Y36" s="715" t="e">
        <f aca="false">IF(Y31="","",-Y33+Y34)</f>
        <v>#VALUE!</v>
      </c>
      <c r="Z36" s="715" t="e">
        <f aca="false">IF(Z31="","",-Z33+Z34)</f>
        <v>#VALUE!</v>
      </c>
      <c r="AA36" s="715" t="e">
        <f aca="false">IF(AA31="","",-AA33+AA34)</f>
        <v>#VALUE!</v>
      </c>
      <c r="AB36" s="715" t="e">
        <f aca="false">IF(AB31="","",-AB33+AB34)</f>
        <v>#VALUE!</v>
      </c>
      <c r="AC36" s="715" t="e">
        <f aca="false">IF(AC31="","",-AC33+AC34)</f>
        <v>#VALUE!</v>
      </c>
      <c r="AD36" s="715" t="e">
        <f aca="false">IF(AD31="","",-AD33+AD34)</f>
        <v>#VALUE!</v>
      </c>
      <c r="AE36" s="716" t="e">
        <f aca="false">IF(AE31="","",-AE33+AE34)</f>
        <v>#VALUE!</v>
      </c>
      <c r="AF36" s="715" t="e">
        <f aca="false">IF(AF31="","",-AF33+AF34)</f>
        <v>#VALUE!</v>
      </c>
      <c r="AG36" s="715" t="e">
        <f aca="false">IF(AG31="","",-AG33+AG34)</f>
        <v>#VALUE!</v>
      </c>
      <c r="AH36" s="715" t="e">
        <f aca="false">IF(AH31="","",-AH33+AH34)</f>
        <v>#VALUE!</v>
      </c>
      <c r="AI36" s="715" t="e">
        <f aca="false">IF(AI31="","",-AI33+AI34)</f>
        <v>#VALUE!</v>
      </c>
      <c r="AJ36" s="715" t="e">
        <f aca="false">IF(AJ31="","",-AJ33+AJ34)</f>
        <v>#VALUE!</v>
      </c>
      <c r="AK36" s="715" t="e">
        <f aca="false">IF(AK31="","",-AK33+AK34)</f>
        <v>#VALUE!</v>
      </c>
      <c r="AL36" s="715" t="e">
        <f aca="false">IF(AL31="","",-AL33+AL34)</f>
        <v>#VALUE!</v>
      </c>
      <c r="AM36" s="715" t="e">
        <f aca="false">IF(AM31="","",-AM33+AM34)</f>
        <v>#VALUE!</v>
      </c>
      <c r="AN36" s="715" t="e">
        <f aca="false">IF(AN31="","",-AN33+AN34)</f>
        <v>#VALUE!</v>
      </c>
      <c r="AO36" s="715" t="e">
        <f aca="false">IF(AO31="","",-AO33+AO34)</f>
        <v>#VALUE!</v>
      </c>
      <c r="AP36" s="715" t="e">
        <f aca="false">IF(AP31="","",-AP33+AP34)</f>
        <v>#VALUE!</v>
      </c>
      <c r="AQ36" s="716" t="e">
        <f aca="false">IF(AQ31="","",-AQ33+AQ34)</f>
        <v>#VALUE!</v>
      </c>
      <c r="AR36" s="715" t="e">
        <f aca="false">IF(AR31="","",-AR33+AR34)</f>
        <v>#VALUE!</v>
      </c>
      <c r="AS36" s="715" t="e">
        <f aca="false">IF(AS31="","",-AS33+AS34)</f>
        <v>#VALUE!</v>
      </c>
      <c r="AT36" s="715" t="e">
        <f aca="false">IF(AT31="","",-AT33+AT34)</f>
        <v>#VALUE!</v>
      </c>
      <c r="AU36" s="715" t="e">
        <f aca="false">IF(AU31="","",-AU33+AU34)</f>
        <v>#VALUE!</v>
      </c>
      <c r="AV36" s="715" t="e">
        <f aca="false">IF(AV31="","",-AV33+AV34)</f>
        <v>#VALUE!</v>
      </c>
      <c r="AW36" s="715" t="e">
        <f aca="false">IF(AW31="","",-AW33+AW34)</f>
        <v>#VALUE!</v>
      </c>
      <c r="AX36" s="715" t="e">
        <f aca="false">IF(AX31="","",-AX33+AX34)</f>
        <v>#VALUE!</v>
      </c>
      <c r="AY36" s="715" t="e">
        <f aca="false">IF(AY31="","",-AY33+AY34)</f>
        <v>#VALUE!</v>
      </c>
      <c r="AZ36" s="715" t="e">
        <f aca="false">IF(AZ31="","",-AZ33+AZ34)</f>
        <v>#VALUE!</v>
      </c>
      <c r="BA36" s="715" t="e">
        <f aca="false">IF(BA31="","",-BA33+BA34)</f>
        <v>#VALUE!</v>
      </c>
      <c r="BB36" s="715" t="e">
        <f aca="false">IF(BB31="","",-BB33+BB34)</f>
        <v>#VALUE!</v>
      </c>
      <c r="BC36" s="716" t="e">
        <f aca="false">IF(BC31="","",-BC33+BC34)</f>
        <v>#VALUE!</v>
      </c>
      <c r="BD36" s="715" t="e">
        <f aca="false">IF(BD31="","",-BD33+BD34)</f>
        <v>#VALUE!</v>
      </c>
      <c r="BE36" s="715" t="e">
        <f aca="false">IF(BE31="","",-BE33+BE34)</f>
        <v>#VALUE!</v>
      </c>
      <c r="BF36" s="715" t="e">
        <f aca="false">IF(BF31="","",-BF33+BF34)</f>
        <v>#VALUE!</v>
      </c>
      <c r="BG36" s="715" t="e">
        <f aca="false">IF(BG31="","",-BG33+BG34)</f>
        <v>#VALUE!</v>
      </c>
      <c r="BH36" s="715" t="e">
        <f aca="false">IF(BH31="","",-BH33+BH34)</f>
        <v>#VALUE!</v>
      </c>
      <c r="BI36" s="715" t="e">
        <f aca="false">IF(BI31="","",-BI33+BI34)</f>
        <v>#VALUE!</v>
      </c>
      <c r="BJ36" s="715" t="e">
        <f aca="false">IF(BJ31="","",-BJ33+BJ34)</f>
        <v>#VALUE!</v>
      </c>
      <c r="BK36" s="715" t="e">
        <f aca="false">IF(BK31="","",-BK33+BK34)</f>
        <v>#VALUE!</v>
      </c>
      <c r="BL36" s="715" t="e">
        <f aca="false">IF(BL31="","",-BL33+BL34)</f>
        <v>#VALUE!</v>
      </c>
      <c r="BM36" s="715" t="e">
        <f aca="false">IF(BM31="","",-BM33+BM34)</f>
        <v>#VALUE!</v>
      </c>
      <c r="BN36" s="715" t="e">
        <f aca="false">IF(BN31="","",-BN33+BN34)</f>
        <v>#VALUE!</v>
      </c>
      <c r="BO36" s="716" t="e">
        <f aca="false">IF(BO31="","",-BO33+BO34)</f>
        <v>#VALUE!</v>
      </c>
      <c r="BP36" s="715" t="e">
        <f aca="false">IF(BP31="","",-BP33+BP34)</f>
        <v>#VALUE!</v>
      </c>
      <c r="BQ36" s="715" t="e">
        <f aca="false">IF(BQ31="","",-BQ33+BQ34)</f>
        <v>#VALUE!</v>
      </c>
      <c r="BR36" s="715" t="e">
        <f aca="false">IF(BR31="","",-BR33+BR34)</f>
        <v>#VALUE!</v>
      </c>
      <c r="BS36" s="715" t="e">
        <f aca="false">IF(BS31="","",-BS33+BS34)</f>
        <v>#VALUE!</v>
      </c>
      <c r="BT36" s="715" t="e">
        <f aca="false">IF(BT31="","",-BT33+BT34)</f>
        <v>#VALUE!</v>
      </c>
      <c r="BU36" s="715" t="e">
        <f aca="false">IF(BU31="","",-BU33+BU34)</f>
        <v>#VALUE!</v>
      </c>
      <c r="BV36" s="715" t="e">
        <f aca="false">IF(BV31="","",-BV33+BV34)</f>
        <v>#VALUE!</v>
      </c>
      <c r="BW36" s="715" t="e">
        <f aca="false">IF(BW31="","",-BW33+BW34)</f>
        <v>#VALUE!</v>
      </c>
      <c r="BX36" s="715" t="e">
        <f aca="false">IF(BX31="","",-BX33+BX34)</f>
        <v>#VALUE!</v>
      </c>
      <c r="BY36" s="715" t="e">
        <f aca="false">IF(BY31="","",-BY33+BY34)</f>
        <v>#VALUE!</v>
      </c>
      <c r="BZ36" s="715" t="e">
        <f aca="false">IF(BZ31="","",-BZ33+BZ34)</f>
        <v>#VALUE!</v>
      </c>
      <c r="CA36" s="716" t="e">
        <f aca="false">IF(CA31="","",-CA33+CA34)</f>
        <v>#VALUE!</v>
      </c>
      <c r="CB36" s="715" t="e">
        <f aca="false">IF(CB31="","",-CB33+CB34)</f>
        <v>#VALUE!</v>
      </c>
      <c r="CC36" s="715" t="e">
        <f aca="false">IF(CC31="","",-CC33+CC34)</f>
        <v>#VALUE!</v>
      </c>
      <c r="CD36" s="715" t="e">
        <f aca="false">IF(CD31="","",-CD33+CD34)</f>
        <v>#VALUE!</v>
      </c>
      <c r="CE36" s="715" t="e">
        <f aca="false">IF(CE31="","",-CE33+CE34)</f>
        <v>#VALUE!</v>
      </c>
      <c r="CF36" s="715" t="e">
        <f aca="false">IF(CF31="","",-CF33+CF34)</f>
        <v>#VALUE!</v>
      </c>
      <c r="CG36" s="715" t="e">
        <f aca="false">IF(CG31="","",-CG33+CG34)</f>
        <v>#VALUE!</v>
      </c>
      <c r="CH36" s="715" t="e">
        <f aca="false">IF(CH31="","",-CH33+CH34)</f>
        <v>#VALUE!</v>
      </c>
      <c r="CI36" s="715" t="e">
        <f aca="false">IF(CI31="","",-CI33+CI34)</f>
        <v>#VALUE!</v>
      </c>
      <c r="CJ36" s="715" t="e">
        <f aca="false">IF(CJ31="","",-CJ33+CJ34)</f>
        <v>#VALUE!</v>
      </c>
      <c r="CK36" s="715" t="e">
        <f aca="false">IF(CK31="","",-CK33+CK34)</f>
        <v>#VALUE!</v>
      </c>
      <c r="CL36" s="715" t="e">
        <f aca="false">IF(CL31="","",-CL33+CL34)</f>
        <v>#VALUE!</v>
      </c>
      <c r="CM36" s="716" t="e">
        <f aca="false">IF(CM31="","",-CM33+CM34)</f>
        <v>#VALUE!</v>
      </c>
      <c r="CN36" s="715" t="e">
        <f aca="false">IF(CN31="","",-CN33+CN34)</f>
        <v>#VALUE!</v>
      </c>
      <c r="CO36" s="715" t="e">
        <f aca="false">IF(CO31="","",-CO33+CO34)</f>
        <v>#VALUE!</v>
      </c>
      <c r="CP36" s="715" t="e">
        <f aca="false">IF(CP31="","",-CP33+CP34)</f>
        <v>#VALUE!</v>
      </c>
      <c r="CQ36" s="715" t="e">
        <f aca="false">IF(CQ31="","",-CQ33+CQ34)</f>
        <v>#VALUE!</v>
      </c>
      <c r="CR36" s="715" t="e">
        <f aca="false">IF(CR31="","",-CR33+CR34)</f>
        <v>#VALUE!</v>
      </c>
      <c r="CS36" s="715" t="e">
        <f aca="false">IF(CS31="","",-CS33+CS34)</f>
        <v>#VALUE!</v>
      </c>
      <c r="CT36" s="715" t="e">
        <f aca="false">IF(CT31="","",-CT33+CT34)</f>
        <v>#VALUE!</v>
      </c>
      <c r="CU36" s="715" t="e">
        <f aca="false">IF(CU31="","",-CU33+CU34)</f>
        <v>#VALUE!</v>
      </c>
      <c r="CV36" s="715" t="e">
        <f aca="false">IF(CV31="","",-CV33+CV34)</f>
        <v>#VALUE!</v>
      </c>
      <c r="CW36" s="715" t="e">
        <f aca="false">IF(CW31="","",-CW33+CW34)</f>
        <v>#VALUE!</v>
      </c>
      <c r="CX36" s="715" t="e">
        <f aca="false">IF(CX31="","",-CX33+CX34)</f>
        <v>#VALUE!</v>
      </c>
      <c r="CY36" s="716" t="e">
        <f aca="false">IF(CY31="","",-CY33+CY34)</f>
        <v>#VALUE!</v>
      </c>
      <c r="CZ36" s="715" t="e">
        <f aca="false">IF(CZ31="","",-CZ33+CZ34)</f>
        <v>#VALUE!</v>
      </c>
      <c r="DA36" s="715" t="e">
        <f aca="false">IF(DA31="","",-DA33+DA34)</f>
        <v>#VALUE!</v>
      </c>
      <c r="DB36" s="715" t="e">
        <f aca="false">IF(DB31="","",-DB33+DB34)</f>
        <v>#VALUE!</v>
      </c>
      <c r="DC36" s="715" t="e">
        <f aca="false">IF(DC31="","",-DC33+DC34)</f>
        <v>#VALUE!</v>
      </c>
      <c r="DD36" s="715" t="e">
        <f aca="false">IF(DD31="","",-DD33+DD34)</f>
        <v>#VALUE!</v>
      </c>
      <c r="DE36" s="715" t="e">
        <f aca="false">IF(DE31="","",-DE33+DE34)</f>
        <v>#VALUE!</v>
      </c>
      <c r="DF36" s="715" t="e">
        <f aca="false">IF(DF31="","",-DF33+DF34)</f>
        <v>#VALUE!</v>
      </c>
      <c r="DG36" s="715" t="e">
        <f aca="false">IF(DG31="","",-DG33+DG34)</f>
        <v>#VALUE!</v>
      </c>
      <c r="DH36" s="715" t="e">
        <f aca="false">IF(DH31="","",-DH33+DH34)</f>
        <v>#VALUE!</v>
      </c>
      <c r="DI36" s="715" t="e">
        <f aca="false">IF(DI31="","",-DI33+DI34)</f>
        <v>#VALUE!</v>
      </c>
      <c r="DJ36" s="715" t="e">
        <f aca="false">IF(DJ31="","",-DJ33+DJ34)</f>
        <v>#VALUE!</v>
      </c>
      <c r="DK36" s="716" t="e">
        <f aca="false">IF(DK31="","",-DK33+DK34)</f>
        <v>#VALUE!</v>
      </c>
      <c r="DL36" s="715" t="e">
        <f aca="false">IF(DL31="","",-DL33+DL34)</f>
        <v>#VALUE!</v>
      </c>
      <c r="DM36" s="715" t="e">
        <f aca="false">IF(DM31="","",-DM33+DM34)</f>
        <v>#VALUE!</v>
      </c>
      <c r="DN36" s="715" t="e">
        <f aca="false">IF(DN31="","",-DN33+DN34)</f>
        <v>#VALUE!</v>
      </c>
      <c r="DO36" s="715" t="e">
        <f aca="false">IF(DO31="","",-DO33+DO34)</f>
        <v>#VALUE!</v>
      </c>
      <c r="DP36" s="715" t="e">
        <f aca="false">IF(DP31="","",-DP33+DP34)</f>
        <v>#VALUE!</v>
      </c>
      <c r="DQ36" s="715" t="e">
        <f aca="false">IF(DQ31="","",-DQ33+DQ34)</f>
        <v>#VALUE!</v>
      </c>
      <c r="DR36" s="715" t="e">
        <f aca="false">IF(DR31="","",-DR33+DR34)</f>
        <v>#VALUE!</v>
      </c>
      <c r="DS36" s="715" t="e">
        <f aca="false">IF(DS31="","",-DS33+DS34)</f>
        <v>#VALUE!</v>
      </c>
      <c r="DT36" s="715" t="e">
        <f aca="false">IF(DT31="","",-DT33+DT34)</f>
        <v>#VALUE!</v>
      </c>
      <c r="DU36" s="715" t="e">
        <f aca="false">IF(DU31="","",-DU33+DU34)</f>
        <v>#VALUE!</v>
      </c>
      <c r="DV36" s="717" t="e">
        <f aca="false">IF(DV31="","",-DV33+DV34)</f>
        <v>#VALUE!</v>
      </c>
    </row>
    <row r="37" s="683" customFormat="true" ht="13.5" hidden="false" customHeight="true" outlineLevel="0" collapsed="false">
      <c r="A37" s="236"/>
      <c r="B37" s="69" t="s">
        <v>650</v>
      </c>
      <c r="C37" s="242"/>
      <c r="D37" s="242"/>
      <c r="E37" s="242"/>
      <c r="F37" s="688" t="n">
        <f aca="false">F34</f>
        <v>-2083229.222</v>
      </c>
      <c r="G37" s="689" t="e">
        <f aca="false">G34</f>
        <v>#VALUE!</v>
      </c>
      <c r="H37" s="688" t="e">
        <f aca="false">H34</f>
        <v>#VALUE!</v>
      </c>
      <c r="I37" s="688" t="e">
        <f aca="false">I34</f>
        <v>#VALUE!</v>
      </c>
      <c r="J37" s="688" t="e">
        <f aca="false">J34</f>
        <v>#VALUE!</v>
      </c>
      <c r="K37" s="688" t="e">
        <f aca="false">K34</f>
        <v>#VALUE!</v>
      </c>
      <c r="L37" s="688" t="e">
        <f aca="false">L34</f>
        <v>#VALUE!</v>
      </c>
      <c r="M37" s="688" t="e">
        <f aca="false">M34</f>
        <v>#VALUE!</v>
      </c>
      <c r="N37" s="688" t="e">
        <f aca="false">N34</f>
        <v>#VALUE!</v>
      </c>
      <c r="O37" s="688" t="e">
        <f aca="false">O34</f>
        <v>#VALUE!</v>
      </c>
      <c r="P37" s="688" t="e">
        <f aca="false">P34</f>
        <v>#VALUE!</v>
      </c>
      <c r="Q37" s="688" t="e">
        <f aca="false">Q34</f>
        <v>#VALUE!</v>
      </c>
      <c r="R37" s="688" t="e">
        <f aca="false">R34</f>
        <v>#VALUE!</v>
      </c>
      <c r="S37" s="689" t="e">
        <f aca="false">S34</f>
        <v>#VALUE!</v>
      </c>
      <c r="T37" s="688" t="e">
        <f aca="false">T34</f>
        <v>#VALUE!</v>
      </c>
      <c r="U37" s="688" t="e">
        <f aca="false">U34</f>
        <v>#VALUE!</v>
      </c>
      <c r="V37" s="688" t="e">
        <f aca="false">V34</f>
        <v>#VALUE!</v>
      </c>
      <c r="W37" s="688" t="e">
        <f aca="false">W34</f>
        <v>#VALUE!</v>
      </c>
      <c r="X37" s="688" t="e">
        <f aca="false">X34</f>
        <v>#VALUE!</v>
      </c>
      <c r="Y37" s="688" t="e">
        <f aca="false">Y34</f>
        <v>#VALUE!</v>
      </c>
      <c r="Z37" s="688" t="e">
        <f aca="false">Z34</f>
        <v>#VALUE!</v>
      </c>
      <c r="AA37" s="688" t="e">
        <f aca="false">AA34</f>
        <v>#VALUE!</v>
      </c>
      <c r="AB37" s="688" t="e">
        <f aca="false">AB34</f>
        <v>#VALUE!</v>
      </c>
      <c r="AC37" s="688" t="e">
        <f aca="false">AC34</f>
        <v>#VALUE!</v>
      </c>
      <c r="AD37" s="688" t="e">
        <f aca="false">AD34</f>
        <v>#VALUE!</v>
      </c>
      <c r="AE37" s="689" t="e">
        <f aca="false">AE34</f>
        <v>#VALUE!</v>
      </c>
      <c r="AF37" s="688" t="e">
        <f aca="false">AF34</f>
        <v>#VALUE!</v>
      </c>
      <c r="AG37" s="688" t="e">
        <f aca="false">AG34</f>
        <v>#VALUE!</v>
      </c>
      <c r="AH37" s="688" t="e">
        <f aca="false">AH34</f>
        <v>#VALUE!</v>
      </c>
      <c r="AI37" s="688" t="e">
        <f aca="false">AI34</f>
        <v>#VALUE!</v>
      </c>
      <c r="AJ37" s="688" t="e">
        <f aca="false">AJ34</f>
        <v>#VALUE!</v>
      </c>
      <c r="AK37" s="688" t="e">
        <f aca="false">AK34</f>
        <v>#VALUE!</v>
      </c>
      <c r="AL37" s="688" t="e">
        <f aca="false">AL34</f>
        <v>#VALUE!</v>
      </c>
      <c r="AM37" s="688" t="e">
        <f aca="false">AM34</f>
        <v>#VALUE!</v>
      </c>
      <c r="AN37" s="688" t="e">
        <f aca="false">AN34</f>
        <v>#VALUE!</v>
      </c>
      <c r="AO37" s="688" t="e">
        <f aca="false">AO34</f>
        <v>#VALUE!</v>
      </c>
      <c r="AP37" s="688" t="e">
        <f aca="false">AP34</f>
        <v>#VALUE!</v>
      </c>
      <c r="AQ37" s="689" t="e">
        <f aca="false">AQ34</f>
        <v>#VALUE!</v>
      </c>
      <c r="AR37" s="688" t="e">
        <f aca="false">AR34</f>
        <v>#VALUE!</v>
      </c>
      <c r="AS37" s="688" t="e">
        <f aca="false">AS34</f>
        <v>#VALUE!</v>
      </c>
      <c r="AT37" s="688" t="e">
        <f aca="false">AT34</f>
        <v>#VALUE!</v>
      </c>
      <c r="AU37" s="688" t="e">
        <f aca="false">AU34</f>
        <v>#VALUE!</v>
      </c>
      <c r="AV37" s="688" t="e">
        <f aca="false">AV34</f>
        <v>#VALUE!</v>
      </c>
      <c r="AW37" s="688" t="e">
        <f aca="false">AW34</f>
        <v>#VALUE!</v>
      </c>
      <c r="AX37" s="688" t="e">
        <f aca="false">AX34</f>
        <v>#VALUE!</v>
      </c>
      <c r="AY37" s="688" t="e">
        <f aca="false">AY34</f>
        <v>#VALUE!</v>
      </c>
      <c r="AZ37" s="688" t="e">
        <f aca="false">AZ34</f>
        <v>#VALUE!</v>
      </c>
      <c r="BA37" s="688" t="e">
        <f aca="false">BA34</f>
        <v>#VALUE!</v>
      </c>
      <c r="BB37" s="688" t="e">
        <f aca="false">BB34</f>
        <v>#VALUE!</v>
      </c>
      <c r="BC37" s="689" t="e">
        <f aca="false">BC34</f>
        <v>#VALUE!</v>
      </c>
      <c r="BD37" s="688" t="e">
        <f aca="false">BD34</f>
        <v>#VALUE!</v>
      </c>
      <c r="BE37" s="688" t="e">
        <f aca="false">BE34</f>
        <v>#VALUE!</v>
      </c>
      <c r="BF37" s="688" t="e">
        <f aca="false">BF34</f>
        <v>#VALUE!</v>
      </c>
      <c r="BG37" s="688" t="e">
        <f aca="false">BG34</f>
        <v>#VALUE!</v>
      </c>
      <c r="BH37" s="688" t="e">
        <f aca="false">BH34</f>
        <v>#VALUE!</v>
      </c>
      <c r="BI37" s="688" t="e">
        <f aca="false">BI34</f>
        <v>#VALUE!</v>
      </c>
      <c r="BJ37" s="688" t="e">
        <f aca="false">BJ34</f>
        <v>#VALUE!</v>
      </c>
      <c r="BK37" s="688" t="e">
        <f aca="false">BK34</f>
        <v>#VALUE!</v>
      </c>
      <c r="BL37" s="688" t="e">
        <f aca="false">BL34</f>
        <v>#VALUE!</v>
      </c>
      <c r="BM37" s="688" t="e">
        <f aca="false">BM34</f>
        <v>#VALUE!</v>
      </c>
      <c r="BN37" s="688" t="e">
        <f aca="false">BN34</f>
        <v>#VALUE!</v>
      </c>
      <c r="BO37" s="689" t="e">
        <f aca="false">BO34</f>
        <v>#VALUE!</v>
      </c>
      <c r="BP37" s="688" t="e">
        <f aca="false">BP34</f>
        <v>#VALUE!</v>
      </c>
      <c r="BQ37" s="688" t="e">
        <f aca="false">BQ34</f>
        <v>#VALUE!</v>
      </c>
      <c r="BR37" s="688" t="e">
        <f aca="false">BR34</f>
        <v>#VALUE!</v>
      </c>
      <c r="BS37" s="688" t="e">
        <f aca="false">BS34</f>
        <v>#VALUE!</v>
      </c>
      <c r="BT37" s="688" t="e">
        <f aca="false">BT34</f>
        <v>#VALUE!</v>
      </c>
      <c r="BU37" s="688" t="e">
        <f aca="false">BU34</f>
        <v>#VALUE!</v>
      </c>
      <c r="BV37" s="688" t="e">
        <f aca="false">BV34</f>
        <v>#VALUE!</v>
      </c>
      <c r="BW37" s="688" t="e">
        <f aca="false">BW34</f>
        <v>#VALUE!</v>
      </c>
      <c r="BX37" s="688" t="e">
        <f aca="false">BX34</f>
        <v>#VALUE!</v>
      </c>
      <c r="BY37" s="688" t="e">
        <f aca="false">BY34</f>
        <v>#VALUE!</v>
      </c>
      <c r="BZ37" s="688" t="e">
        <f aca="false">BZ34</f>
        <v>#VALUE!</v>
      </c>
      <c r="CA37" s="689" t="e">
        <f aca="false">CA34</f>
        <v>#VALUE!</v>
      </c>
      <c r="CB37" s="688" t="e">
        <f aca="false">CB34</f>
        <v>#VALUE!</v>
      </c>
      <c r="CC37" s="688" t="e">
        <f aca="false">CC34</f>
        <v>#VALUE!</v>
      </c>
      <c r="CD37" s="688" t="e">
        <f aca="false">CD34</f>
        <v>#VALUE!</v>
      </c>
      <c r="CE37" s="688" t="e">
        <f aca="false">CE34</f>
        <v>#VALUE!</v>
      </c>
      <c r="CF37" s="688" t="e">
        <f aca="false">CF34</f>
        <v>#VALUE!</v>
      </c>
      <c r="CG37" s="688" t="e">
        <f aca="false">CG34</f>
        <v>#VALUE!</v>
      </c>
      <c r="CH37" s="688" t="e">
        <f aca="false">CH34</f>
        <v>#VALUE!</v>
      </c>
      <c r="CI37" s="688" t="e">
        <f aca="false">CI34</f>
        <v>#VALUE!</v>
      </c>
      <c r="CJ37" s="688" t="e">
        <f aca="false">CJ34</f>
        <v>#VALUE!</v>
      </c>
      <c r="CK37" s="688" t="e">
        <f aca="false">CK34</f>
        <v>#VALUE!</v>
      </c>
      <c r="CL37" s="688" t="e">
        <f aca="false">CL34</f>
        <v>#VALUE!</v>
      </c>
      <c r="CM37" s="689" t="e">
        <f aca="false">CM34</f>
        <v>#VALUE!</v>
      </c>
      <c r="CN37" s="688" t="e">
        <f aca="false">CN34</f>
        <v>#VALUE!</v>
      </c>
      <c r="CO37" s="688" t="e">
        <f aca="false">CO34</f>
        <v>#VALUE!</v>
      </c>
      <c r="CP37" s="688" t="e">
        <f aca="false">CP34</f>
        <v>#VALUE!</v>
      </c>
      <c r="CQ37" s="688" t="e">
        <f aca="false">CQ34</f>
        <v>#VALUE!</v>
      </c>
      <c r="CR37" s="688" t="e">
        <f aca="false">CR34</f>
        <v>#VALUE!</v>
      </c>
      <c r="CS37" s="688" t="e">
        <f aca="false">CS34</f>
        <v>#VALUE!</v>
      </c>
      <c r="CT37" s="688" t="e">
        <f aca="false">CT34</f>
        <v>#VALUE!</v>
      </c>
      <c r="CU37" s="688" t="e">
        <f aca="false">CU34</f>
        <v>#VALUE!</v>
      </c>
      <c r="CV37" s="688" t="e">
        <f aca="false">CV34</f>
        <v>#VALUE!</v>
      </c>
      <c r="CW37" s="688" t="e">
        <f aca="false">CW34</f>
        <v>#VALUE!</v>
      </c>
      <c r="CX37" s="688" t="e">
        <f aca="false">CX34</f>
        <v>#VALUE!</v>
      </c>
      <c r="CY37" s="689" t="e">
        <f aca="false">CY34</f>
        <v>#VALUE!</v>
      </c>
      <c r="CZ37" s="688" t="e">
        <f aca="false">CZ34</f>
        <v>#VALUE!</v>
      </c>
      <c r="DA37" s="688" t="e">
        <f aca="false">DA34</f>
        <v>#VALUE!</v>
      </c>
      <c r="DB37" s="688" t="e">
        <f aca="false">DB34</f>
        <v>#VALUE!</v>
      </c>
      <c r="DC37" s="688" t="e">
        <f aca="false">DC34</f>
        <v>#VALUE!</v>
      </c>
      <c r="DD37" s="688" t="e">
        <f aca="false">DD34</f>
        <v>#VALUE!</v>
      </c>
      <c r="DE37" s="688" t="e">
        <f aca="false">DE34</f>
        <v>#VALUE!</v>
      </c>
      <c r="DF37" s="688" t="e">
        <f aca="false">DF34</f>
        <v>#VALUE!</v>
      </c>
      <c r="DG37" s="688" t="e">
        <f aca="false">DG34</f>
        <v>#VALUE!</v>
      </c>
      <c r="DH37" s="688" t="e">
        <f aca="false">DH34</f>
        <v>#VALUE!</v>
      </c>
      <c r="DI37" s="688" t="e">
        <f aca="false">DI34</f>
        <v>#VALUE!</v>
      </c>
      <c r="DJ37" s="688" t="e">
        <f aca="false">DJ34</f>
        <v>#VALUE!</v>
      </c>
      <c r="DK37" s="689" t="e">
        <f aca="false">DK34</f>
        <v>#VALUE!</v>
      </c>
      <c r="DL37" s="688" t="e">
        <f aca="false">DL34</f>
        <v>#VALUE!</v>
      </c>
      <c r="DM37" s="688" t="e">
        <f aca="false">DM34</f>
        <v>#VALUE!</v>
      </c>
      <c r="DN37" s="688" t="e">
        <f aca="false">DN34</f>
        <v>#VALUE!</v>
      </c>
      <c r="DO37" s="688" t="e">
        <f aca="false">DO34</f>
        <v>#VALUE!</v>
      </c>
      <c r="DP37" s="688" t="e">
        <f aca="false">DP34</f>
        <v>#VALUE!</v>
      </c>
      <c r="DQ37" s="688" t="e">
        <f aca="false">DQ34</f>
        <v>#VALUE!</v>
      </c>
      <c r="DR37" s="688" t="e">
        <f aca="false">DR34</f>
        <v>#VALUE!</v>
      </c>
      <c r="DS37" s="688" t="e">
        <f aca="false">DS34</f>
        <v>#VALUE!</v>
      </c>
      <c r="DT37" s="688" t="e">
        <f aca="false">DT34</f>
        <v>#VALUE!</v>
      </c>
      <c r="DU37" s="688" t="e">
        <f aca="false">DU34</f>
        <v>#VALUE!</v>
      </c>
      <c r="DV37" s="690" t="e">
        <f aca="false">DV34</f>
        <v>#VALUE!</v>
      </c>
    </row>
    <row r="38" s="683" customFormat="true" ht="13.5" hidden="false" customHeight="true" outlineLevel="0" collapsed="false">
      <c r="A38" s="236"/>
      <c r="B38" s="69" t="s">
        <v>651</v>
      </c>
      <c r="C38" s="242"/>
      <c r="D38" s="242"/>
      <c r="E38" s="665"/>
      <c r="F38" s="688" t="str">
        <f aca="false">IF(F31="","",F37/'Executive Summary'!$O$5*'Executive Summary'!$O$6)</f>
        <v/>
      </c>
      <c r="G38" s="689" t="e">
        <f aca="false">IF(G31="","",G37/'Executive Summary'!$O$5*'Executive Summary'!$O$6)</f>
        <v>#VALUE!</v>
      </c>
      <c r="H38" s="688" t="e">
        <f aca="false">IF(H31="","",H37/'Executive Summary'!$O$5*'Executive Summary'!$O$6)</f>
        <v>#VALUE!</v>
      </c>
      <c r="I38" s="688" t="e">
        <f aca="false">IF(I31="","",I37/'Executive Summary'!$O$5*'Executive Summary'!$O$6)</f>
        <v>#VALUE!</v>
      </c>
      <c r="J38" s="688" t="e">
        <f aca="false">IF(J31="","",J37/'Executive Summary'!$O$5*'Executive Summary'!$O$6)</f>
        <v>#VALUE!</v>
      </c>
      <c r="K38" s="688" t="e">
        <f aca="false">IF(K31="","",K37/'Executive Summary'!$O$5*'Executive Summary'!$O$6)</f>
        <v>#VALUE!</v>
      </c>
      <c r="L38" s="688" t="e">
        <f aca="false">IF(L31="","",L37/'Executive Summary'!$O$5*'Executive Summary'!$O$6)</f>
        <v>#VALUE!</v>
      </c>
      <c r="M38" s="688" t="e">
        <f aca="false">IF(M31="","",M37/'Executive Summary'!$O$5*'Executive Summary'!$O$6)</f>
        <v>#VALUE!</v>
      </c>
      <c r="N38" s="688" t="e">
        <f aca="false">IF(N31="","",N37/'Executive Summary'!$O$5*'Executive Summary'!$O$6)</f>
        <v>#VALUE!</v>
      </c>
      <c r="O38" s="688" t="e">
        <f aca="false">IF(O31="","",O37/'Executive Summary'!$O$5*'Executive Summary'!$O$6)</f>
        <v>#VALUE!</v>
      </c>
      <c r="P38" s="688" t="e">
        <f aca="false">IF(P31="","",P37/'Executive Summary'!$O$5*'Executive Summary'!$O$6)</f>
        <v>#VALUE!</v>
      </c>
      <c r="Q38" s="688" t="e">
        <f aca="false">IF(Q31="","",Q37/'Executive Summary'!$O$5*'Executive Summary'!$O$6)</f>
        <v>#VALUE!</v>
      </c>
      <c r="R38" s="688" t="e">
        <f aca="false">IF(R31="","",R37/'Executive Summary'!$O$5*'Executive Summary'!$O$6)</f>
        <v>#VALUE!</v>
      </c>
      <c r="S38" s="689" t="e">
        <f aca="false">IF(S31="","",S37/'Executive Summary'!$O$5*'Executive Summary'!$O$6)</f>
        <v>#VALUE!</v>
      </c>
      <c r="T38" s="688" t="e">
        <f aca="false">IF(T31="","",T37/'Executive Summary'!$O$5*'Executive Summary'!$O$6)</f>
        <v>#VALUE!</v>
      </c>
      <c r="U38" s="688" t="e">
        <f aca="false">IF(U31="","",U37/'Executive Summary'!$O$5*'Executive Summary'!$O$6)</f>
        <v>#VALUE!</v>
      </c>
      <c r="V38" s="688" t="e">
        <f aca="false">IF(V31="","",V37/'Executive Summary'!$O$5*'Executive Summary'!$O$6)</f>
        <v>#VALUE!</v>
      </c>
      <c r="W38" s="688" t="e">
        <f aca="false">IF(W31="","",W37/'Executive Summary'!$O$5*'Executive Summary'!$O$6)</f>
        <v>#VALUE!</v>
      </c>
      <c r="X38" s="688" t="e">
        <f aca="false">IF(X31="","",X37/'Executive Summary'!$O$5*'Executive Summary'!$O$6)</f>
        <v>#VALUE!</v>
      </c>
      <c r="Y38" s="688" t="e">
        <f aca="false">IF(Y31="","",Y37/'Executive Summary'!$O$5*'Executive Summary'!$O$6)</f>
        <v>#VALUE!</v>
      </c>
      <c r="Z38" s="688" t="e">
        <f aca="false">IF(Z31="","",Z37/'Executive Summary'!$O$5*'Executive Summary'!$O$6)</f>
        <v>#VALUE!</v>
      </c>
      <c r="AA38" s="688" t="e">
        <f aca="false">IF(AA31="","",AA37/'Executive Summary'!$O$5*'Executive Summary'!$O$6)</f>
        <v>#VALUE!</v>
      </c>
      <c r="AB38" s="688" t="e">
        <f aca="false">IF(AB31="","",AB37/'Executive Summary'!$O$5*'Executive Summary'!$O$6)</f>
        <v>#VALUE!</v>
      </c>
      <c r="AC38" s="688" t="e">
        <f aca="false">IF(AC31="","",AC37/'Executive Summary'!$O$5*'Executive Summary'!$O$6)</f>
        <v>#VALUE!</v>
      </c>
      <c r="AD38" s="688" t="e">
        <f aca="false">IF(AD31="","",AD37/'Executive Summary'!$O$5*'Executive Summary'!$O$6)</f>
        <v>#VALUE!</v>
      </c>
      <c r="AE38" s="689" t="e">
        <f aca="false">IF(AE31="","",AE37/'Executive Summary'!$O$5*'Executive Summary'!$O$6)</f>
        <v>#VALUE!</v>
      </c>
      <c r="AF38" s="688" t="e">
        <f aca="false">IF(AF31="","",AF37/'Executive Summary'!$O$5*'Executive Summary'!$O$6)</f>
        <v>#VALUE!</v>
      </c>
      <c r="AG38" s="688" t="e">
        <f aca="false">IF(AG31="","",AG37/'Executive Summary'!$O$5*'Executive Summary'!$O$6)</f>
        <v>#VALUE!</v>
      </c>
      <c r="AH38" s="688" t="e">
        <f aca="false">IF(AH31="","",AH37/'Executive Summary'!$O$5*'Executive Summary'!$O$6)</f>
        <v>#VALUE!</v>
      </c>
      <c r="AI38" s="688" t="e">
        <f aca="false">IF(AI31="","",AI37/'Executive Summary'!$O$5*'Executive Summary'!$O$6)</f>
        <v>#VALUE!</v>
      </c>
      <c r="AJ38" s="688" t="e">
        <f aca="false">IF(AJ31="","",AJ37/'Executive Summary'!$O$5*'Executive Summary'!$O$6)</f>
        <v>#VALUE!</v>
      </c>
      <c r="AK38" s="688" t="e">
        <f aca="false">IF(AK31="","",AK37/'Executive Summary'!$O$5*'Executive Summary'!$O$6)</f>
        <v>#VALUE!</v>
      </c>
      <c r="AL38" s="688" t="e">
        <f aca="false">IF(AL31="","",AL37/'Executive Summary'!$O$5*'Executive Summary'!$O$6)</f>
        <v>#VALUE!</v>
      </c>
      <c r="AM38" s="688" t="e">
        <f aca="false">IF(AM31="","",AM37/'Executive Summary'!$O$5*'Executive Summary'!$O$6)</f>
        <v>#VALUE!</v>
      </c>
      <c r="AN38" s="688" t="e">
        <f aca="false">IF(AN31="","",AN37/'Executive Summary'!$O$5*'Executive Summary'!$O$6)</f>
        <v>#VALUE!</v>
      </c>
      <c r="AO38" s="688" t="e">
        <f aca="false">IF(AO31="","",AO37/'Executive Summary'!$O$5*'Executive Summary'!$O$6)</f>
        <v>#VALUE!</v>
      </c>
      <c r="AP38" s="688" t="e">
        <f aca="false">IF(AP31="","",AP37/'Executive Summary'!$O$5*'Executive Summary'!$O$6)</f>
        <v>#VALUE!</v>
      </c>
      <c r="AQ38" s="689" t="e">
        <f aca="false">IF(AQ31="","",AQ37/'Executive Summary'!$O$5*'Executive Summary'!$O$6)</f>
        <v>#VALUE!</v>
      </c>
      <c r="AR38" s="688" t="e">
        <f aca="false">IF(AR31="","",AR37/'Executive Summary'!$O$5*'Executive Summary'!$O$6)</f>
        <v>#VALUE!</v>
      </c>
      <c r="AS38" s="688" t="e">
        <f aca="false">IF(AS31="","",AS37/'Executive Summary'!$O$5*'Executive Summary'!$O$6)</f>
        <v>#VALUE!</v>
      </c>
      <c r="AT38" s="688" t="e">
        <f aca="false">IF(AT31="","",AT37/'Executive Summary'!$O$5*'Executive Summary'!$O$6)</f>
        <v>#VALUE!</v>
      </c>
      <c r="AU38" s="688" t="e">
        <f aca="false">IF(AU31="","",AU37/'Executive Summary'!$O$5*'Executive Summary'!$O$6)</f>
        <v>#VALUE!</v>
      </c>
      <c r="AV38" s="688" t="e">
        <f aca="false">IF(AV31="","",AV37/'Executive Summary'!$O$5*'Executive Summary'!$O$6)</f>
        <v>#VALUE!</v>
      </c>
      <c r="AW38" s="688" t="e">
        <f aca="false">IF(AW31="","",AW37/'Executive Summary'!$O$5*'Executive Summary'!$O$6)</f>
        <v>#VALUE!</v>
      </c>
      <c r="AX38" s="688" t="e">
        <f aca="false">IF(AX31="","",AX37/'Executive Summary'!$O$5*'Executive Summary'!$O$6)</f>
        <v>#VALUE!</v>
      </c>
      <c r="AY38" s="688" t="e">
        <f aca="false">IF(AY31="","",AY37/'Executive Summary'!$O$5*'Executive Summary'!$O$6)</f>
        <v>#VALUE!</v>
      </c>
      <c r="AZ38" s="688" t="e">
        <f aca="false">IF(AZ31="","",AZ37/'Executive Summary'!$O$5*'Executive Summary'!$O$6)</f>
        <v>#VALUE!</v>
      </c>
      <c r="BA38" s="688" t="e">
        <f aca="false">IF(BA31="","",BA37/'Executive Summary'!$O$5*'Executive Summary'!$O$6)</f>
        <v>#VALUE!</v>
      </c>
      <c r="BB38" s="688" t="e">
        <f aca="false">IF(BB31="","",BB37/'Executive Summary'!$O$5*'Executive Summary'!$O$6)</f>
        <v>#VALUE!</v>
      </c>
      <c r="BC38" s="689" t="e">
        <f aca="false">IF(BC31="","",BC37/'Executive Summary'!$O$5*'Executive Summary'!$O$6)</f>
        <v>#VALUE!</v>
      </c>
      <c r="BD38" s="688" t="e">
        <f aca="false">IF(BD31="","",BD37/'Executive Summary'!$O$5*'Executive Summary'!$O$6)</f>
        <v>#VALUE!</v>
      </c>
      <c r="BE38" s="688" t="e">
        <f aca="false">IF(BE31="","",BE37/'Executive Summary'!$O$5*'Executive Summary'!$O$6)</f>
        <v>#VALUE!</v>
      </c>
      <c r="BF38" s="688" t="e">
        <f aca="false">IF(BF31="","",BF37/'Executive Summary'!$O$5*'Executive Summary'!$O$6)</f>
        <v>#VALUE!</v>
      </c>
      <c r="BG38" s="688" t="e">
        <f aca="false">IF(BG31="","",BG37/'Executive Summary'!$O$5*'Executive Summary'!$O$6)</f>
        <v>#VALUE!</v>
      </c>
      <c r="BH38" s="688" t="e">
        <f aca="false">IF(BH31="","",BH37/'Executive Summary'!$O$5*'Executive Summary'!$O$6)</f>
        <v>#VALUE!</v>
      </c>
      <c r="BI38" s="688" t="e">
        <f aca="false">IF(BI31="","",BI37/'Executive Summary'!$O$5*'Executive Summary'!$O$6)</f>
        <v>#VALUE!</v>
      </c>
      <c r="BJ38" s="688" t="e">
        <f aca="false">IF(BJ31="","",BJ37/'Executive Summary'!$O$5*'Executive Summary'!$O$6)</f>
        <v>#VALUE!</v>
      </c>
      <c r="BK38" s="688" t="e">
        <f aca="false">IF(BK31="","",BK37/'Executive Summary'!$O$5*'Executive Summary'!$O$6)</f>
        <v>#VALUE!</v>
      </c>
      <c r="BL38" s="688" t="e">
        <f aca="false">IF(BL31="","",BL37/'Executive Summary'!$O$5*'Executive Summary'!$O$6)</f>
        <v>#VALUE!</v>
      </c>
      <c r="BM38" s="688" t="e">
        <f aca="false">IF(BM31="","",BM37/'Executive Summary'!$O$5*'Executive Summary'!$O$6)</f>
        <v>#VALUE!</v>
      </c>
      <c r="BN38" s="688" t="e">
        <f aca="false">IF(BN31="","",BN37/'Executive Summary'!$O$5*'Executive Summary'!$O$6)</f>
        <v>#VALUE!</v>
      </c>
      <c r="BO38" s="689" t="e">
        <f aca="false">IF(BO31="","",BO37/'Executive Summary'!$O$5*'Executive Summary'!$O$6)</f>
        <v>#VALUE!</v>
      </c>
      <c r="BP38" s="688" t="e">
        <f aca="false">IF(BP31="","",BP37/'Executive Summary'!$O$5*'Executive Summary'!$O$6)</f>
        <v>#VALUE!</v>
      </c>
      <c r="BQ38" s="688" t="e">
        <f aca="false">IF(BQ31="","",BQ37/'Executive Summary'!$O$5*'Executive Summary'!$O$6)</f>
        <v>#VALUE!</v>
      </c>
      <c r="BR38" s="688" t="e">
        <f aca="false">IF(BR31="","",BR37/'Executive Summary'!$O$5*'Executive Summary'!$O$6)</f>
        <v>#VALUE!</v>
      </c>
      <c r="BS38" s="688" t="e">
        <f aca="false">IF(BS31="","",BS37/'Executive Summary'!$O$5*'Executive Summary'!$O$6)</f>
        <v>#VALUE!</v>
      </c>
      <c r="BT38" s="688" t="e">
        <f aca="false">IF(BT31="","",BT37/'Executive Summary'!$O$5*'Executive Summary'!$O$6)</f>
        <v>#VALUE!</v>
      </c>
      <c r="BU38" s="688" t="e">
        <f aca="false">IF(BU31="","",BU37/'Executive Summary'!$O$5*'Executive Summary'!$O$6)</f>
        <v>#VALUE!</v>
      </c>
      <c r="BV38" s="688" t="e">
        <f aca="false">IF(BV31="","",BV37/'Executive Summary'!$O$5*'Executive Summary'!$O$6)</f>
        <v>#VALUE!</v>
      </c>
      <c r="BW38" s="688" t="e">
        <f aca="false">IF(BW31="","",BW37/'Executive Summary'!$O$5*'Executive Summary'!$O$6)</f>
        <v>#VALUE!</v>
      </c>
      <c r="BX38" s="688" t="e">
        <f aca="false">IF(BX31="","",BX37/'Executive Summary'!$O$5*'Executive Summary'!$O$6)</f>
        <v>#VALUE!</v>
      </c>
      <c r="BY38" s="688" t="e">
        <f aca="false">IF(BY31="","",BY37/'Executive Summary'!$O$5*'Executive Summary'!$O$6)</f>
        <v>#VALUE!</v>
      </c>
      <c r="BZ38" s="688" t="e">
        <f aca="false">IF(BZ31="","",BZ37/'Executive Summary'!$O$5*'Executive Summary'!$O$6)</f>
        <v>#VALUE!</v>
      </c>
      <c r="CA38" s="689" t="e">
        <f aca="false">IF(CA31="","",CA37/'Executive Summary'!$O$5*'Executive Summary'!$O$6)</f>
        <v>#VALUE!</v>
      </c>
      <c r="CB38" s="688" t="e">
        <f aca="false">IF(CB31="","",CB37/'Executive Summary'!$O$5*'Executive Summary'!$O$6)</f>
        <v>#VALUE!</v>
      </c>
      <c r="CC38" s="688" t="e">
        <f aca="false">IF(CC31="","",CC37/'Executive Summary'!$O$5*'Executive Summary'!$O$6)</f>
        <v>#VALUE!</v>
      </c>
      <c r="CD38" s="688" t="e">
        <f aca="false">IF(CD31="","",CD37/'Executive Summary'!$O$5*'Executive Summary'!$O$6)</f>
        <v>#VALUE!</v>
      </c>
      <c r="CE38" s="688" t="e">
        <f aca="false">IF(CE31="","",CE37/'Executive Summary'!$O$5*'Executive Summary'!$O$6)</f>
        <v>#VALUE!</v>
      </c>
      <c r="CF38" s="688" t="e">
        <f aca="false">IF(CF31="","",CF37/'Executive Summary'!$O$5*'Executive Summary'!$O$6)</f>
        <v>#VALUE!</v>
      </c>
      <c r="CG38" s="688" t="e">
        <f aca="false">IF(CG31="","",CG37/'Executive Summary'!$O$5*'Executive Summary'!$O$6)</f>
        <v>#VALUE!</v>
      </c>
      <c r="CH38" s="688" t="e">
        <f aca="false">IF(CH31="","",CH37/'Executive Summary'!$O$5*'Executive Summary'!$O$6)</f>
        <v>#VALUE!</v>
      </c>
      <c r="CI38" s="688" t="e">
        <f aca="false">IF(CI31="","",CI37/'Executive Summary'!$O$5*'Executive Summary'!$O$6)</f>
        <v>#VALUE!</v>
      </c>
      <c r="CJ38" s="688" t="e">
        <f aca="false">IF(CJ31="","",CJ37/'Executive Summary'!$O$5*'Executive Summary'!$O$6)</f>
        <v>#VALUE!</v>
      </c>
      <c r="CK38" s="688" t="e">
        <f aca="false">IF(CK31="","",CK37/'Executive Summary'!$O$5*'Executive Summary'!$O$6)</f>
        <v>#VALUE!</v>
      </c>
      <c r="CL38" s="688" t="e">
        <f aca="false">IF(CL31="","",CL37/'Executive Summary'!$O$5*'Executive Summary'!$O$6)</f>
        <v>#VALUE!</v>
      </c>
      <c r="CM38" s="689" t="e">
        <f aca="false">IF(CM31="","",CM37/'Executive Summary'!$O$5*'Executive Summary'!$O$6)</f>
        <v>#VALUE!</v>
      </c>
      <c r="CN38" s="688" t="e">
        <f aca="false">IF(CN31="","",CN37/'Executive Summary'!$O$5*'Executive Summary'!$O$6)</f>
        <v>#VALUE!</v>
      </c>
      <c r="CO38" s="688" t="e">
        <f aca="false">IF(CO31="","",CO37/'Executive Summary'!$O$5*'Executive Summary'!$O$6)</f>
        <v>#VALUE!</v>
      </c>
      <c r="CP38" s="688" t="e">
        <f aca="false">IF(CP31="","",CP37/'Executive Summary'!$O$5*'Executive Summary'!$O$6)</f>
        <v>#VALUE!</v>
      </c>
      <c r="CQ38" s="688" t="e">
        <f aca="false">IF(CQ31="","",CQ37/'Executive Summary'!$O$5*'Executive Summary'!$O$6)</f>
        <v>#VALUE!</v>
      </c>
      <c r="CR38" s="688" t="e">
        <f aca="false">IF(CR31="","",CR37/'Executive Summary'!$O$5*'Executive Summary'!$O$6)</f>
        <v>#VALUE!</v>
      </c>
      <c r="CS38" s="688" t="e">
        <f aca="false">IF(CS31="","",CS37/'Executive Summary'!$O$5*'Executive Summary'!$O$6)</f>
        <v>#VALUE!</v>
      </c>
      <c r="CT38" s="688" t="e">
        <f aca="false">IF(CT31="","",CT37/'Executive Summary'!$O$5*'Executive Summary'!$O$6)</f>
        <v>#VALUE!</v>
      </c>
      <c r="CU38" s="688" t="e">
        <f aca="false">IF(CU31="","",CU37/'Executive Summary'!$O$5*'Executive Summary'!$O$6)</f>
        <v>#VALUE!</v>
      </c>
      <c r="CV38" s="688" t="e">
        <f aca="false">IF(CV31="","",CV37/'Executive Summary'!$O$5*'Executive Summary'!$O$6)</f>
        <v>#VALUE!</v>
      </c>
      <c r="CW38" s="688" t="e">
        <f aca="false">IF(CW31="","",CW37/'Executive Summary'!$O$5*'Executive Summary'!$O$6)</f>
        <v>#VALUE!</v>
      </c>
      <c r="CX38" s="688" t="e">
        <f aca="false">IF(CX31="","",CX37/'Executive Summary'!$O$5*'Executive Summary'!$O$6)</f>
        <v>#VALUE!</v>
      </c>
      <c r="CY38" s="689" t="e">
        <f aca="false">IF(CY31="","",CY37/'Executive Summary'!$O$5*'Executive Summary'!$O$6)</f>
        <v>#VALUE!</v>
      </c>
      <c r="CZ38" s="688" t="e">
        <f aca="false">IF(CZ31="","",CZ37/'Executive Summary'!$O$5*'Executive Summary'!$O$6)</f>
        <v>#VALUE!</v>
      </c>
      <c r="DA38" s="688" t="e">
        <f aca="false">IF(DA31="","",DA37/'Executive Summary'!$O$5*'Executive Summary'!$O$6)</f>
        <v>#VALUE!</v>
      </c>
      <c r="DB38" s="688" t="e">
        <f aca="false">IF(DB31="","",DB37/'Executive Summary'!$O$5*'Executive Summary'!$O$6)</f>
        <v>#VALUE!</v>
      </c>
      <c r="DC38" s="688" t="e">
        <f aca="false">IF(DC31="","",DC37/'Executive Summary'!$O$5*'Executive Summary'!$O$6)</f>
        <v>#VALUE!</v>
      </c>
      <c r="DD38" s="688" t="e">
        <f aca="false">IF(DD31="","",DD37/'Executive Summary'!$O$5*'Executive Summary'!$O$6)</f>
        <v>#VALUE!</v>
      </c>
      <c r="DE38" s="688" t="e">
        <f aca="false">IF(DE31="","",DE37/'Executive Summary'!$O$5*'Executive Summary'!$O$6)</f>
        <v>#VALUE!</v>
      </c>
      <c r="DF38" s="688" t="e">
        <f aca="false">IF(DF31="","",DF37/'Executive Summary'!$O$5*'Executive Summary'!$O$6)</f>
        <v>#VALUE!</v>
      </c>
      <c r="DG38" s="688" t="e">
        <f aca="false">IF(DG31="","",DG37/'Executive Summary'!$O$5*'Executive Summary'!$O$6)</f>
        <v>#VALUE!</v>
      </c>
      <c r="DH38" s="688" t="e">
        <f aca="false">IF(DH31="","",DH37/'Executive Summary'!$O$5*'Executive Summary'!$O$6)</f>
        <v>#VALUE!</v>
      </c>
      <c r="DI38" s="688" t="e">
        <f aca="false">IF(DI31="","",DI37/'Executive Summary'!$O$5*'Executive Summary'!$O$6)</f>
        <v>#VALUE!</v>
      </c>
      <c r="DJ38" s="688" t="e">
        <f aca="false">IF(DJ31="","",DJ37/'Executive Summary'!$O$5*'Executive Summary'!$O$6)</f>
        <v>#VALUE!</v>
      </c>
      <c r="DK38" s="689" t="e">
        <f aca="false">IF(DK31="","",DK37/'Executive Summary'!$O$5*'Executive Summary'!$O$6)</f>
        <v>#VALUE!</v>
      </c>
      <c r="DL38" s="688" t="e">
        <f aca="false">IF(DL31="","",DL37/'Executive Summary'!$O$5*'Executive Summary'!$O$6)</f>
        <v>#VALUE!</v>
      </c>
      <c r="DM38" s="688" t="e">
        <f aca="false">IF(DM31="","",DM37/'Executive Summary'!$O$5*'Executive Summary'!$O$6)</f>
        <v>#VALUE!</v>
      </c>
      <c r="DN38" s="688" t="e">
        <f aca="false">IF(DN31="","",DN37/'Executive Summary'!$O$5*'Executive Summary'!$O$6)</f>
        <v>#VALUE!</v>
      </c>
      <c r="DO38" s="688" t="e">
        <f aca="false">IF(DO31="","",DO37/'Executive Summary'!$O$5*'Executive Summary'!$O$6)</f>
        <v>#VALUE!</v>
      </c>
      <c r="DP38" s="688" t="e">
        <f aca="false">IF(DP31="","",DP37/'Executive Summary'!$O$5*'Executive Summary'!$O$6)</f>
        <v>#VALUE!</v>
      </c>
      <c r="DQ38" s="688" t="e">
        <f aca="false">IF(DQ31="","",DQ37/'Executive Summary'!$O$5*'Executive Summary'!$O$6)</f>
        <v>#VALUE!</v>
      </c>
      <c r="DR38" s="688" t="e">
        <f aca="false">IF(DR31="","",DR37/'Executive Summary'!$O$5*'Executive Summary'!$O$6)</f>
        <v>#VALUE!</v>
      </c>
      <c r="DS38" s="688" t="e">
        <f aca="false">IF(DS31="","",DS37/'Executive Summary'!$O$5*'Executive Summary'!$O$6)</f>
        <v>#VALUE!</v>
      </c>
      <c r="DT38" s="688" t="e">
        <f aca="false">IF(DT31="","",DT37/'Executive Summary'!$O$5*'Executive Summary'!$O$6)</f>
        <v>#VALUE!</v>
      </c>
      <c r="DU38" s="688" t="e">
        <f aca="false">IF(DU31="","",DU37/'Executive Summary'!$O$5*'Executive Summary'!$O$6)</f>
        <v>#VALUE!</v>
      </c>
      <c r="DV38" s="690" t="e">
        <f aca="false">IF(DV31="","",DV37/'Executive Summary'!$O$5*'Executive Summary'!$O$6)</f>
        <v>#VALUE!</v>
      </c>
    </row>
    <row r="39" s="683" customFormat="true" ht="13.5" hidden="false" customHeight="true" outlineLevel="0" collapsed="false">
      <c r="A39" s="236"/>
      <c r="B39" s="69" t="str">
        <f aca="false">"Total Distributions ("&amp;B29&amp;")"</f>
        <v>Total Distributions (Hurdle 1)</v>
      </c>
      <c r="C39" s="242"/>
      <c r="D39" s="242"/>
      <c r="E39" s="242"/>
      <c r="F39" s="688" t="str">
        <f aca="false">IF(F31="","",SUM(F37:F38))</f>
        <v/>
      </c>
      <c r="G39" s="689" t="e">
        <f aca="false">IF(G31="","",SUM(G37:G38))</f>
        <v>#VALUE!</v>
      </c>
      <c r="H39" s="688" t="e">
        <f aca="false">IF(H31="","",SUM(H37:H38))</f>
        <v>#VALUE!</v>
      </c>
      <c r="I39" s="688" t="e">
        <f aca="false">IF(I31="","",SUM(I37:I38))</f>
        <v>#VALUE!</v>
      </c>
      <c r="J39" s="688" t="e">
        <f aca="false">IF(J31="","",SUM(J37:J38))</f>
        <v>#VALUE!</v>
      </c>
      <c r="K39" s="688" t="e">
        <f aca="false">IF(K31="","",SUM(K37:K38))</f>
        <v>#VALUE!</v>
      </c>
      <c r="L39" s="688" t="e">
        <f aca="false">IF(L31="","",SUM(L37:L38))</f>
        <v>#VALUE!</v>
      </c>
      <c r="M39" s="688" t="e">
        <f aca="false">IF(M31="","",SUM(M37:M38))</f>
        <v>#VALUE!</v>
      </c>
      <c r="N39" s="688" t="e">
        <f aca="false">IF(N31="","",SUM(N37:N38))</f>
        <v>#VALUE!</v>
      </c>
      <c r="O39" s="688" t="e">
        <f aca="false">IF(O31="","",SUM(O37:O38))</f>
        <v>#VALUE!</v>
      </c>
      <c r="P39" s="688" t="e">
        <f aca="false">IF(P31="","",SUM(P37:P38))</f>
        <v>#VALUE!</v>
      </c>
      <c r="Q39" s="688" t="e">
        <f aca="false">IF(Q31="","",SUM(Q37:Q38))</f>
        <v>#VALUE!</v>
      </c>
      <c r="R39" s="688" t="e">
        <f aca="false">IF(R31="","",SUM(R37:R38))</f>
        <v>#VALUE!</v>
      </c>
      <c r="S39" s="689" t="e">
        <f aca="false">IF(S31="","",SUM(S37:S38))</f>
        <v>#VALUE!</v>
      </c>
      <c r="T39" s="688" t="e">
        <f aca="false">IF(T31="","",SUM(T37:T38))</f>
        <v>#VALUE!</v>
      </c>
      <c r="U39" s="688" t="e">
        <f aca="false">IF(U31="","",SUM(U37:U38))</f>
        <v>#VALUE!</v>
      </c>
      <c r="V39" s="688" t="e">
        <f aca="false">IF(V31="","",SUM(V37:V38))</f>
        <v>#VALUE!</v>
      </c>
      <c r="W39" s="688" t="e">
        <f aca="false">IF(W31="","",SUM(W37:W38))</f>
        <v>#VALUE!</v>
      </c>
      <c r="X39" s="688" t="e">
        <f aca="false">IF(X31="","",SUM(X37:X38))</f>
        <v>#VALUE!</v>
      </c>
      <c r="Y39" s="688" t="e">
        <f aca="false">IF(Y31="","",SUM(Y37:Y38))</f>
        <v>#VALUE!</v>
      </c>
      <c r="Z39" s="688" t="e">
        <f aca="false">IF(Z31="","",SUM(Z37:Z38))</f>
        <v>#VALUE!</v>
      </c>
      <c r="AA39" s="688" t="e">
        <f aca="false">IF(AA31="","",SUM(AA37:AA38))</f>
        <v>#VALUE!</v>
      </c>
      <c r="AB39" s="688" t="e">
        <f aca="false">IF(AB31="","",SUM(AB37:AB38))</f>
        <v>#VALUE!</v>
      </c>
      <c r="AC39" s="688" t="e">
        <f aca="false">IF(AC31="","",SUM(AC37:AC38))</f>
        <v>#VALUE!</v>
      </c>
      <c r="AD39" s="688" t="e">
        <f aca="false">IF(AD31="","",SUM(AD37:AD38))</f>
        <v>#VALUE!</v>
      </c>
      <c r="AE39" s="689" t="e">
        <f aca="false">IF(AE31="","",SUM(AE37:AE38))</f>
        <v>#VALUE!</v>
      </c>
      <c r="AF39" s="688" t="e">
        <f aca="false">IF(AF31="","",SUM(AF37:AF38))</f>
        <v>#VALUE!</v>
      </c>
      <c r="AG39" s="688" t="e">
        <f aca="false">IF(AG31="","",SUM(AG37:AG38))</f>
        <v>#VALUE!</v>
      </c>
      <c r="AH39" s="688" t="e">
        <f aca="false">IF(AH31="","",SUM(AH37:AH38))</f>
        <v>#VALUE!</v>
      </c>
      <c r="AI39" s="688" t="e">
        <f aca="false">IF(AI31="","",SUM(AI37:AI38))</f>
        <v>#VALUE!</v>
      </c>
      <c r="AJ39" s="688" t="e">
        <f aca="false">IF(AJ31="","",SUM(AJ37:AJ38))</f>
        <v>#VALUE!</v>
      </c>
      <c r="AK39" s="688" t="e">
        <f aca="false">IF(AK31="","",SUM(AK37:AK38))</f>
        <v>#VALUE!</v>
      </c>
      <c r="AL39" s="688" t="e">
        <f aca="false">IF(AL31="","",SUM(AL37:AL38))</f>
        <v>#VALUE!</v>
      </c>
      <c r="AM39" s="688" t="e">
        <f aca="false">IF(AM31="","",SUM(AM37:AM38))</f>
        <v>#VALUE!</v>
      </c>
      <c r="AN39" s="688" t="e">
        <f aca="false">IF(AN31="","",SUM(AN37:AN38))</f>
        <v>#VALUE!</v>
      </c>
      <c r="AO39" s="688" t="e">
        <f aca="false">IF(AO31="","",SUM(AO37:AO38))</f>
        <v>#VALUE!</v>
      </c>
      <c r="AP39" s="688" t="e">
        <f aca="false">IF(AP31="","",SUM(AP37:AP38))</f>
        <v>#VALUE!</v>
      </c>
      <c r="AQ39" s="689" t="e">
        <f aca="false">IF(AQ31="","",SUM(AQ37:AQ38))</f>
        <v>#VALUE!</v>
      </c>
      <c r="AR39" s="688" t="e">
        <f aca="false">IF(AR31="","",SUM(AR37:AR38))</f>
        <v>#VALUE!</v>
      </c>
      <c r="AS39" s="688" t="e">
        <f aca="false">IF(AS31="","",SUM(AS37:AS38))</f>
        <v>#VALUE!</v>
      </c>
      <c r="AT39" s="688" t="e">
        <f aca="false">IF(AT31="","",SUM(AT37:AT38))</f>
        <v>#VALUE!</v>
      </c>
      <c r="AU39" s="688" t="e">
        <f aca="false">IF(AU31="","",SUM(AU37:AU38))</f>
        <v>#VALUE!</v>
      </c>
      <c r="AV39" s="688" t="e">
        <f aca="false">IF(AV31="","",SUM(AV37:AV38))</f>
        <v>#VALUE!</v>
      </c>
      <c r="AW39" s="688" t="e">
        <f aca="false">IF(AW31="","",SUM(AW37:AW38))</f>
        <v>#VALUE!</v>
      </c>
      <c r="AX39" s="688" t="e">
        <f aca="false">IF(AX31="","",SUM(AX37:AX38))</f>
        <v>#VALUE!</v>
      </c>
      <c r="AY39" s="688" t="e">
        <f aca="false">IF(AY31="","",SUM(AY37:AY38))</f>
        <v>#VALUE!</v>
      </c>
      <c r="AZ39" s="688" t="e">
        <f aca="false">IF(AZ31="","",SUM(AZ37:AZ38))</f>
        <v>#VALUE!</v>
      </c>
      <c r="BA39" s="688" t="e">
        <f aca="false">IF(BA31="","",SUM(BA37:BA38))</f>
        <v>#VALUE!</v>
      </c>
      <c r="BB39" s="688" t="e">
        <f aca="false">IF(BB31="","",SUM(BB37:BB38))</f>
        <v>#VALUE!</v>
      </c>
      <c r="BC39" s="689" t="e">
        <f aca="false">IF(BC31="","",SUM(BC37:BC38))</f>
        <v>#VALUE!</v>
      </c>
      <c r="BD39" s="688" t="e">
        <f aca="false">IF(BD31="","",SUM(BD37:BD38))</f>
        <v>#VALUE!</v>
      </c>
      <c r="BE39" s="688" t="e">
        <f aca="false">IF(BE31="","",SUM(BE37:BE38))</f>
        <v>#VALUE!</v>
      </c>
      <c r="BF39" s="688" t="e">
        <f aca="false">IF(BF31="","",SUM(BF37:BF38))</f>
        <v>#VALUE!</v>
      </c>
      <c r="BG39" s="688" t="e">
        <f aca="false">IF(BG31="","",SUM(BG37:BG38))</f>
        <v>#VALUE!</v>
      </c>
      <c r="BH39" s="688" t="e">
        <f aca="false">IF(BH31="","",SUM(BH37:BH38))</f>
        <v>#VALUE!</v>
      </c>
      <c r="BI39" s="688" t="e">
        <f aca="false">IF(BI31="","",SUM(BI37:BI38))</f>
        <v>#VALUE!</v>
      </c>
      <c r="BJ39" s="688" t="e">
        <f aca="false">IF(BJ31="","",SUM(BJ37:BJ38))</f>
        <v>#VALUE!</v>
      </c>
      <c r="BK39" s="688" t="e">
        <f aca="false">IF(BK31="","",SUM(BK37:BK38))</f>
        <v>#VALUE!</v>
      </c>
      <c r="BL39" s="688" t="e">
        <f aca="false">IF(BL31="","",SUM(BL37:BL38))</f>
        <v>#VALUE!</v>
      </c>
      <c r="BM39" s="688" t="e">
        <f aca="false">IF(BM31="","",SUM(BM37:BM38))</f>
        <v>#VALUE!</v>
      </c>
      <c r="BN39" s="688" t="e">
        <f aca="false">IF(BN31="","",SUM(BN37:BN38))</f>
        <v>#VALUE!</v>
      </c>
      <c r="BO39" s="689" t="e">
        <f aca="false">IF(BO31="","",SUM(BO37:BO38))</f>
        <v>#VALUE!</v>
      </c>
      <c r="BP39" s="688" t="e">
        <f aca="false">IF(BP31="","",SUM(BP37:BP38))</f>
        <v>#VALUE!</v>
      </c>
      <c r="BQ39" s="688" t="e">
        <f aca="false">IF(BQ31="","",SUM(BQ37:BQ38))</f>
        <v>#VALUE!</v>
      </c>
      <c r="BR39" s="688" t="e">
        <f aca="false">IF(BR31="","",SUM(BR37:BR38))</f>
        <v>#VALUE!</v>
      </c>
      <c r="BS39" s="688" t="e">
        <f aca="false">IF(BS31="","",SUM(BS37:BS38))</f>
        <v>#VALUE!</v>
      </c>
      <c r="BT39" s="688" t="e">
        <f aca="false">IF(BT31="","",SUM(BT37:BT38))</f>
        <v>#VALUE!</v>
      </c>
      <c r="BU39" s="688" t="e">
        <f aca="false">IF(BU31="","",SUM(BU37:BU38))</f>
        <v>#VALUE!</v>
      </c>
      <c r="BV39" s="688" t="e">
        <f aca="false">IF(BV31="","",SUM(BV37:BV38))</f>
        <v>#VALUE!</v>
      </c>
      <c r="BW39" s="688" t="e">
        <f aca="false">IF(BW31="","",SUM(BW37:BW38))</f>
        <v>#VALUE!</v>
      </c>
      <c r="BX39" s="688" t="e">
        <f aca="false">IF(BX31="","",SUM(BX37:BX38))</f>
        <v>#VALUE!</v>
      </c>
      <c r="BY39" s="688" t="e">
        <f aca="false">IF(BY31="","",SUM(BY37:BY38))</f>
        <v>#VALUE!</v>
      </c>
      <c r="BZ39" s="688" t="e">
        <f aca="false">IF(BZ31="","",SUM(BZ37:BZ38))</f>
        <v>#VALUE!</v>
      </c>
      <c r="CA39" s="689" t="e">
        <f aca="false">IF(CA31="","",SUM(CA37:CA38))</f>
        <v>#VALUE!</v>
      </c>
      <c r="CB39" s="688" t="e">
        <f aca="false">IF(CB31="","",SUM(CB37:CB38))</f>
        <v>#VALUE!</v>
      </c>
      <c r="CC39" s="688" t="e">
        <f aca="false">IF(CC31="","",SUM(CC37:CC38))</f>
        <v>#VALUE!</v>
      </c>
      <c r="CD39" s="688" t="e">
        <f aca="false">IF(CD31="","",SUM(CD37:CD38))</f>
        <v>#VALUE!</v>
      </c>
      <c r="CE39" s="688" t="e">
        <f aca="false">IF(CE31="","",SUM(CE37:CE38))</f>
        <v>#VALUE!</v>
      </c>
      <c r="CF39" s="688" t="e">
        <f aca="false">IF(CF31="","",SUM(CF37:CF38))</f>
        <v>#VALUE!</v>
      </c>
      <c r="CG39" s="688" t="e">
        <f aca="false">IF(CG31="","",SUM(CG37:CG38))</f>
        <v>#VALUE!</v>
      </c>
      <c r="CH39" s="688" t="e">
        <f aca="false">IF(CH31="","",SUM(CH37:CH38))</f>
        <v>#VALUE!</v>
      </c>
      <c r="CI39" s="688" t="e">
        <f aca="false">IF(CI31="","",SUM(CI37:CI38))</f>
        <v>#VALUE!</v>
      </c>
      <c r="CJ39" s="688" t="e">
        <f aca="false">IF(CJ31="","",SUM(CJ37:CJ38))</f>
        <v>#VALUE!</v>
      </c>
      <c r="CK39" s="688" t="e">
        <f aca="false">IF(CK31="","",SUM(CK37:CK38))</f>
        <v>#VALUE!</v>
      </c>
      <c r="CL39" s="688" t="e">
        <f aca="false">IF(CL31="","",SUM(CL37:CL38))</f>
        <v>#VALUE!</v>
      </c>
      <c r="CM39" s="689" t="e">
        <f aca="false">IF(CM31="","",SUM(CM37:CM38))</f>
        <v>#VALUE!</v>
      </c>
      <c r="CN39" s="688" t="e">
        <f aca="false">IF(CN31="","",SUM(CN37:CN38))</f>
        <v>#VALUE!</v>
      </c>
      <c r="CO39" s="688" t="e">
        <f aca="false">IF(CO31="","",SUM(CO37:CO38))</f>
        <v>#VALUE!</v>
      </c>
      <c r="CP39" s="688" t="e">
        <f aca="false">IF(CP31="","",SUM(CP37:CP38))</f>
        <v>#VALUE!</v>
      </c>
      <c r="CQ39" s="688" t="e">
        <f aca="false">IF(CQ31="","",SUM(CQ37:CQ38))</f>
        <v>#VALUE!</v>
      </c>
      <c r="CR39" s="688" t="e">
        <f aca="false">IF(CR31="","",SUM(CR37:CR38))</f>
        <v>#VALUE!</v>
      </c>
      <c r="CS39" s="688" t="e">
        <f aca="false">IF(CS31="","",SUM(CS37:CS38))</f>
        <v>#VALUE!</v>
      </c>
      <c r="CT39" s="688" t="e">
        <f aca="false">IF(CT31="","",SUM(CT37:CT38))</f>
        <v>#VALUE!</v>
      </c>
      <c r="CU39" s="688" t="e">
        <f aca="false">IF(CU31="","",SUM(CU37:CU38))</f>
        <v>#VALUE!</v>
      </c>
      <c r="CV39" s="688" t="e">
        <f aca="false">IF(CV31="","",SUM(CV37:CV38))</f>
        <v>#VALUE!</v>
      </c>
      <c r="CW39" s="688" t="e">
        <f aca="false">IF(CW31="","",SUM(CW37:CW38))</f>
        <v>#VALUE!</v>
      </c>
      <c r="CX39" s="688" t="e">
        <f aca="false">IF(CX31="","",SUM(CX37:CX38))</f>
        <v>#VALUE!</v>
      </c>
      <c r="CY39" s="689" t="e">
        <f aca="false">IF(CY31="","",SUM(CY37:CY38))</f>
        <v>#VALUE!</v>
      </c>
      <c r="CZ39" s="688" t="e">
        <f aca="false">IF(CZ31="","",SUM(CZ37:CZ38))</f>
        <v>#VALUE!</v>
      </c>
      <c r="DA39" s="688" t="e">
        <f aca="false">IF(DA31="","",SUM(DA37:DA38))</f>
        <v>#VALUE!</v>
      </c>
      <c r="DB39" s="688" t="e">
        <f aca="false">IF(DB31="","",SUM(DB37:DB38))</f>
        <v>#VALUE!</v>
      </c>
      <c r="DC39" s="688" t="e">
        <f aca="false">IF(DC31="","",SUM(DC37:DC38))</f>
        <v>#VALUE!</v>
      </c>
      <c r="DD39" s="688" t="e">
        <f aca="false">IF(DD31="","",SUM(DD37:DD38))</f>
        <v>#VALUE!</v>
      </c>
      <c r="DE39" s="688" t="e">
        <f aca="false">IF(DE31="","",SUM(DE37:DE38))</f>
        <v>#VALUE!</v>
      </c>
      <c r="DF39" s="688" t="e">
        <f aca="false">IF(DF31="","",SUM(DF37:DF38))</f>
        <v>#VALUE!</v>
      </c>
      <c r="DG39" s="688" t="e">
        <f aca="false">IF(DG31="","",SUM(DG37:DG38))</f>
        <v>#VALUE!</v>
      </c>
      <c r="DH39" s="688" t="e">
        <f aca="false">IF(DH31="","",SUM(DH37:DH38))</f>
        <v>#VALUE!</v>
      </c>
      <c r="DI39" s="688" t="e">
        <f aca="false">IF(DI31="","",SUM(DI37:DI38))</f>
        <v>#VALUE!</v>
      </c>
      <c r="DJ39" s="688" t="e">
        <f aca="false">IF(DJ31="","",SUM(DJ37:DJ38))</f>
        <v>#VALUE!</v>
      </c>
      <c r="DK39" s="689" t="e">
        <f aca="false">IF(DK31="","",SUM(DK37:DK38))</f>
        <v>#VALUE!</v>
      </c>
      <c r="DL39" s="688" t="e">
        <f aca="false">IF(DL31="","",SUM(DL37:DL38))</f>
        <v>#VALUE!</v>
      </c>
      <c r="DM39" s="688" t="e">
        <f aca="false">IF(DM31="","",SUM(DM37:DM38))</f>
        <v>#VALUE!</v>
      </c>
      <c r="DN39" s="688" t="e">
        <f aca="false">IF(DN31="","",SUM(DN37:DN38))</f>
        <v>#VALUE!</v>
      </c>
      <c r="DO39" s="688" t="e">
        <f aca="false">IF(DO31="","",SUM(DO37:DO38))</f>
        <v>#VALUE!</v>
      </c>
      <c r="DP39" s="688" t="e">
        <f aca="false">IF(DP31="","",SUM(DP37:DP38))</f>
        <v>#VALUE!</v>
      </c>
      <c r="DQ39" s="688" t="e">
        <f aca="false">IF(DQ31="","",SUM(DQ37:DQ38))</f>
        <v>#VALUE!</v>
      </c>
      <c r="DR39" s="688" t="e">
        <f aca="false">IF(DR31="","",SUM(DR37:DR38))</f>
        <v>#VALUE!</v>
      </c>
      <c r="DS39" s="688" t="e">
        <f aca="false">IF(DS31="","",SUM(DS37:DS38))</f>
        <v>#VALUE!</v>
      </c>
      <c r="DT39" s="688" t="e">
        <f aca="false">IF(DT31="","",SUM(DT37:DT38))</f>
        <v>#VALUE!</v>
      </c>
      <c r="DU39" s="688" t="e">
        <f aca="false">IF(DU31="","",SUM(DU37:DU38))</f>
        <v>#VALUE!</v>
      </c>
      <c r="DV39" s="690" t="e">
        <f aca="false">IF(DV31="","",SUM(DV37:DV38))</f>
        <v>#VALUE!</v>
      </c>
    </row>
    <row r="40" s="683" customFormat="true" ht="13.5" hidden="false" customHeight="true" outlineLevel="0" collapsed="false">
      <c r="A40" s="236"/>
      <c r="B40" s="95" t="s">
        <v>652</v>
      </c>
      <c r="C40" s="268"/>
      <c r="D40" s="268"/>
      <c r="E40" s="268"/>
      <c r="F40" s="696" t="str">
        <f aca="false">IF(F31="","",MAX(F6-F39,0))</f>
        <v/>
      </c>
      <c r="G40" s="697" t="e">
        <f aca="false">IF(G31="","",MAX(G6-G39,0))</f>
        <v>#VALUE!</v>
      </c>
      <c r="H40" s="696" t="e">
        <f aca="false">IF(H31="","",MAX(H6-H39,0))</f>
        <v>#VALUE!</v>
      </c>
      <c r="I40" s="696" t="e">
        <f aca="false">IF(I31="","",MAX(I6-I39,0))</f>
        <v>#VALUE!</v>
      </c>
      <c r="J40" s="696" t="e">
        <f aca="false">IF(J31="","",MAX(J6-J39,0))</f>
        <v>#VALUE!</v>
      </c>
      <c r="K40" s="696" t="e">
        <f aca="false">IF(K31="","",MAX(K6-K39,0))</f>
        <v>#VALUE!</v>
      </c>
      <c r="L40" s="696" t="e">
        <f aca="false">IF(L31="","",MAX(L6-L39,0))</f>
        <v>#VALUE!</v>
      </c>
      <c r="M40" s="696" t="e">
        <f aca="false">IF(M31="","",MAX(M6-M39,0))</f>
        <v>#VALUE!</v>
      </c>
      <c r="N40" s="696" t="e">
        <f aca="false">IF(N31="","",MAX(N6-N39,0))</f>
        <v>#VALUE!</v>
      </c>
      <c r="O40" s="696" t="e">
        <f aca="false">IF(O31="","",MAX(O6-O39,0))</f>
        <v>#VALUE!</v>
      </c>
      <c r="P40" s="696" t="e">
        <f aca="false">IF(P31="","",MAX(P6-P39,0))</f>
        <v>#VALUE!</v>
      </c>
      <c r="Q40" s="696" t="e">
        <f aca="false">IF(Q31="","",MAX(Q6-Q39,0))</f>
        <v>#VALUE!</v>
      </c>
      <c r="R40" s="696" t="e">
        <f aca="false">IF(R31="","",MAX(R6-R39,0))</f>
        <v>#VALUE!</v>
      </c>
      <c r="S40" s="697" t="e">
        <f aca="false">IF(S31="","",MAX(S6-S39,0))</f>
        <v>#VALUE!</v>
      </c>
      <c r="T40" s="696" t="e">
        <f aca="false">IF(T31="","",MAX(T6-T39,0))</f>
        <v>#VALUE!</v>
      </c>
      <c r="U40" s="696" t="e">
        <f aca="false">IF(U31="","",MAX(U6-U39,0))</f>
        <v>#VALUE!</v>
      </c>
      <c r="V40" s="696" t="e">
        <f aca="false">IF(V31="","",MAX(V6-V39,0))</f>
        <v>#VALUE!</v>
      </c>
      <c r="W40" s="696" t="e">
        <f aca="false">IF(W31="","",MAX(W6-W39,0))</f>
        <v>#VALUE!</v>
      </c>
      <c r="X40" s="696" t="e">
        <f aca="false">IF(X31="","",MAX(X6-X39,0))</f>
        <v>#VALUE!</v>
      </c>
      <c r="Y40" s="696" t="e">
        <f aca="false">IF(Y31="","",MAX(Y6-Y39,0))</f>
        <v>#VALUE!</v>
      </c>
      <c r="Z40" s="696" t="e">
        <f aca="false">IF(Z31="","",MAX(Z6-Z39,0))</f>
        <v>#VALUE!</v>
      </c>
      <c r="AA40" s="696" t="e">
        <f aca="false">IF(AA31="","",MAX(AA6-AA39,0))</f>
        <v>#VALUE!</v>
      </c>
      <c r="AB40" s="696" t="e">
        <f aca="false">IF(AB31="","",MAX(AB6-AB39,0))</f>
        <v>#VALUE!</v>
      </c>
      <c r="AC40" s="696" t="e">
        <f aca="false">IF(AC31="","",MAX(AC6-AC39,0))</f>
        <v>#VALUE!</v>
      </c>
      <c r="AD40" s="696" t="e">
        <f aca="false">IF(AD31="","",MAX(AD6-AD39,0))</f>
        <v>#VALUE!</v>
      </c>
      <c r="AE40" s="697" t="e">
        <f aca="false">IF(AE31="","",MAX(AE6-AE39,0))</f>
        <v>#VALUE!</v>
      </c>
      <c r="AF40" s="696" t="e">
        <f aca="false">IF(AF31="","",MAX(AF6-AF39,0))</f>
        <v>#VALUE!</v>
      </c>
      <c r="AG40" s="696" t="e">
        <f aca="false">IF(AG31="","",MAX(AG6-AG39,0))</f>
        <v>#VALUE!</v>
      </c>
      <c r="AH40" s="696" t="e">
        <f aca="false">IF(AH31="","",MAX(AH6-AH39,0))</f>
        <v>#VALUE!</v>
      </c>
      <c r="AI40" s="696" t="e">
        <f aca="false">IF(AI31="","",MAX(AI6-AI39,0))</f>
        <v>#VALUE!</v>
      </c>
      <c r="AJ40" s="696" t="e">
        <f aca="false">IF(AJ31="","",MAX(AJ6-AJ39,0))</f>
        <v>#VALUE!</v>
      </c>
      <c r="AK40" s="696" t="e">
        <f aca="false">IF(AK31="","",MAX(AK6-AK39,0))</f>
        <v>#VALUE!</v>
      </c>
      <c r="AL40" s="696" t="e">
        <f aca="false">IF(AL31="","",MAX(AL6-AL39,0))</f>
        <v>#VALUE!</v>
      </c>
      <c r="AM40" s="696" t="e">
        <f aca="false">IF(AM31="","",MAX(AM6-AM39,0))</f>
        <v>#VALUE!</v>
      </c>
      <c r="AN40" s="696" t="e">
        <f aca="false">IF(AN31="","",MAX(AN6-AN39,0))</f>
        <v>#VALUE!</v>
      </c>
      <c r="AO40" s="696" t="e">
        <f aca="false">IF(AO31="","",MAX(AO6-AO39,0))</f>
        <v>#VALUE!</v>
      </c>
      <c r="AP40" s="696" t="e">
        <f aca="false">IF(AP31="","",MAX(AP6-AP39,0))</f>
        <v>#VALUE!</v>
      </c>
      <c r="AQ40" s="697" t="e">
        <f aca="false">IF(AQ31="","",MAX(AQ6-AQ39,0))</f>
        <v>#VALUE!</v>
      </c>
      <c r="AR40" s="696" t="e">
        <f aca="false">IF(AR31="","",MAX(AR6-AR39,0))</f>
        <v>#VALUE!</v>
      </c>
      <c r="AS40" s="696" t="e">
        <f aca="false">IF(AS31="","",MAX(AS6-AS39,0))</f>
        <v>#VALUE!</v>
      </c>
      <c r="AT40" s="696" t="e">
        <f aca="false">IF(AT31="","",MAX(AT6-AT39,0))</f>
        <v>#VALUE!</v>
      </c>
      <c r="AU40" s="696" t="e">
        <f aca="false">IF(AU31="","",MAX(AU6-AU39,0))</f>
        <v>#VALUE!</v>
      </c>
      <c r="AV40" s="696" t="e">
        <f aca="false">IF(AV31="","",MAX(AV6-AV39,0))</f>
        <v>#VALUE!</v>
      </c>
      <c r="AW40" s="696" t="e">
        <f aca="false">IF(AW31="","",MAX(AW6-AW39,0))</f>
        <v>#VALUE!</v>
      </c>
      <c r="AX40" s="696" t="e">
        <f aca="false">IF(AX31="","",MAX(AX6-AX39,0))</f>
        <v>#VALUE!</v>
      </c>
      <c r="AY40" s="696" t="e">
        <f aca="false">IF(AY31="","",MAX(AY6-AY39,0))</f>
        <v>#VALUE!</v>
      </c>
      <c r="AZ40" s="696" t="e">
        <f aca="false">IF(AZ31="","",MAX(AZ6-AZ39,0))</f>
        <v>#VALUE!</v>
      </c>
      <c r="BA40" s="696" t="e">
        <f aca="false">IF(BA31="","",MAX(BA6-BA39,0))</f>
        <v>#VALUE!</v>
      </c>
      <c r="BB40" s="696" t="e">
        <f aca="false">IF(BB31="","",MAX(BB6-BB39,0))</f>
        <v>#VALUE!</v>
      </c>
      <c r="BC40" s="697" t="e">
        <f aca="false">IF(BC31="","",MAX(BC6-BC39,0))</f>
        <v>#VALUE!</v>
      </c>
      <c r="BD40" s="696" t="e">
        <f aca="false">IF(BD31="","",MAX(BD6-BD39,0))</f>
        <v>#VALUE!</v>
      </c>
      <c r="BE40" s="696" t="e">
        <f aca="false">IF(BE31="","",MAX(BE6-BE39,0))</f>
        <v>#VALUE!</v>
      </c>
      <c r="BF40" s="696" t="e">
        <f aca="false">IF(BF31="","",MAX(BF6-BF39,0))</f>
        <v>#VALUE!</v>
      </c>
      <c r="BG40" s="696" t="e">
        <f aca="false">IF(BG31="","",MAX(BG6-BG39,0))</f>
        <v>#VALUE!</v>
      </c>
      <c r="BH40" s="696" t="e">
        <f aca="false">IF(BH31="","",MAX(BH6-BH39,0))</f>
        <v>#VALUE!</v>
      </c>
      <c r="BI40" s="696" t="e">
        <f aca="false">IF(BI31="","",MAX(BI6-BI39,0))</f>
        <v>#VALUE!</v>
      </c>
      <c r="BJ40" s="696" t="e">
        <f aca="false">IF(BJ31="","",MAX(BJ6-BJ39,0))</f>
        <v>#VALUE!</v>
      </c>
      <c r="BK40" s="696" t="e">
        <f aca="false">IF(BK31="","",MAX(BK6-BK39,0))</f>
        <v>#VALUE!</v>
      </c>
      <c r="BL40" s="696" t="e">
        <f aca="false">IF(BL31="","",MAX(BL6-BL39,0))</f>
        <v>#VALUE!</v>
      </c>
      <c r="BM40" s="696" t="e">
        <f aca="false">IF(BM31="","",MAX(BM6-BM39,0))</f>
        <v>#VALUE!</v>
      </c>
      <c r="BN40" s="696" t="e">
        <f aca="false">IF(BN31="","",MAX(BN6-BN39,0))</f>
        <v>#VALUE!</v>
      </c>
      <c r="BO40" s="697" t="e">
        <f aca="false">IF(BO31="","",MAX(BO6-BO39,0))</f>
        <v>#VALUE!</v>
      </c>
      <c r="BP40" s="696" t="e">
        <f aca="false">IF(BP31="","",MAX(BP6-BP39,0))</f>
        <v>#VALUE!</v>
      </c>
      <c r="BQ40" s="696" t="e">
        <f aca="false">IF(BQ31="","",MAX(BQ6-BQ39,0))</f>
        <v>#VALUE!</v>
      </c>
      <c r="BR40" s="696" t="e">
        <f aca="false">IF(BR31="","",MAX(BR6-BR39,0))</f>
        <v>#VALUE!</v>
      </c>
      <c r="BS40" s="696" t="e">
        <f aca="false">IF(BS31="","",MAX(BS6-BS39,0))</f>
        <v>#VALUE!</v>
      </c>
      <c r="BT40" s="696" t="e">
        <f aca="false">IF(BT31="","",MAX(BT6-BT39,0))</f>
        <v>#VALUE!</v>
      </c>
      <c r="BU40" s="696" t="e">
        <f aca="false">IF(BU31="","",MAX(BU6-BU39,0))</f>
        <v>#VALUE!</v>
      </c>
      <c r="BV40" s="696" t="e">
        <f aca="false">IF(BV31="","",MAX(BV6-BV39,0))</f>
        <v>#VALUE!</v>
      </c>
      <c r="BW40" s="696" t="e">
        <f aca="false">IF(BW31="","",MAX(BW6-BW39,0))</f>
        <v>#VALUE!</v>
      </c>
      <c r="BX40" s="696" t="e">
        <f aca="false">IF(BX31="","",MAX(BX6-BX39,0))</f>
        <v>#VALUE!</v>
      </c>
      <c r="BY40" s="696" t="e">
        <f aca="false">IF(BY31="","",MAX(BY6-BY39,0))</f>
        <v>#VALUE!</v>
      </c>
      <c r="BZ40" s="696" t="e">
        <f aca="false">IF(BZ31="","",MAX(BZ6-BZ39,0))</f>
        <v>#VALUE!</v>
      </c>
      <c r="CA40" s="697" t="e">
        <f aca="false">IF(CA31="","",MAX(CA6-CA39,0))</f>
        <v>#VALUE!</v>
      </c>
      <c r="CB40" s="696" t="e">
        <f aca="false">IF(CB31="","",MAX(CB6-CB39,0))</f>
        <v>#VALUE!</v>
      </c>
      <c r="CC40" s="696" t="e">
        <f aca="false">IF(CC31="","",MAX(CC6-CC39,0))</f>
        <v>#VALUE!</v>
      </c>
      <c r="CD40" s="696" t="e">
        <f aca="false">IF(CD31="","",MAX(CD6-CD39,0))</f>
        <v>#VALUE!</v>
      </c>
      <c r="CE40" s="696" t="e">
        <f aca="false">IF(CE31="","",MAX(CE6-CE39,0))</f>
        <v>#VALUE!</v>
      </c>
      <c r="CF40" s="696" t="e">
        <f aca="false">IF(CF31="","",MAX(CF6-CF39,0))</f>
        <v>#VALUE!</v>
      </c>
      <c r="CG40" s="696" t="e">
        <f aca="false">IF(CG31="","",MAX(CG6-CG39,0))</f>
        <v>#VALUE!</v>
      </c>
      <c r="CH40" s="696" t="e">
        <f aca="false">IF(CH31="","",MAX(CH6-CH39,0))</f>
        <v>#VALUE!</v>
      </c>
      <c r="CI40" s="696" t="e">
        <f aca="false">IF(CI31="","",MAX(CI6-CI39,0))</f>
        <v>#VALUE!</v>
      </c>
      <c r="CJ40" s="696" t="e">
        <f aca="false">IF(CJ31="","",MAX(CJ6-CJ39,0))</f>
        <v>#VALUE!</v>
      </c>
      <c r="CK40" s="696" t="e">
        <f aca="false">IF(CK31="","",MAX(CK6-CK39,0))</f>
        <v>#VALUE!</v>
      </c>
      <c r="CL40" s="696" t="e">
        <f aca="false">IF(CL31="","",MAX(CL6-CL39,0))</f>
        <v>#VALUE!</v>
      </c>
      <c r="CM40" s="697" t="e">
        <f aca="false">IF(CM31="","",MAX(CM6-CM39,0))</f>
        <v>#VALUE!</v>
      </c>
      <c r="CN40" s="696" t="e">
        <f aca="false">IF(CN31="","",MAX(CN6-CN39,0))</f>
        <v>#VALUE!</v>
      </c>
      <c r="CO40" s="696" t="e">
        <f aca="false">IF(CO31="","",MAX(CO6-CO39,0))</f>
        <v>#VALUE!</v>
      </c>
      <c r="CP40" s="696" t="e">
        <f aca="false">IF(CP31="","",MAX(CP6-CP39,0))</f>
        <v>#VALUE!</v>
      </c>
      <c r="CQ40" s="696" t="e">
        <f aca="false">IF(CQ31="","",MAX(CQ6-CQ39,0))</f>
        <v>#VALUE!</v>
      </c>
      <c r="CR40" s="696" t="e">
        <f aca="false">IF(CR31="","",MAX(CR6-CR39,0))</f>
        <v>#VALUE!</v>
      </c>
      <c r="CS40" s="696" t="e">
        <f aca="false">IF(CS31="","",MAX(CS6-CS39,0))</f>
        <v>#VALUE!</v>
      </c>
      <c r="CT40" s="696" t="e">
        <f aca="false">IF(CT31="","",MAX(CT6-CT39,0))</f>
        <v>#VALUE!</v>
      </c>
      <c r="CU40" s="696" t="e">
        <f aca="false">IF(CU31="","",MAX(CU6-CU39,0))</f>
        <v>#VALUE!</v>
      </c>
      <c r="CV40" s="696" t="e">
        <f aca="false">IF(CV31="","",MAX(CV6-CV39,0))</f>
        <v>#VALUE!</v>
      </c>
      <c r="CW40" s="696" t="e">
        <f aca="false">IF(CW31="","",MAX(CW6-CW39,0))</f>
        <v>#VALUE!</v>
      </c>
      <c r="CX40" s="696" t="e">
        <f aca="false">IF(CX31="","",MAX(CX6-CX39,0))</f>
        <v>#VALUE!</v>
      </c>
      <c r="CY40" s="697" t="e">
        <f aca="false">IF(CY31="","",MAX(CY6-CY39,0))</f>
        <v>#VALUE!</v>
      </c>
      <c r="CZ40" s="696" t="e">
        <f aca="false">IF(CZ31="","",MAX(CZ6-CZ39,0))</f>
        <v>#VALUE!</v>
      </c>
      <c r="DA40" s="696" t="e">
        <f aca="false">IF(DA31="","",MAX(DA6-DA39,0))</f>
        <v>#VALUE!</v>
      </c>
      <c r="DB40" s="696" t="e">
        <f aca="false">IF(DB31="","",MAX(DB6-DB39,0))</f>
        <v>#VALUE!</v>
      </c>
      <c r="DC40" s="696" t="e">
        <f aca="false">IF(DC31="","",MAX(DC6-DC39,0))</f>
        <v>#VALUE!</v>
      </c>
      <c r="DD40" s="696" t="e">
        <f aca="false">IF(DD31="","",MAX(DD6-DD39,0))</f>
        <v>#VALUE!</v>
      </c>
      <c r="DE40" s="696" t="e">
        <f aca="false">IF(DE31="","",MAX(DE6-DE39,0))</f>
        <v>#VALUE!</v>
      </c>
      <c r="DF40" s="696" t="e">
        <f aca="false">IF(DF31="","",MAX(DF6-DF39,0))</f>
        <v>#VALUE!</v>
      </c>
      <c r="DG40" s="696" t="e">
        <f aca="false">IF(DG31="","",MAX(DG6-DG39,0))</f>
        <v>#VALUE!</v>
      </c>
      <c r="DH40" s="696" t="e">
        <f aca="false">IF(DH31="","",MAX(DH6-DH39,0))</f>
        <v>#VALUE!</v>
      </c>
      <c r="DI40" s="696" t="e">
        <f aca="false">IF(DI31="","",MAX(DI6-DI39,0))</f>
        <v>#VALUE!</v>
      </c>
      <c r="DJ40" s="696" t="e">
        <f aca="false">IF(DJ31="","",MAX(DJ6-DJ39,0))</f>
        <v>#VALUE!</v>
      </c>
      <c r="DK40" s="697" t="e">
        <f aca="false">IF(DK31="","",MAX(DK6-DK39,0))</f>
        <v>#VALUE!</v>
      </c>
      <c r="DL40" s="696" t="e">
        <f aca="false">IF(DL31="","",MAX(DL6-DL39,0))</f>
        <v>#VALUE!</v>
      </c>
      <c r="DM40" s="696" t="e">
        <f aca="false">IF(DM31="","",MAX(DM6-DM39,0))</f>
        <v>#VALUE!</v>
      </c>
      <c r="DN40" s="696" t="e">
        <f aca="false">IF(DN31="","",MAX(DN6-DN39,0))</f>
        <v>#VALUE!</v>
      </c>
      <c r="DO40" s="696" t="e">
        <f aca="false">IF(DO31="","",MAX(DO6-DO39,0))</f>
        <v>#VALUE!</v>
      </c>
      <c r="DP40" s="696" t="e">
        <f aca="false">IF(DP31="","",MAX(DP6-DP39,0))</f>
        <v>#VALUE!</v>
      </c>
      <c r="DQ40" s="696" t="e">
        <f aca="false">IF(DQ31="","",MAX(DQ6-DQ39,0))</f>
        <v>#VALUE!</v>
      </c>
      <c r="DR40" s="696" t="e">
        <f aca="false">IF(DR31="","",MAX(DR6-DR39,0))</f>
        <v>#VALUE!</v>
      </c>
      <c r="DS40" s="696" t="e">
        <f aca="false">IF(DS31="","",MAX(DS6-DS39,0))</f>
        <v>#VALUE!</v>
      </c>
      <c r="DT40" s="696" t="e">
        <f aca="false">IF(DT31="","",MAX(DT6-DT39,0))</f>
        <v>#VALUE!</v>
      </c>
      <c r="DU40" s="696" t="e">
        <f aca="false">IF(DU31="","",MAX(DU6-DU39,0))</f>
        <v>#VALUE!</v>
      </c>
      <c r="DV40" s="698" t="e">
        <f aca="false">IF(DV31="","",MAX(DV6-DV39,0))</f>
        <v>#VALUE!</v>
      </c>
    </row>
    <row r="41" s="683" customFormat="true" ht="13.5" hidden="false" customHeight="true" outlineLevel="0" collapsed="false">
      <c r="A41" s="236"/>
      <c r="B41" s="69"/>
      <c r="C41" s="242"/>
      <c r="D41" s="242"/>
      <c r="E41" s="242"/>
      <c r="F41" s="688"/>
      <c r="G41" s="689"/>
      <c r="H41" s="688"/>
      <c r="I41" s="688"/>
      <c r="J41" s="688"/>
      <c r="K41" s="688"/>
      <c r="L41" s="688"/>
      <c r="M41" s="688"/>
      <c r="N41" s="688"/>
      <c r="O41" s="688"/>
      <c r="P41" s="688"/>
      <c r="Q41" s="688"/>
      <c r="R41" s="688"/>
      <c r="S41" s="689"/>
      <c r="T41" s="688"/>
      <c r="U41" s="688"/>
      <c r="V41" s="688"/>
      <c r="W41" s="688"/>
      <c r="X41" s="688"/>
      <c r="Y41" s="688"/>
      <c r="Z41" s="688"/>
      <c r="AA41" s="688"/>
      <c r="AB41" s="688"/>
      <c r="AC41" s="688"/>
      <c r="AD41" s="688"/>
      <c r="AE41" s="689"/>
      <c r="AF41" s="688"/>
      <c r="AG41" s="688"/>
      <c r="AH41" s="688"/>
      <c r="AI41" s="688"/>
      <c r="AJ41" s="688"/>
      <c r="AK41" s="688"/>
      <c r="AL41" s="688"/>
      <c r="AM41" s="688"/>
      <c r="AN41" s="688"/>
      <c r="AO41" s="688"/>
      <c r="AP41" s="688"/>
      <c r="AQ41" s="689"/>
      <c r="AR41" s="688"/>
      <c r="AS41" s="688"/>
      <c r="AT41" s="688"/>
      <c r="AU41" s="688"/>
      <c r="AV41" s="688"/>
      <c r="AW41" s="688"/>
      <c r="AX41" s="688"/>
      <c r="AY41" s="688"/>
      <c r="AZ41" s="688"/>
      <c r="BA41" s="688"/>
      <c r="BB41" s="688"/>
      <c r="BC41" s="689"/>
      <c r="BD41" s="688"/>
      <c r="BE41" s="688"/>
      <c r="BF41" s="688"/>
      <c r="BG41" s="688"/>
      <c r="BH41" s="688"/>
      <c r="BI41" s="688"/>
      <c r="BJ41" s="688"/>
      <c r="BK41" s="688"/>
      <c r="BL41" s="688"/>
      <c r="BM41" s="688"/>
      <c r="BN41" s="688"/>
      <c r="BO41" s="689"/>
      <c r="BP41" s="688"/>
      <c r="BQ41" s="688"/>
      <c r="BR41" s="688"/>
      <c r="BS41" s="688"/>
      <c r="BT41" s="688"/>
      <c r="BU41" s="688"/>
      <c r="BV41" s="688"/>
      <c r="BW41" s="688"/>
      <c r="BX41" s="688"/>
      <c r="BY41" s="688"/>
      <c r="BZ41" s="688"/>
      <c r="CA41" s="689"/>
      <c r="CB41" s="688"/>
      <c r="CC41" s="688"/>
      <c r="CD41" s="688"/>
      <c r="CE41" s="688"/>
      <c r="CF41" s="688"/>
      <c r="CG41" s="688"/>
      <c r="CH41" s="688"/>
      <c r="CI41" s="688"/>
      <c r="CJ41" s="688"/>
      <c r="CK41" s="688"/>
      <c r="CL41" s="688"/>
      <c r="CM41" s="689"/>
      <c r="CN41" s="688"/>
      <c r="CO41" s="688"/>
      <c r="CP41" s="688"/>
      <c r="CQ41" s="688"/>
      <c r="CR41" s="688"/>
      <c r="CS41" s="688"/>
      <c r="CT41" s="688"/>
      <c r="CU41" s="688"/>
      <c r="CV41" s="688"/>
      <c r="CW41" s="688"/>
      <c r="CX41" s="688"/>
      <c r="CY41" s="689"/>
      <c r="CZ41" s="688"/>
      <c r="DA41" s="688"/>
      <c r="DB41" s="688"/>
      <c r="DC41" s="688"/>
      <c r="DD41" s="688"/>
      <c r="DE41" s="688"/>
      <c r="DF41" s="688"/>
      <c r="DG41" s="688"/>
      <c r="DH41" s="688"/>
      <c r="DI41" s="688"/>
      <c r="DJ41" s="688"/>
      <c r="DK41" s="689"/>
      <c r="DL41" s="688"/>
      <c r="DM41" s="688"/>
      <c r="DN41" s="688"/>
      <c r="DO41" s="688"/>
      <c r="DP41" s="688"/>
      <c r="DQ41" s="688"/>
      <c r="DR41" s="688"/>
      <c r="DS41" s="688"/>
      <c r="DT41" s="688"/>
      <c r="DU41" s="688"/>
      <c r="DV41" s="690"/>
    </row>
    <row r="42" s="683" customFormat="true" ht="13.5" hidden="false" customHeight="true" outlineLevel="0" collapsed="false">
      <c r="A42" s="236"/>
      <c r="B42" s="21" t="s">
        <v>97</v>
      </c>
      <c r="C42" s="239"/>
      <c r="D42" s="239"/>
      <c r="E42" s="239"/>
      <c r="F42" s="680"/>
      <c r="G42" s="681"/>
      <c r="H42" s="680"/>
      <c r="I42" s="680"/>
      <c r="J42" s="680"/>
      <c r="K42" s="680"/>
      <c r="L42" s="680"/>
      <c r="M42" s="680"/>
      <c r="N42" s="680"/>
      <c r="O42" s="680"/>
      <c r="P42" s="680"/>
      <c r="Q42" s="680"/>
      <c r="R42" s="680"/>
      <c r="S42" s="681"/>
      <c r="T42" s="680"/>
      <c r="U42" s="680"/>
      <c r="V42" s="680"/>
      <c r="W42" s="680"/>
      <c r="X42" s="680"/>
      <c r="Y42" s="680"/>
      <c r="Z42" s="680"/>
      <c r="AA42" s="680"/>
      <c r="AB42" s="680"/>
      <c r="AC42" s="680"/>
      <c r="AD42" s="680"/>
      <c r="AE42" s="681"/>
      <c r="AF42" s="680"/>
      <c r="AG42" s="680"/>
      <c r="AH42" s="680"/>
      <c r="AI42" s="680"/>
      <c r="AJ42" s="680"/>
      <c r="AK42" s="680"/>
      <c r="AL42" s="680"/>
      <c r="AM42" s="680"/>
      <c r="AN42" s="680"/>
      <c r="AO42" s="680"/>
      <c r="AP42" s="680"/>
      <c r="AQ42" s="681"/>
      <c r="AR42" s="680"/>
      <c r="AS42" s="680"/>
      <c r="AT42" s="680"/>
      <c r="AU42" s="680"/>
      <c r="AV42" s="680"/>
      <c r="AW42" s="680"/>
      <c r="AX42" s="680"/>
      <c r="AY42" s="680"/>
      <c r="AZ42" s="680"/>
      <c r="BA42" s="680"/>
      <c r="BB42" s="680"/>
      <c r="BC42" s="681"/>
      <c r="BD42" s="680"/>
      <c r="BE42" s="680"/>
      <c r="BF42" s="680"/>
      <c r="BG42" s="680"/>
      <c r="BH42" s="680"/>
      <c r="BI42" s="680"/>
      <c r="BJ42" s="680"/>
      <c r="BK42" s="680"/>
      <c r="BL42" s="680"/>
      <c r="BM42" s="680"/>
      <c r="BN42" s="680"/>
      <c r="BO42" s="681"/>
      <c r="BP42" s="680"/>
      <c r="BQ42" s="680"/>
      <c r="BR42" s="680"/>
      <c r="BS42" s="680"/>
      <c r="BT42" s="680"/>
      <c r="BU42" s="680"/>
      <c r="BV42" s="680"/>
      <c r="BW42" s="680"/>
      <c r="BX42" s="680"/>
      <c r="BY42" s="680"/>
      <c r="BZ42" s="680"/>
      <c r="CA42" s="681"/>
      <c r="CB42" s="680"/>
      <c r="CC42" s="680"/>
      <c r="CD42" s="680"/>
      <c r="CE42" s="680"/>
      <c r="CF42" s="680"/>
      <c r="CG42" s="680"/>
      <c r="CH42" s="680"/>
      <c r="CI42" s="680"/>
      <c r="CJ42" s="680"/>
      <c r="CK42" s="680"/>
      <c r="CL42" s="680"/>
      <c r="CM42" s="681"/>
      <c r="CN42" s="680"/>
      <c r="CO42" s="680"/>
      <c r="CP42" s="680"/>
      <c r="CQ42" s="680"/>
      <c r="CR42" s="680"/>
      <c r="CS42" s="680"/>
      <c r="CT42" s="680"/>
      <c r="CU42" s="680"/>
      <c r="CV42" s="680"/>
      <c r="CW42" s="680"/>
      <c r="CX42" s="680"/>
      <c r="CY42" s="681"/>
      <c r="CZ42" s="680"/>
      <c r="DA42" s="680"/>
      <c r="DB42" s="680"/>
      <c r="DC42" s="680"/>
      <c r="DD42" s="680"/>
      <c r="DE42" s="680"/>
      <c r="DF42" s="680"/>
      <c r="DG42" s="680"/>
      <c r="DH42" s="680"/>
      <c r="DI42" s="680"/>
      <c r="DJ42" s="680"/>
      <c r="DK42" s="681"/>
      <c r="DL42" s="680"/>
      <c r="DM42" s="680"/>
      <c r="DN42" s="680"/>
      <c r="DO42" s="680"/>
      <c r="DP42" s="680"/>
      <c r="DQ42" s="680"/>
      <c r="DR42" s="680"/>
      <c r="DS42" s="680"/>
      <c r="DT42" s="680"/>
      <c r="DU42" s="680"/>
      <c r="DV42" s="682"/>
    </row>
    <row r="43" s="683" customFormat="true" ht="13.5" hidden="false" customHeight="true" outlineLevel="0" collapsed="false">
      <c r="A43" s="236"/>
      <c r="B43" s="95" t="s">
        <v>644</v>
      </c>
      <c r="C43" s="709" t="n">
        <f aca="false">'Executive Summary'!P21</f>
        <v>0.1</v>
      </c>
      <c r="D43" s="268"/>
      <c r="E43" s="268"/>
      <c r="F43" s="696"/>
      <c r="G43" s="697"/>
      <c r="H43" s="696"/>
      <c r="I43" s="696"/>
      <c r="J43" s="696"/>
      <c r="K43" s="696"/>
      <c r="L43" s="696"/>
      <c r="M43" s="696"/>
      <c r="N43" s="696"/>
      <c r="O43" s="696"/>
      <c r="P43" s="696"/>
      <c r="Q43" s="696"/>
      <c r="R43" s="696"/>
      <c r="S43" s="697"/>
      <c r="T43" s="696"/>
      <c r="U43" s="696"/>
      <c r="V43" s="696"/>
      <c r="W43" s="696"/>
      <c r="X43" s="696"/>
      <c r="Y43" s="696"/>
      <c r="Z43" s="696"/>
      <c r="AA43" s="696"/>
      <c r="AB43" s="696"/>
      <c r="AC43" s="696"/>
      <c r="AD43" s="696"/>
      <c r="AE43" s="697"/>
      <c r="AF43" s="696"/>
      <c r="AG43" s="696"/>
      <c r="AH43" s="696"/>
      <c r="AI43" s="696"/>
      <c r="AJ43" s="696"/>
      <c r="AK43" s="696"/>
      <c r="AL43" s="696"/>
      <c r="AM43" s="696"/>
      <c r="AN43" s="696"/>
      <c r="AO43" s="696"/>
      <c r="AP43" s="696"/>
      <c r="AQ43" s="697"/>
      <c r="AR43" s="696"/>
      <c r="AS43" s="696"/>
      <c r="AT43" s="696"/>
      <c r="AU43" s="696"/>
      <c r="AV43" s="696"/>
      <c r="AW43" s="696"/>
      <c r="AX43" s="696"/>
      <c r="AY43" s="696"/>
      <c r="AZ43" s="696"/>
      <c r="BA43" s="696"/>
      <c r="BB43" s="696"/>
      <c r="BC43" s="697"/>
      <c r="BD43" s="696"/>
      <c r="BE43" s="696"/>
      <c r="BF43" s="696"/>
      <c r="BG43" s="696"/>
      <c r="BH43" s="696"/>
      <c r="BI43" s="696"/>
      <c r="BJ43" s="696"/>
      <c r="BK43" s="696"/>
      <c r="BL43" s="696"/>
      <c r="BM43" s="696"/>
      <c r="BN43" s="696"/>
      <c r="BO43" s="697"/>
      <c r="BP43" s="696"/>
      <c r="BQ43" s="696"/>
      <c r="BR43" s="696"/>
      <c r="BS43" s="696"/>
      <c r="BT43" s="696"/>
      <c r="BU43" s="696"/>
      <c r="BV43" s="696"/>
      <c r="BW43" s="696"/>
      <c r="BX43" s="696"/>
      <c r="BY43" s="696"/>
      <c r="BZ43" s="696"/>
      <c r="CA43" s="697"/>
      <c r="CB43" s="696"/>
      <c r="CC43" s="696"/>
      <c r="CD43" s="696"/>
      <c r="CE43" s="696"/>
      <c r="CF43" s="696"/>
      <c r="CG43" s="696"/>
      <c r="CH43" s="696"/>
      <c r="CI43" s="696"/>
      <c r="CJ43" s="696"/>
      <c r="CK43" s="696"/>
      <c r="CL43" s="696"/>
      <c r="CM43" s="697"/>
      <c r="CN43" s="696"/>
      <c r="CO43" s="696"/>
      <c r="CP43" s="696"/>
      <c r="CQ43" s="696"/>
      <c r="CR43" s="696"/>
      <c r="CS43" s="696"/>
      <c r="CT43" s="696"/>
      <c r="CU43" s="696"/>
      <c r="CV43" s="696"/>
      <c r="CW43" s="696"/>
      <c r="CX43" s="696"/>
      <c r="CY43" s="697"/>
      <c r="CZ43" s="696"/>
      <c r="DA43" s="696"/>
      <c r="DB43" s="696"/>
      <c r="DC43" s="696"/>
      <c r="DD43" s="696"/>
      <c r="DE43" s="696"/>
      <c r="DF43" s="696"/>
      <c r="DG43" s="696"/>
      <c r="DH43" s="696"/>
      <c r="DI43" s="696"/>
      <c r="DJ43" s="696"/>
      <c r="DK43" s="697"/>
      <c r="DL43" s="696"/>
      <c r="DM43" s="696"/>
      <c r="DN43" s="696"/>
      <c r="DO43" s="696"/>
      <c r="DP43" s="696"/>
      <c r="DQ43" s="696"/>
      <c r="DR43" s="696"/>
      <c r="DS43" s="696"/>
      <c r="DT43" s="696"/>
      <c r="DU43" s="696"/>
      <c r="DV43" s="698"/>
    </row>
    <row r="44" s="683" customFormat="true" ht="13.5" hidden="false" customHeight="true" outlineLevel="0" collapsed="false">
      <c r="A44" s="236"/>
      <c r="B44" s="69" t="s">
        <v>645</v>
      </c>
      <c r="C44" s="242"/>
      <c r="D44" s="242"/>
      <c r="E44" s="242"/>
      <c r="F44" s="688" t="n">
        <f aca="false">IF(F5="","",E49)</f>
        <v>0</v>
      </c>
      <c r="G44" s="689" t="e">
        <f aca="false">IF(G5="","",F49)</f>
        <v>#VALUE!</v>
      </c>
      <c r="H44" s="688" t="e">
        <f aca="false">IF(H5="","",G49)</f>
        <v>#VALUE!</v>
      </c>
      <c r="I44" s="688" t="e">
        <f aca="false">IF(I5="","",H49)</f>
        <v>#VALUE!</v>
      </c>
      <c r="J44" s="688" t="e">
        <f aca="false">IF(J5="","",I49)</f>
        <v>#VALUE!</v>
      </c>
      <c r="K44" s="688" t="e">
        <f aca="false">IF(K5="","",J49)</f>
        <v>#VALUE!</v>
      </c>
      <c r="L44" s="688" t="e">
        <f aca="false">IF(L5="","",K49)</f>
        <v>#VALUE!</v>
      </c>
      <c r="M44" s="688" t="e">
        <f aca="false">IF(M5="","",L49)</f>
        <v>#VALUE!</v>
      </c>
      <c r="N44" s="688" t="e">
        <f aca="false">IF(N5="","",M49)</f>
        <v>#VALUE!</v>
      </c>
      <c r="O44" s="688" t="e">
        <f aca="false">IF(O5="","",N49)</f>
        <v>#VALUE!</v>
      </c>
      <c r="P44" s="688" t="e">
        <f aca="false">IF(P5="","",O49)</f>
        <v>#VALUE!</v>
      </c>
      <c r="Q44" s="688" t="e">
        <f aca="false">IF(Q5="","",P49)</f>
        <v>#VALUE!</v>
      </c>
      <c r="R44" s="688" t="e">
        <f aca="false">IF(R5="","",Q49)</f>
        <v>#VALUE!</v>
      </c>
      <c r="S44" s="689" t="e">
        <f aca="false">IF(S5="","",R49)</f>
        <v>#VALUE!</v>
      </c>
      <c r="T44" s="688" t="e">
        <f aca="false">IF(T5="","",S49)</f>
        <v>#VALUE!</v>
      </c>
      <c r="U44" s="688" t="e">
        <f aca="false">IF(U5="","",T49)</f>
        <v>#VALUE!</v>
      </c>
      <c r="V44" s="688" t="e">
        <f aca="false">IF(V5="","",U49)</f>
        <v>#VALUE!</v>
      </c>
      <c r="W44" s="688" t="e">
        <f aca="false">IF(W5="","",V49)</f>
        <v>#VALUE!</v>
      </c>
      <c r="X44" s="688" t="e">
        <f aca="false">IF(X5="","",W49)</f>
        <v>#VALUE!</v>
      </c>
      <c r="Y44" s="688" t="e">
        <f aca="false">IF(Y5="","",X49)</f>
        <v>#VALUE!</v>
      </c>
      <c r="Z44" s="688" t="e">
        <f aca="false">IF(Z5="","",Y49)</f>
        <v>#VALUE!</v>
      </c>
      <c r="AA44" s="688" t="e">
        <f aca="false">IF(AA5="","",Z49)</f>
        <v>#VALUE!</v>
      </c>
      <c r="AB44" s="688" t="e">
        <f aca="false">IF(AB5="","",AA49)</f>
        <v>#VALUE!</v>
      </c>
      <c r="AC44" s="688" t="e">
        <f aca="false">IF(AC5="","",AB49)</f>
        <v>#VALUE!</v>
      </c>
      <c r="AD44" s="688" t="e">
        <f aca="false">IF(AD5="","",AC49)</f>
        <v>#VALUE!</v>
      </c>
      <c r="AE44" s="689" t="e">
        <f aca="false">IF(AE5="","",AD49)</f>
        <v>#VALUE!</v>
      </c>
      <c r="AF44" s="688" t="e">
        <f aca="false">IF(AF5="","",AE49)</f>
        <v>#VALUE!</v>
      </c>
      <c r="AG44" s="688" t="e">
        <f aca="false">IF(AG5="","",AF49)</f>
        <v>#VALUE!</v>
      </c>
      <c r="AH44" s="688" t="e">
        <f aca="false">IF(AH5="","",AG49)</f>
        <v>#VALUE!</v>
      </c>
      <c r="AI44" s="688" t="e">
        <f aca="false">IF(AI5="","",AH49)</f>
        <v>#VALUE!</v>
      </c>
      <c r="AJ44" s="688" t="e">
        <f aca="false">IF(AJ5="","",AI49)</f>
        <v>#VALUE!</v>
      </c>
      <c r="AK44" s="688" t="e">
        <f aca="false">IF(AK5="","",AJ49)</f>
        <v>#VALUE!</v>
      </c>
      <c r="AL44" s="688" t="e">
        <f aca="false">IF(AL5="","",AK49)</f>
        <v>#VALUE!</v>
      </c>
      <c r="AM44" s="688" t="e">
        <f aca="false">IF(AM5="","",AL49)</f>
        <v>#VALUE!</v>
      </c>
      <c r="AN44" s="688" t="e">
        <f aca="false">IF(AN5="","",AM49)</f>
        <v>#VALUE!</v>
      </c>
      <c r="AO44" s="688" t="e">
        <f aca="false">IF(AO5="","",AN49)</f>
        <v>#VALUE!</v>
      </c>
      <c r="AP44" s="688" t="e">
        <f aca="false">IF(AP5="","",AO49)</f>
        <v>#VALUE!</v>
      </c>
      <c r="AQ44" s="689" t="e">
        <f aca="false">IF(AQ5="","",AP49)</f>
        <v>#VALUE!</v>
      </c>
      <c r="AR44" s="688" t="e">
        <f aca="false">IF(AR5="","",AQ49)</f>
        <v>#VALUE!</v>
      </c>
      <c r="AS44" s="688" t="e">
        <f aca="false">IF(AS5="","",AR49)</f>
        <v>#VALUE!</v>
      </c>
      <c r="AT44" s="688" t="e">
        <f aca="false">IF(AT5="","",AS49)</f>
        <v>#VALUE!</v>
      </c>
      <c r="AU44" s="688" t="e">
        <f aca="false">IF(AU5="","",AT49)</f>
        <v>#VALUE!</v>
      </c>
      <c r="AV44" s="688" t="e">
        <f aca="false">IF(AV5="","",AU49)</f>
        <v>#VALUE!</v>
      </c>
      <c r="AW44" s="688" t="e">
        <f aca="false">IF(AW5="","",AV49)</f>
        <v>#VALUE!</v>
      </c>
      <c r="AX44" s="688" t="e">
        <f aca="false">IF(AX5="","",AW49)</f>
        <v>#VALUE!</v>
      </c>
      <c r="AY44" s="688" t="e">
        <f aca="false">IF(AY5="","",AX49)</f>
        <v>#VALUE!</v>
      </c>
      <c r="AZ44" s="688" t="e">
        <f aca="false">IF(AZ5="","",AY49)</f>
        <v>#VALUE!</v>
      </c>
      <c r="BA44" s="688" t="e">
        <f aca="false">IF(BA5="","",AZ49)</f>
        <v>#VALUE!</v>
      </c>
      <c r="BB44" s="688" t="e">
        <f aca="false">IF(BB5="","",BA49)</f>
        <v>#VALUE!</v>
      </c>
      <c r="BC44" s="689" t="e">
        <f aca="false">IF(BC5="","",BB49)</f>
        <v>#VALUE!</v>
      </c>
      <c r="BD44" s="688" t="e">
        <f aca="false">IF(BD5="","",BC49)</f>
        <v>#VALUE!</v>
      </c>
      <c r="BE44" s="688" t="e">
        <f aca="false">IF(BE5="","",BD49)</f>
        <v>#VALUE!</v>
      </c>
      <c r="BF44" s="688" t="e">
        <f aca="false">IF(BF5="","",BE49)</f>
        <v>#VALUE!</v>
      </c>
      <c r="BG44" s="688" t="e">
        <f aca="false">IF(BG5="","",BF49)</f>
        <v>#VALUE!</v>
      </c>
      <c r="BH44" s="688" t="e">
        <f aca="false">IF(BH5="","",BG49)</f>
        <v>#VALUE!</v>
      </c>
      <c r="BI44" s="688" t="e">
        <f aca="false">IF(BI5="","",BH49)</f>
        <v>#VALUE!</v>
      </c>
      <c r="BJ44" s="688" t="e">
        <f aca="false">IF(BJ5="","",BI49)</f>
        <v>#VALUE!</v>
      </c>
      <c r="BK44" s="688" t="e">
        <f aca="false">IF(BK5="","",BJ49)</f>
        <v>#VALUE!</v>
      </c>
      <c r="BL44" s="688" t="e">
        <f aca="false">IF(BL5="","",BK49)</f>
        <v>#VALUE!</v>
      </c>
      <c r="BM44" s="688" t="e">
        <f aca="false">IF(BM5="","",BL49)</f>
        <v>#VALUE!</v>
      </c>
      <c r="BN44" s="688" t="e">
        <f aca="false">IF(BN5="","",BM49)</f>
        <v>#VALUE!</v>
      </c>
      <c r="BO44" s="689" t="e">
        <f aca="false">IF(BO5="","",BN49)</f>
        <v>#VALUE!</v>
      </c>
      <c r="BP44" s="688" t="e">
        <f aca="false">IF(BP5="","",BO49)</f>
        <v>#VALUE!</v>
      </c>
      <c r="BQ44" s="688" t="e">
        <f aca="false">IF(BQ5="","",BP49)</f>
        <v>#VALUE!</v>
      </c>
      <c r="BR44" s="688" t="e">
        <f aca="false">IF(BR5="","",BQ49)</f>
        <v>#VALUE!</v>
      </c>
      <c r="BS44" s="688" t="e">
        <f aca="false">IF(BS5="","",BR49)</f>
        <v>#VALUE!</v>
      </c>
      <c r="BT44" s="688" t="e">
        <f aca="false">IF(BT5="","",BS49)</f>
        <v>#VALUE!</v>
      </c>
      <c r="BU44" s="688" t="e">
        <f aca="false">IF(BU5="","",BT49)</f>
        <v>#VALUE!</v>
      </c>
      <c r="BV44" s="688" t="e">
        <f aca="false">IF(BV5="","",BU49)</f>
        <v>#VALUE!</v>
      </c>
      <c r="BW44" s="688" t="e">
        <f aca="false">IF(BW5="","",BV49)</f>
        <v>#VALUE!</v>
      </c>
      <c r="BX44" s="688" t="e">
        <f aca="false">IF(BX5="","",BW49)</f>
        <v>#VALUE!</v>
      </c>
      <c r="BY44" s="688" t="e">
        <f aca="false">IF(BY5="","",BX49)</f>
        <v>#VALUE!</v>
      </c>
      <c r="BZ44" s="688" t="e">
        <f aca="false">IF(BZ5="","",BY49)</f>
        <v>#VALUE!</v>
      </c>
      <c r="CA44" s="689" t="e">
        <f aca="false">IF(CA5="","",BZ49)</f>
        <v>#VALUE!</v>
      </c>
      <c r="CB44" s="688" t="e">
        <f aca="false">IF(CB5="","",CA49)</f>
        <v>#VALUE!</v>
      </c>
      <c r="CC44" s="688" t="e">
        <f aca="false">IF(CC5="","",CB49)</f>
        <v>#VALUE!</v>
      </c>
      <c r="CD44" s="688" t="e">
        <f aca="false">IF(CD5="","",CC49)</f>
        <v>#VALUE!</v>
      </c>
      <c r="CE44" s="688" t="e">
        <f aca="false">IF(CE5="","",CD49)</f>
        <v>#VALUE!</v>
      </c>
      <c r="CF44" s="688" t="e">
        <f aca="false">IF(CF5="","",CE49)</f>
        <v>#VALUE!</v>
      </c>
      <c r="CG44" s="688" t="e">
        <f aca="false">IF(CG5="","",CF49)</f>
        <v>#VALUE!</v>
      </c>
      <c r="CH44" s="688" t="e">
        <f aca="false">IF(CH5="","",CG49)</f>
        <v>#VALUE!</v>
      </c>
      <c r="CI44" s="688" t="e">
        <f aca="false">IF(CI5="","",CH49)</f>
        <v>#VALUE!</v>
      </c>
      <c r="CJ44" s="688" t="e">
        <f aca="false">IF(CJ5="","",CI49)</f>
        <v>#VALUE!</v>
      </c>
      <c r="CK44" s="688" t="e">
        <f aca="false">IF(CK5="","",CJ49)</f>
        <v>#VALUE!</v>
      </c>
      <c r="CL44" s="688" t="e">
        <f aca="false">IF(CL5="","",CK49)</f>
        <v>#VALUE!</v>
      </c>
      <c r="CM44" s="689" t="e">
        <f aca="false">IF(CM5="","",CL49)</f>
        <v>#VALUE!</v>
      </c>
      <c r="CN44" s="688" t="e">
        <f aca="false">IF(CN5="","",CM49)</f>
        <v>#VALUE!</v>
      </c>
      <c r="CO44" s="688" t="e">
        <f aca="false">IF(CO5="","",CN49)</f>
        <v>#VALUE!</v>
      </c>
      <c r="CP44" s="688" t="e">
        <f aca="false">IF(CP5="","",CO49)</f>
        <v>#VALUE!</v>
      </c>
      <c r="CQ44" s="688" t="e">
        <f aca="false">IF(CQ5="","",CP49)</f>
        <v>#VALUE!</v>
      </c>
      <c r="CR44" s="688" t="e">
        <f aca="false">IF(CR5="","",CQ49)</f>
        <v>#VALUE!</v>
      </c>
      <c r="CS44" s="688" t="e">
        <f aca="false">IF(CS5="","",CR49)</f>
        <v>#VALUE!</v>
      </c>
      <c r="CT44" s="688" t="e">
        <f aca="false">IF(CT5="","",CS49)</f>
        <v>#VALUE!</v>
      </c>
      <c r="CU44" s="688" t="e">
        <f aca="false">IF(CU5="","",CT49)</f>
        <v>#VALUE!</v>
      </c>
      <c r="CV44" s="688" t="e">
        <f aca="false">IF(CV5="","",CU49)</f>
        <v>#VALUE!</v>
      </c>
      <c r="CW44" s="688" t="e">
        <f aca="false">IF(CW5="","",CV49)</f>
        <v>#VALUE!</v>
      </c>
      <c r="CX44" s="688" t="e">
        <f aca="false">IF(CX5="","",CW49)</f>
        <v>#VALUE!</v>
      </c>
      <c r="CY44" s="689" t="e">
        <f aca="false">IF(CY5="","",CX49)</f>
        <v>#VALUE!</v>
      </c>
      <c r="CZ44" s="688" t="e">
        <f aca="false">IF(CZ5="","",CY49)</f>
        <v>#VALUE!</v>
      </c>
      <c r="DA44" s="688" t="e">
        <f aca="false">IF(DA5="","",CZ49)</f>
        <v>#VALUE!</v>
      </c>
      <c r="DB44" s="688" t="e">
        <f aca="false">IF(DB5="","",DA49)</f>
        <v>#VALUE!</v>
      </c>
      <c r="DC44" s="688" t="e">
        <f aca="false">IF(DC5="","",DB49)</f>
        <v>#VALUE!</v>
      </c>
      <c r="DD44" s="688" t="e">
        <f aca="false">IF(DD5="","",DC49)</f>
        <v>#VALUE!</v>
      </c>
      <c r="DE44" s="688" t="e">
        <f aca="false">IF(DE5="","",DD49)</f>
        <v>#VALUE!</v>
      </c>
      <c r="DF44" s="688" t="e">
        <f aca="false">IF(DF5="","",DE49)</f>
        <v>#VALUE!</v>
      </c>
      <c r="DG44" s="688" t="e">
        <f aca="false">IF(DG5="","",DF49)</f>
        <v>#VALUE!</v>
      </c>
      <c r="DH44" s="688" t="e">
        <f aca="false">IF(DH5="","",DG49)</f>
        <v>#VALUE!</v>
      </c>
      <c r="DI44" s="688" t="e">
        <f aca="false">IF(DI5="","",DH49)</f>
        <v>#VALUE!</v>
      </c>
      <c r="DJ44" s="688" t="e">
        <f aca="false">IF(DJ5="","",DI49)</f>
        <v>#VALUE!</v>
      </c>
      <c r="DK44" s="689" t="e">
        <f aca="false">IF(DK5="","",DJ49)</f>
        <v>#VALUE!</v>
      </c>
      <c r="DL44" s="688" t="e">
        <f aca="false">IF(DL5="","",DK49)</f>
        <v>#VALUE!</v>
      </c>
      <c r="DM44" s="688" t="e">
        <f aca="false">IF(DM5="","",DL49)</f>
        <v>#VALUE!</v>
      </c>
      <c r="DN44" s="688" t="e">
        <f aca="false">IF(DN5="","",DM49)</f>
        <v>#VALUE!</v>
      </c>
      <c r="DO44" s="688" t="e">
        <f aca="false">IF(DO5="","",DN49)</f>
        <v>#VALUE!</v>
      </c>
      <c r="DP44" s="688" t="e">
        <f aca="false">IF(DP5="","",DO49)</f>
        <v>#VALUE!</v>
      </c>
      <c r="DQ44" s="688" t="e">
        <f aca="false">IF(DQ5="","",DP49)</f>
        <v>#VALUE!</v>
      </c>
      <c r="DR44" s="688" t="e">
        <f aca="false">IF(DR5="","",DQ49)</f>
        <v>#VALUE!</v>
      </c>
      <c r="DS44" s="688" t="e">
        <f aca="false">IF(DS5="","",DR49)</f>
        <v>#VALUE!</v>
      </c>
      <c r="DT44" s="688" t="e">
        <f aca="false">IF(DT5="","",DS49)</f>
        <v>#VALUE!</v>
      </c>
      <c r="DU44" s="688" t="e">
        <f aca="false">IF(DU5="","",DT49)</f>
        <v>#VALUE!</v>
      </c>
      <c r="DV44" s="690" t="e">
        <f aca="false">IF(DV5="","",DU49)</f>
        <v>#VALUE!</v>
      </c>
    </row>
    <row r="45" s="683" customFormat="true" ht="13.5" hidden="false" customHeight="true" outlineLevel="0" collapsed="false">
      <c r="A45" s="236"/>
      <c r="B45" s="69" t="s">
        <v>646</v>
      </c>
      <c r="C45" s="242"/>
      <c r="D45" s="242"/>
      <c r="E45" s="242"/>
      <c r="F45" s="688" t="str">
        <f aca="false">IF(F44="","",F44*$C43)</f>
        <v/>
      </c>
      <c r="G45" s="689" t="e">
        <f aca="false">IF(G44="","",G44*((1+$C43)^(1/12)-1))</f>
        <v>#VALUE!</v>
      </c>
      <c r="H45" s="688" t="e">
        <f aca="false">IF(H44="","",H44*((1+$C43)^(1/12)-1))</f>
        <v>#VALUE!</v>
      </c>
      <c r="I45" s="688" t="e">
        <f aca="false">IF(I44="","",I44*((1+$C43)^(1/12)-1))</f>
        <v>#VALUE!</v>
      </c>
      <c r="J45" s="688" t="e">
        <f aca="false">IF(J44="","",J44*((1+$C43)^(1/12)-1))</f>
        <v>#VALUE!</v>
      </c>
      <c r="K45" s="688" t="e">
        <f aca="false">IF(K44="","",K44*((1+$C43)^(1/12)-1))</f>
        <v>#VALUE!</v>
      </c>
      <c r="L45" s="688" t="e">
        <f aca="false">IF(L44="","",L44*((1+$C43)^(1/12)-1))</f>
        <v>#VALUE!</v>
      </c>
      <c r="M45" s="688" t="e">
        <f aca="false">IF(M44="","",M44*((1+$C43)^(1/12)-1))</f>
        <v>#VALUE!</v>
      </c>
      <c r="N45" s="688" t="e">
        <f aca="false">IF(N44="","",N44*((1+$C43)^(1/12)-1))</f>
        <v>#VALUE!</v>
      </c>
      <c r="O45" s="688" t="e">
        <f aca="false">IF(O44="","",O44*((1+$C43)^(1/12)-1))</f>
        <v>#VALUE!</v>
      </c>
      <c r="P45" s="688" t="e">
        <f aca="false">IF(P44="","",P44*((1+$C43)^(1/12)-1))</f>
        <v>#VALUE!</v>
      </c>
      <c r="Q45" s="688" t="e">
        <f aca="false">IF(Q44="","",Q44*((1+$C43)^(1/12)-1))</f>
        <v>#VALUE!</v>
      </c>
      <c r="R45" s="688" t="e">
        <f aca="false">IF(R44="","",R44*((1+$C43)^(1/12)-1))</f>
        <v>#VALUE!</v>
      </c>
      <c r="S45" s="689" t="e">
        <f aca="false">IF(S44="","",S44*((1+$C43)^(1/12)-1))</f>
        <v>#VALUE!</v>
      </c>
      <c r="T45" s="688" t="e">
        <f aca="false">IF(T44="","",T44*((1+$C43)^(1/12)-1))</f>
        <v>#VALUE!</v>
      </c>
      <c r="U45" s="688" t="e">
        <f aca="false">IF(U44="","",U44*((1+$C43)^(1/12)-1))</f>
        <v>#VALUE!</v>
      </c>
      <c r="V45" s="688" t="e">
        <f aca="false">IF(V44="","",V44*((1+$C43)^(1/12)-1))</f>
        <v>#VALUE!</v>
      </c>
      <c r="W45" s="688" t="e">
        <f aca="false">IF(W44="","",W44*((1+$C43)^(1/12)-1))</f>
        <v>#VALUE!</v>
      </c>
      <c r="X45" s="688" t="e">
        <f aca="false">IF(X44="","",X44*((1+$C43)^(1/12)-1))</f>
        <v>#VALUE!</v>
      </c>
      <c r="Y45" s="688" t="e">
        <f aca="false">IF(Y44="","",Y44*((1+$C43)^(1/12)-1))</f>
        <v>#VALUE!</v>
      </c>
      <c r="Z45" s="688" t="e">
        <f aca="false">IF(Z44="","",Z44*((1+$C43)^(1/12)-1))</f>
        <v>#VALUE!</v>
      </c>
      <c r="AA45" s="688" t="e">
        <f aca="false">IF(AA44="","",AA44*((1+$C43)^(1/12)-1))</f>
        <v>#VALUE!</v>
      </c>
      <c r="AB45" s="688" t="e">
        <f aca="false">IF(AB44="","",AB44*((1+$C43)^(1/12)-1))</f>
        <v>#VALUE!</v>
      </c>
      <c r="AC45" s="688" t="e">
        <f aca="false">IF(AC44="","",AC44*((1+$C43)^(1/12)-1))</f>
        <v>#VALUE!</v>
      </c>
      <c r="AD45" s="688" t="e">
        <f aca="false">IF(AD44="","",AD44*((1+$C43)^(1/12)-1))</f>
        <v>#VALUE!</v>
      </c>
      <c r="AE45" s="689" t="e">
        <f aca="false">IF(AE44="","",AE44*((1+$C43)^(1/12)-1))</f>
        <v>#VALUE!</v>
      </c>
      <c r="AF45" s="688" t="e">
        <f aca="false">IF(AF44="","",AF44*((1+$C43)^(1/12)-1))</f>
        <v>#VALUE!</v>
      </c>
      <c r="AG45" s="688" t="e">
        <f aca="false">IF(AG44="","",AG44*((1+$C43)^(1/12)-1))</f>
        <v>#VALUE!</v>
      </c>
      <c r="AH45" s="688" t="e">
        <f aca="false">IF(AH44="","",AH44*((1+$C43)^(1/12)-1))</f>
        <v>#VALUE!</v>
      </c>
      <c r="AI45" s="688" t="e">
        <f aca="false">IF(AI44="","",AI44*((1+$C43)^(1/12)-1))</f>
        <v>#VALUE!</v>
      </c>
      <c r="AJ45" s="688" t="e">
        <f aca="false">IF(AJ44="","",AJ44*((1+$C43)^(1/12)-1))</f>
        <v>#VALUE!</v>
      </c>
      <c r="AK45" s="688" t="e">
        <f aca="false">IF(AK44="","",AK44*((1+$C43)^(1/12)-1))</f>
        <v>#VALUE!</v>
      </c>
      <c r="AL45" s="688" t="e">
        <f aca="false">IF(AL44="","",AL44*((1+$C43)^(1/12)-1))</f>
        <v>#VALUE!</v>
      </c>
      <c r="AM45" s="688" t="e">
        <f aca="false">IF(AM44="","",AM44*((1+$C43)^(1/12)-1))</f>
        <v>#VALUE!</v>
      </c>
      <c r="AN45" s="688" t="e">
        <f aca="false">IF(AN44="","",AN44*((1+$C43)^(1/12)-1))</f>
        <v>#VALUE!</v>
      </c>
      <c r="AO45" s="688" t="e">
        <f aca="false">IF(AO44="","",AO44*((1+$C43)^(1/12)-1))</f>
        <v>#VALUE!</v>
      </c>
      <c r="AP45" s="688" t="e">
        <f aca="false">IF(AP44="","",AP44*((1+$C43)^(1/12)-1))</f>
        <v>#VALUE!</v>
      </c>
      <c r="AQ45" s="689" t="e">
        <f aca="false">IF(AQ44="","",AQ44*((1+$C43)^(1/12)-1))</f>
        <v>#VALUE!</v>
      </c>
      <c r="AR45" s="688" t="e">
        <f aca="false">IF(AR44="","",AR44*((1+$C43)^(1/12)-1))</f>
        <v>#VALUE!</v>
      </c>
      <c r="AS45" s="688" t="e">
        <f aca="false">IF(AS44="","",AS44*((1+$C43)^(1/12)-1))</f>
        <v>#VALUE!</v>
      </c>
      <c r="AT45" s="688" t="e">
        <f aca="false">IF(AT44="","",AT44*((1+$C43)^(1/12)-1))</f>
        <v>#VALUE!</v>
      </c>
      <c r="AU45" s="688" t="e">
        <f aca="false">IF(AU44="","",AU44*((1+$C43)^(1/12)-1))</f>
        <v>#VALUE!</v>
      </c>
      <c r="AV45" s="688" t="e">
        <f aca="false">IF(AV44="","",AV44*((1+$C43)^(1/12)-1))</f>
        <v>#VALUE!</v>
      </c>
      <c r="AW45" s="688" t="e">
        <f aca="false">IF(AW44="","",AW44*((1+$C43)^(1/12)-1))</f>
        <v>#VALUE!</v>
      </c>
      <c r="AX45" s="688" t="e">
        <f aca="false">IF(AX44="","",AX44*((1+$C43)^(1/12)-1))</f>
        <v>#VALUE!</v>
      </c>
      <c r="AY45" s="688" t="e">
        <f aca="false">IF(AY44="","",AY44*((1+$C43)^(1/12)-1))</f>
        <v>#VALUE!</v>
      </c>
      <c r="AZ45" s="688" t="e">
        <f aca="false">IF(AZ44="","",AZ44*((1+$C43)^(1/12)-1))</f>
        <v>#VALUE!</v>
      </c>
      <c r="BA45" s="688" t="e">
        <f aca="false">IF(BA44="","",BA44*((1+$C43)^(1/12)-1))</f>
        <v>#VALUE!</v>
      </c>
      <c r="BB45" s="688" t="e">
        <f aca="false">IF(BB44="","",BB44*((1+$C43)^(1/12)-1))</f>
        <v>#VALUE!</v>
      </c>
      <c r="BC45" s="689" t="e">
        <f aca="false">IF(BC44="","",BC44*((1+$C43)^(1/12)-1))</f>
        <v>#VALUE!</v>
      </c>
      <c r="BD45" s="688" t="e">
        <f aca="false">IF(BD44="","",BD44*((1+$C43)^(1/12)-1))</f>
        <v>#VALUE!</v>
      </c>
      <c r="BE45" s="688" t="e">
        <f aca="false">IF(BE44="","",BE44*((1+$C43)^(1/12)-1))</f>
        <v>#VALUE!</v>
      </c>
      <c r="BF45" s="688" t="e">
        <f aca="false">IF(BF44="","",BF44*((1+$C43)^(1/12)-1))</f>
        <v>#VALUE!</v>
      </c>
      <c r="BG45" s="688" t="e">
        <f aca="false">IF(BG44="","",BG44*((1+$C43)^(1/12)-1))</f>
        <v>#VALUE!</v>
      </c>
      <c r="BH45" s="688" t="e">
        <f aca="false">IF(BH44="","",BH44*((1+$C43)^(1/12)-1))</f>
        <v>#VALUE!</v>
      </c>
      <c r="BI45" s="688" t="e">
        <f aca="false">IF(BI44="","",BI44*((1+$C43)^(1/12)-1))</f>
        <v>#VALUE!</v>
      </c>
      <c r="BJ45" s="688" t="e">
        <f aca="false">IF(BJ44="","",BJ44*((1+$C43)^(1/12)-1))</f>
        <v>#VALUE!</v>
      </c>
      <c r="BK45" s="688" t="e">
        <f aca="false">IF(BK44="","",BK44*((1+$C43)^(1/12)-1))</f>
        <v>#VALUE!</v>
      </c>
      <c r="BL45" s="688" t="e">
        <f aca="false">IF(BL44="","",BL44*((1+$C43)^(1/12)-1))</f>
        <v>#VALUE!</v>
      </c>
      <c r="BM45" s="688" t="e">
        <f aca="false">IF(BM44="","",BM44*((1+$C43)^(1/12)-1))</f>
        <v>#VALUE!</v>
      </c>
      <c r="BN45" s="688" t="e">
        <f aca="false">IF(BN44="","",BN44*((1+$C43)^(1/12)-1))</f>
        <v>#VALUE!</v>
      </c>
      <c r="BO45" s="689" t="e">
        <f aca="false">IF(BO44="","",BO44*((1+$C43)^(1/12)-1))</f>
        <v>#VALUE!</v>
      </c>
      <c r="BP45" s="688" t="e">
        <f aca="false">IF(BP44="","",BP44*((1+$C43)^(1/12)-1))</f>
        <v>#VALUE!</v>
      </c>
      <c r="BQ45" s="688" t="e">
        <f aca="false">IF(BQ44="","",BQ44*((1+$C43)^(1/12)-1))</f>
        <v>#VALUE!</v>
      </c>
      <c r="BR45" s="688" t="e">
        <f aca="false">IF(BR44="","",BR44*((1+$C43)^(1/12)-1))</f>
        <v>#VALUE!</v>
      </c>
      <c r="BS45" s="688" t="e">
        <f aca="false">IF(BS44="","",BS44*((1+$C43)^(1/12)-1))</f>
        <v>#VALUE!</v>
      </c>
      <c r="BT45" s="688" t="e">
        <f aca="false">IF(BT44="","",BT44*((1+$C43)^(1/12)-1))</f>
        <v>#VALUE!</v>
      </c>
      <c r="BU45" s="688" t="e">
        <f aca="false">IF(BU44="","",BU44*((1+$C43)^(1/12)-1))</f>
        <v>#VALUE!</v>
      </c>
      <c r="BV45" s="688" t="e">
        <f aca="false">IF(BV44="","",BV44*((1+$C43)^(1/12)-1))</f>
        <v>#VALUE!</v>
      </c>
      <c r="BW45" s="688" t="e">
        <f aca="false">IF(BW44="","",BW44*((1+$C43)^(1/12)-1))</f>
        <v>#VALUE!</v>
      </c>
      <c r="BX45" s="688" t="e">
        <f aca="false">IF(BX44="","",BX44*((1+$C43)^(1/12)-1))</f>
        <v>#VALUE!</v>
      </c>
      <c r="BY45" s="688" t="e">
        <f aca="false">IF(BY44="","",BY44*((1+$C43)^(1/12)-1))</f>
        <v>#VALUE!</v>
      </c>
      <c r="BZ45" s="688" t="e">
        <f aca="false">IF(BZ44="","",BZ44*((1+$C43)^(1/12)-1))</f>
        <v>#VALUE!</v>
      </c>
      <c r="CA45" s="689" t="e">
        <f aca="false">IF(CA44="","",CA44*((1+$C43)^(1/12)-1))</f>
        <v>#VALUE!</v>
      </c>
      <c r="CB45" s="688" t="e">
        <f aca="false">IF(CB44="","",CB44*((1+$C43)^(1/12)-1))</f>
        <v>#VALUE!</v>
      </c>
      <c r="CC45" s="688" t="e">
        <f aca="false">IF(CC44="","",CC44*((1+$C43)^(1/12)-1))</f>
        <v>#VALUE!</v>
      </c>
      <c r="CD45" s="688" t="e">
        <f aca="false">IF(CD44="","",CD44*((1+$C43)^(1/12)-1))</f>
        <v>#VALUE!</v>
      </c>
      <c r="CE45" s="688" t="e">
        <f aca="false">IF(CE44="","",CE44*((1+$C43)^(1/12)-1))</f>
        <v>#VALUE!</v>
      </c>
      <c r="CF45" s="688" t="e">
        <f aca="false">IF(CF44="","",CF44*((1+$C43)^(1/12)-1))</f>
        <v>#VALUE!</v>
      </c>
      <c r="CG45" s="688" t="e">
        <f aca="false">IF(CG44="","",CG44*((1+$C43)^(1/12)-1))</f>
        <v>#VALUE!</v>
      </c>
      <c r="CH45" s="688" t="e">
        <f aca="false">IF(CH44="","",CH44*((1+$C43)^(1/12)-1))</f>
        <v>#VALUE!</v>
      </c>
      <c r="CI45" s="688" t="e">
        <f aca="false">IF(CI44="","",CI44*((1+$C43)^(1/12)-1))</f>
        <v>#VALUE!</v>
      </c>
      <c r="CJ45" s="688" t="e">
        <f aca="false">IF(CJ44="","",CJ44*((1+$C43)^(1/12)-1))</f>
        <v>#VALUE!</v>
      </c>
      <c r="CK45" s="688" t="e">
        <f aca="false">IF(CK44="","",CK44*((1+$C43)^(1/12)-1))</f>
        <v>#VALUE!</v>
      </c>
      <c r="CL45" s="688" t="e">
        <f aca="false">IF(CL44="","",CL44*((1+$C43)^(1/12)-1))</f>
        <v>#VALUE!</v>
      </c>
      <c r="CM45" s="689" t="e">
        <f aca="false">IF(CM44="","",CM44*((1+$C43)^(1/12)-1))</f>
        <v>#VALUE!</v>
      </c>
      <c r="CN45" s="688" t="e">
        <f aca="false">IF(CN44="","",CN44*((1+$C43)^(1/12)-1))</f>
        <v>#VALUE!</v>
      </c>
      <c r="CO45" s="688" t="e">
        <f aca="false">IF(CO44="","",CO44*((1+$C43)^(1/12)-1))</f>
        <v>#VALUE!</v>
      </c>
      <c r="CP45" s="688" t="e">
        <f aca="false">IF(CP44="","",CP44*((1+$C43)^(1/12)-1))</f>
        <v>#VALUE!</v>
      </c>
      <c r="CQ45" s="688" t="e">
        <f aca="false">IF(CQ44="","",CQ44*((1+$C43)^(1/12)-1))</f>
        <v>#VALUE!</v>
      </c>
      <c r="CR45" s="688" t="e">
        <f aca="false">IF(CR44="","",CR44*((1+$C43)^(1/12)-1))</f>
        <v>#VALUE!</v>
      </c>
      <c r="CS45" s="688" t="e">
        <f aca="false">IF(CS44="","",CS44*((1+$C43)^(1/12)-1))</f>
        <v>#VALUE!</v>
      </c>
      <c r="CT45" s="688" t="e">
        <f aca="false">IF(CT44="","",CT44*((1+$C43)^(1/12)-1))</f>
        <v>#VALUE!</v>
      </c>
      <c r="CU45" s="688" t="e">
        <f aca="false">IF(CU44="","",CU44*((1+$C43)^(1/12)-1))</f>
        <v>#VALUE!</v>
      </c>
      <c r="CV45" s="688" t="e">
        <f aca="false">IF(CV44="","",CV44*((1+$C43)^(1/12)-1))</f>
        <v>#VALUE!</v>
      </c>
      <c r="CW45" s="688" t="e">
        <f aca="false">IF(CW44="","",CW44*((1+$C43)^(1/12)-1))</f>
        <v>#VALUE!</v>
      </c>
      <c r="CX45" s="688" t="e">
        <f aca="false">IF(CX44="","",CX44*((1+$C43)^(1/12)-1))</f>
        <v>#VALUE!</v>
      </c>
      <c r="CY45" s="689" t="e">
        <f aca="false">IF(CY44="","",CY44*((1+$C43)^(1/12)-1))</f>
        <v>#VALUE!</v>
      </c>
      <c r="CZ45" s="688" t="e">
        <f aca="false">IF(CZ44="","",CZ44*((1+$C43)^(1/12)-1))</f>
        <v>#VALUE!</v>
      </c>
      <c r="DA45" s="688" t="e">
        <f aca="false">IF(DA44="","",DA44*((1+$C43)^(1/12)-1))</f>
        <v>#VALUE!</v>
      </c>
      <c r="DB45" s="688" t="e">
        <f aca="false">IF(DB44="","",DB44*((1+$C43)^(1/12)-1))</f>
        <v>#VALUE!</v>
      </c>
      <c r="DC45" s="688" t="e">
        <f aca="false">IF(DC44="","",DC44*((1+$C43)^(1/12)-1))</f>
        <v>#VALUE!</v>
      </c>
      <c r="DD45" s="688" t="e">
        <f aca="false">IF(DD44="","",DD44*((1+$C43)^(1/12)-1))</f>
        <v>#VALUE!</v>
      </c>
      <c r="DE45" s="688" t="e">
        <f aca="false">IF(DE44="","",DE44*((1+$C43)^(1/12)-1))</f>
        <v>#VALUE!</v>
      </c>
      <c r="DF45" s="688" t="e">
        <f aca="false">IF(DF44="","",DF44*((1+$C43)^(1/12)-1))</f>
        <v>#VALUE!</v>
      </c>
      <c r="DG45" s="688" t="e">
        <f aca="false">IF(DG44="","",DG44*((1+$C43)^(1/12)-1))</f>
        <v>#VALUE!</v>
      </c>
      <c r="DH45" s="688" t="e">
        <f aca="false">IF(DH44="","",DH44*((1+$C43)^(1/12)-1))</f>
        <v>#VALUE!</v>
      </c>
      <c r="DI45" s="688" t="e">
        <f aca="false">IF(DI44="","",DI44*((1+$C43)^(1/12)-1))</f>
        <v>#VALUE!</v>
      </c>
      <c r="DJ45" s="688" t="e">
        <f aca="false">IF(DJ44="","",DJ44*((1+$C43)^(1/12)-1))</f>
        <v>#VALUE!</v>
      </c>
      <c r="DK45" s="689" t="e">
        <f aca="false">IF(DK44="","",DK44*((1+$C43)^(1/12)-1))</f>
        <v>#VALUE!</v>
      </c>
      <c r="DL45" s="688" t="e">
        <f aca="false">IF(DL44="","",DL44*((1+$C43)^(1/12)-1))</f>
        <v>#VALUE!</v>
      </c>
      <c r="DM45" s="688" t="e">
        <f aca="false">IF(DM44="","",DM44*((1+$C43)^(1/12)-1))</f>
        <v>#VALUE!</v>
      </c>
      <c r="DN45" s="688" t="e">
        <f aca="false">IF(DN44="","",DN44*((1+$C43)^(1/12)-1))</f>
        <v>#VALUE!</v>
      </c>
      <c r="DO45" s="688" t="e">
        <f aca="false">IF(DO44="","",DO44*((1+$C43)^(1/12)-1))</f>
        <v>#VALUE!</v>
      </c>
      <c r="DP45" s="688" t="e">
        <f aca="false">IF(DP44="","",DP44*((1+$C43)^(1/12)-1))</f>
        <v>#VALUE!</v>
      </c>
      <c r="DQ45" s="688" t="e">
        <f aca="false">IF(DQ44="","",DQ44*((1+$C43)^(1/12)-1))</f>
        <v>#VALUE!</v>
      </c>
      <c r="DR45" s="688" t="e">
        <f aca="false">IF(DR44="","",DR44*((1+$C43)^(1/12)-1))</f>
        <v>#VALUE!</v>
      </c>
      <c r="DS45" s="688" t="e">
        <f aca="false">IF(DS44="","",DS44*((1+$C43)^(1/12)-1))</f>
        <v>#VALUE!</v>
      </c>
      <c r="DT45" s="688" t="e">
        <f aca="false">IF(DT44="","",DT44*((1+$C43)^(1/12)-1))</f>
        <v>#VALUE!</v>
      </c>
      <c r="DU45" s="688" t="e">
        <f aca="false">IF(DU44="","",DU44*((1+$C43)^(1/12)-1))</f>
        <v>#VALUE!</v>
      </c>
      <c r="DV45" s="690" t="e">
        <f aca="false">IF(DV44="","",DV44*((1+$C43)^(1/12)-1))</f>
        <v>#VALUE!</v>
      </c>
    </row>
    <row r="46" s="683" customFormat="true" ht="13.5" hidden="false" customHeight="true" outlineLevel="0" collapsed="false">
      <c r="A46" s="236"/>
      <c r="B46" s="69" t="s">
        <v>647</v>
      </c>
      <c r="C46" s="242"/>
      <c r="D46" s="242"/>
      <c r="E46" s="242"/>
      <c r="F46" s="688" t="str">
        <f aca="false">IF(F44="","",-MIN(0,F$6*'Executive Summary'!$O$5))</f>
        <v/>
      </c>
      <c r="G46" s="689" t="e">
        <f aca="false">IF(G44="","",-MIN(0,G$6*'Executive Summary'!$O$5))</f>
        <v>#VALUE!</v>
      </c>
      <c r="H46" s="688" t="e">
        <f aca="false">IF(H44="","",-MIN(0,H$6*'Executive Summary'!$O$5))</f>
        <v>#VALUE!</v>
      </c>
      <c r="I46" s="688" t="e">
        <f aca="false">IF(I44="","",-MIN(0,I$6*'Executive Summary'!$O$5))</f>
        <v>#VALUE!</v>
      </c>
      <c r="J46" s="688" t="e">
        <f aca="false">IF(J44="","",-MIN(0,J$6*'Executive Summary'!$O$5))</f>
        <v>#VALUE!</v>
      </c>
      <c r="K46" s="688" t="e">
        <f aca="false">IF(K44="","",-MIN(0,K$6*'Executive Summary'!$O$5))</f>
        <v>#VALUE!</v>
      </c>
      <c r="L46" s="688" t="e">
        <f aca="false">IF(L44="","",-MIN(0,L$6*'Executive Summary'!$O$5))</f>
        <v>#VALUE!</v>
      </c>
      <c r="M46" s="688" t="e">
        <f aca="false">IF(M44="","",-MIN(0,M$6*'Executive Summary'!$O$5))</f>
        <v>#VALUE!</v>
      </c>
      <c r="N46" s="688" t="e">
        <f aca="false">IF(N44="","",-MIN(0,N$6*'Executive Summary'!$O$5))</f>
        <v>#VALUE!</v>
      </c>
      <c r="O46" s="688" t="e">
        <f aca="false">IF(O44="","",-MIN(0,O$6*'Executive Summary'!$O$5))</f>
        <v>#VALUE!</v>
      </c>
      <c r="P46" s="688" t="e">
        <f aca="false">IF(P44="","",-MIN(0,P$6*'Executive Summary'!$O$5))</f>
        <v>#VALUE!</v>
      </c>
      <c r="Q46" s="688" t="e">
        <f aca="false">IF(Q44="","",-MIN(0,Q$6*'Executive Summary'!$O$5))</f>
        <v>#VALUE!</v>
      </c>
      <c r="R46" s="688" t="e">
        <f aca="false">IF(R44="","",-MIN(0,R$6*'Executive Summary'!$O$5))</f>
        <v>#VALUE!</v>
      </c>
      <c r="S46" s="689" t="e">
        <f aca="false">IF(S44="","",-MIN(0,S$6*'Executive Summary'!$O$5))</f>
        <v>#VALUE!</v>
      </c>
      <c r="T46" s="688" t="e">
        <f aca="false">IF(T44="","",-MIN(0,T$6*'Executive Summary'!$O$5))</f>
        <v>#VALUE!</v>
      </c>
      <c r="U46" s="688" t="e">
        <f aca="false">IF(U44="","",-MIN(0,U$6*'Executive Summary'!$O$5))</f>
        <v>#VALUE!</v>
      </c>
      <c r="V46" s="688" t="e">
        <f aca="false">IF(V44="","",-MIN(0,V$6*'Executive Summary'!$O$5))</f>
        <v>#VALUE!</v>
      </c>
      <c r="W46" s="688" t="e">
        <f aca="false">IF(W44="","",-MIN(0,W$6*'Executive Summary'!$O$5))</f>
        <v>#VALUE!</v>
      </c>
      <c r="X46" s="688" t="e">
        <f aca="false">IF(X44="","",-MIN(0,X$6*'Executive Summary'!$O$5))</f>
        <v>#VALUE!</v>
      </c>
      <c r="Y46" s="688" t="e">
        <f aca="false">IF(Y44="","",-MIN(0,Y$6*'Executive Summary'!$O$5))</f>
        <v>#VALUE!</v>
      </c>
      <c r="Z46" s="688" t="e">
        <f aca="false">IF(Z44="","",-MIN(0,Z$6*'Executive Summary'!$O$5))</f>
        <v>#VALUE!</v>
      </c>
      <c r="AA46" s="688" t="e">
        <f aca="false">IF(AA44="","",-MIN(0,AA$6*'Executive Summary'!$O$5))</f>
        <v>#VALUE!</v>
      </c>
      <c r="AB46" s="688" t="e">
        <f aca="false">IF(AB44="","",-MIN(0,AB$6*'Executive Summary'!$O$5))</f>
        <v>#VALUE!</v>
      </c>
      <c r="AC46" s="688" t="e">
        <f aca="false">IF(AC44="","",-MIN(0,AC$6*'Executive Summary'!$O$5))</f>
        <v>#VALUE!</v>
      </c>
      <c r="AD46" s="688" t="e">
        <f aca="false">IF(AD44="","",-MIN(0,AD$6*'Executive Summary'!$O$5))</f>
        <v>#VALUE!</v>
      </c>
      <c r="AE46" s="689" t="e">
        <f aca="false">IF(AE44="","",-MIN(0,AE$6*'Executive Summary'!$O$5))</f>
        <v>#VALUE!</v>
      </c>
      <c r="AF46" s="688" t="e">
        <f aca="false">IF(AF44="","",-MIN(0,AF$6*'Executive Summary'!$O$5))</f>
        <v>#VALUE!</v>
      </c>
      <c r="AG46" s="688" t="e">
        <f aca="false">IF(AG44="","",-MIN(0,AG$6*'Executive Summary'!$O$5))</f>
        <v>#VALUE!</v>
      </c>
      <c r="AH46" s="688" t="e">
        <f aca="false">IF(AH44="","",-MIN(0,AH$6*'Executive Summary'!$O$5))</f>
        <v>#VALUE!</v>
      </c>
      <c r="AI46" s="688" t="e">
        <f aca="false">IF(AI44="","",-MIN(0,AI$6*'Executive Summary'!$O$5))</f>
        <v>#VALUE!</v>
      </c>
      <c r="AJ46" s="688" t="e">
        <f aca="false">IF(AJ44="","",-MIN(0,AJ$6*'Executive Summary'!$O$5))</f>
        <v>#VALUE!</v>
      </c>
      <c r="AK46" s="688" t="e">
        <f aca="false">IF(AK44="","",-MIN(0,AK$6*'Executive Summary'!$O$5))</f>
        <v>#VALUE!</v>
      </c>
      <c r="AL46" s="688" t="e">
        <f aca="false">IF(AL44="","",-MIN(0,AL$6*'Executive Summary'!$O$5))</f>
        <v>#VALUE!</v>
      </c>
      <c r="AM46" s="688" t="e">
        <f aca="false">IF(AM44="","",-MIN(0,AM$6*'Executive Summary'!$O$5))</f>
        <v>#VALUE!</v>
      </c>
      <c r="AN46" s="688" t="e">
        <f aca="false">IF(AN44="","",-MIN(0,AN$6*'Executive Summary'!$O$5))</f>
        <v>#VALUE!</v>
      </c>
      <c r="AO46" s="688" t="e">
        <f aca="false">IF(AO44="","",-MIN(0,AO$6*'Executive Summary'!$O$5))</f>
        <v>#VALUE!</v>
      </c>
      <c r="AP46" s="688" t="e">
        <f aca="false">IF(AP44="","",-MIN(0,AP$6*'Executive Summary'!$O$5))</f>
        <v>#VALUE!</v>
      </c>
      <c r="AQ46" s="689" t="e">
        <f aca="false">IF(AQ44="","",-MIN(0,AQ$6*'Executive Summary'!$O$5))</f>
        <v>#VALUE!</v>
      </c>
      <c r="AR46" s="688" t="e">
        <f aca="false">IF(AR44="","",-MIN(0,AR$6*'Executive Summary'!$O$5))</f>
        <v>#VALUE!</v>
      </c>
      <c r="AS46" s="688" t="e">
        <f aca="false">IF(AS44="","",-MIN(0,AS$6*'Executive Summary'!$O$5))</f>
        <v>#VALUE!</v>
      </c>
      <c r="AT46" s="688" t="e">
        <f aca="false">IF(AT44="","",-MIN(0,AT$6*'Executive Summary'!$O$5))</f>
        <v>#VALUE!</v>
      </c>
      <c r="AU46" s="688" t="e">
        <f aca="false">IF(AU44="","",-MIN(0,AU$6*'Executive Summary'!$O$5))</f>
        <v>#VALUE!</v>
      </c>
      <c r="AV46" s="688" t="e">
        <f aca="false">IF(AV44="","",-MIN(0,AV$6*'Executive Summary'!$O$5))</f>
        <v>#VALUE!</v>
      </c>
      <c r="AW46" s="688" t="e">
        <f aca="false">IF(AW44="","",-MIN(0,AW$6*'Executive Summary'!$O$5))</f>
        <v>#VALUE!</v>
      </c>
      <c r="AX46" s="688" t="e">
        <f aca="false">IF(AX44="","",-MIN(0,AX$6*'Executive Summary'!$O$5))</f>
        <v>#VALUE!</v>
      </c>
      <c r="AY46" s="688" t="e">
        <f aca="false">IF(AY44="","",-MIN(0,AY$6*'Executive Summary'!$O$5))</f>
        <v>#VALUE!</v>
      </c>
      <c r="AZ46" s="688" t="e">
        <f aca="false">IF(AZ44="","",-MIN(0,AZ$6*'Executive Summary'!$O$5))</f>
        <v>#VALUE!</v>
      </c>
      <c r="BA46" s="688" t="e">
        <f aca="false">IF(BA44="","",-MIN(0,BA$6*'Executive Summary'!$O$5))</f>
        <v>#VALUE!</v>
      </c>
      <c r="BB46" s="688" t="e">
        <f aca="false">IF(BB44="","",-MIN(0,BB$6*'Executive Summary'!$O$5))</f>
        <v>#VALUE!</v>
      </c>
      <c r="BC46" s="689" t="e">
        <f aca="false">IF(BC44="","",-MIN(0,BC$6*'Executive Summary'!$O$5))</f>
        <v>#VALUE!</v>
      </c>
      <c r="BD46" s="688" t="e">
        <f aca="false">IF(BD44="","",-MIN(0,BD$6*'Executive Summary'!$O$5))</f>
        <v>#VALUE!</v>
      </c>
      <c r="BE46" s="688" t="e">
        <f aca="false">IF(BE44="","",-MIN(0,BE$6*'Executive Summary'!$O$5))</f>
        <v>#VALUE!</v>
      </c>
      <c r="BF46" s="688" t="e">
        <f aca="false">IF(BF44="","",-MIN(0,BF$6*'Executive Summary'!$O$5))</f>
        <v>#VALUE!</v>
      </c>
      <c r="BG46" s="688" t="e">
        <f aca="false">IF(BG44="","",-MIN(0,BG$6*'Executive Summary'!$O$5))</f>
        <v>#VALUE!</v>
      </c>
      <c r="BH46" s="688" t="e">
        <f aca="false">IF(BH44="","",-MIN(0,BH$6*'Executive Summary'!$O$5))</f>
        <v>#VALUE!</v>
      </c>
      <c r="BI46" s="688" t="e">
        <f aca="false">IF(BI44="","",-MIN(0,BI$6*'Executive Summary'!$O$5))</f>
        <v>#VALUE!</v>
      </c>
      <c r="BJ46" s="688" t="e">
        <f aca="false">IF(BJ44="","",-MIN(0,BJ$6*'Executive Summary'!$O$5))</f>
        <v>#VALUE!</v>
      </c>
      <c r="BK46" s="688" t="e">
        <f aca="false">IF(BK44="","",-MIN(0,BK$6*'Executive Summary'!$O$5))</f>
        <v>#VALUE!</v>
      </c>
      <c r="BL46" s="688" t="e">
        <f aca="false">IF(BL44="","",-MIN(0,BL$6*'Executive Summary'!$O$5))</f>
        <v>#VALUE!</v>
      </c>
      <c r="BM46" s="688" t="e">
        <f aca="false">IF(BM44="","",-MIN(0,BM$6*'Executive Summary'!$O$5))</f>
        <v>#VALUE!</v>
      </c>
      <c r="BN46" s="688" t="e">
        <f aca="false">IF(BN44="","",-MIN(0,BN$6*'Executive Summary'!$O$5))</f>
        <v>#VALUE!</v>
      </c>
      <c r="BO46" s="689" t="e">
        <f aca="false">IF(BO44="","",-MIN(0,BO$6*'Executive Summary'!$O$5))</f>
        <v>#VALUE!</v>
      </c>
      <c r="BP46" s="688" t="e">
        <f aca="false">IF(BP44="","",-MIN(0,BP$6*'Executive Summary'!$O$5))</f>
        <v>#VALUE!</v>
      </c>
      <c r="BQ46" s="688" t="e">
        <f aca="false">IF(BQ44="","",-MIN(0,BQ$6*'Executive Summary'!$O$5))</f>
        <v>#VALUE!</v>
      </c>
      <c r="BR46" s="688" t="e">
        <f aca="false">IF(BR44="","",-MIN(0,BR$6*'Executive Summary'!$O$5))</f>
        <v>#VALUE!</v>
      </c>
      <c r="BS46" s="688" t="e">
        <f aca="false">IF(BS44="","",-MIN(0,BS$6*'Executive Summary'!$O$5))</f>
        <v>#VALUE!</v>
      </c>
      <c r="BT46" s="688" t="e">
        <f aca="false">IF(BT44="","",-MIN(0,BT$6*'Executive Summary'!$O$5))</f>
        <v>#VALUE!</v>
      </c>
      <c r="BU46" s="688" t="e">
        <f aca="false">IF(BU44="","",-MIN(0,BU$6*'Executive Summary'!$O$5))</f>
        <v>#VALUE!</v>
      </c>
      <c r="BV46" s="688" t="e">
        <f aca="false">IF(BV44="","",-MIN(0,BV$6*'Executive Summary'!$O$5))</f>
        <v>#VALUE!</v>
      </c>
      <c r="BW46" s="688" t="e">
        <f aca="false">IF(BW44="","",-MIN(0,BW$6*'Executive Summary'!$O$5))</f>
        <v>#VALUE!</v>
      </c>
      <c r="BX46" s="688" t="e">
        <f aca="false">IF(BX44="","",-MIN(0,BX$6*'Executive Summary'!$O$5))</f>
        <v>#VALUE!</v>
      </c>
      <c r="BY46" s="688" t="e">
        <f aca="false">IF(BY44="","",-MIN(0,BY$6*'Executive Summary'!$O$5))</f>
        <v>#VALUE!</v>
      </c>
      <c r="BZ46" s="688" t="e">
        <f aca="false">IF(BZ44="","",-MIN(0,BZ$6*'Executive Summary'!$O$5))</f>
        <v>#VALUE!</v>
      </c>
      <c r="CA46" s="689" t="e">
        <f aca="false">IF(CA44="","",-MIN(0,CA$6*'Executive Summary'!$O$5))</f>
        <v>#VALUE!</v>
      </c>
      <c r="CB46" s="688" t="e">
        <f aca="false">IF(CB44="","",-MIN(0,CB$6*'Executive Summary'!$O$5))</f>
        <v>#VALUE!</v>
      </c>
      <c r="CC46" s="688" t="e">
        <f aca="false">IF(CC44="","",-MIN(0,CC$6*'Executive Summary'!$O$5))</f>
        <v>#VALUE!</v>
      </c>
      <c r="CD46" s="688" t="e">
        <f aca="false">IF(CD44="","",-MIN(0,CD$6*'Executive Summary'!$O$5))</f>
        <v>#VALUE!</v>
      </c>
      <c r="CE46" s="688" t="e">
        <f aca="false">IF(CE44="","",-MIN(0,CE$6*'Executive Summary'!$O$5))</f>
        <v>#VALUE!</v>
      </c>
      <c r="CF46" s="688" t="e">
        <f aca="false">IF(CF44="","",-MIN(0,CF$6*'Executive Summary'!$O$5))</f>
        <v>#VALUE!</v>
      </c>
      <c r="CG46" s="688" t="e">
        <f aca="false">IF(CG44="","",-MIN(0,CG$6*'Executive Summary'!$O$5))</f>
        <v>#VALUE!</v>
      </c>
      <c r="CH46" s="688" t="e">
        <f aca="false">IF(CH44="","",-MIN(0,CH$6*'Executive Summary'!$O$5))</f>
        <v>#VALUE!</v>
      </c>
      <c r="CI46" s="688" t="e">
        <f aca="false">IF(CI44="","",-MIN(0,CI$6*'Executive Summary'!$O$5))</f>
        <v>#VALUE!</v>
      </c>
      <c r="CJ46" s="688" t="e">
        <f aca="false">IF(CJ44="","",-MIN(0,CJ$6*'Executive Summary'!$O$5))</f>
        <v>#VALUE!</v>
      </c>
      <c r="CK46" s="688" t="e">
        <f aca="false">IF(CK44="","",-MIN(0,CK$6*'Executive Summary'!$O$5))</f>
        <v>#VALUE!</v>
      </c>
      <c r="CL46" s="688" t="e">
        <f aca="false">IF(CL44="","",-MIN(0,CL$6*'Executive Summary'!$O$5))</f>
        <v>#VALUE!</v>
      </c>
      <c r="CM46" s="689" t="e">
        <f aca="false">IF(CM44="","",-MIN(0,CM$6*'Executive Summary'!$O$5))</f>
        <v>#VALUE!</v>
      </c>
      <c r="CN46" s="688" t="e">
        <f aca="false">IF(CN44="","",-MIN(0,CN$6*'Executive Summary'!$O$5))</f>
        <v>#VALUE!</v>
      </c>
      <c r="CO46" s="688" t="e">
        <f aca="false">IF(CO44="","",-MIN(0,CO$6*'Executive Summary'!$O$5))</f>
        <v>#VALUE!</v>
      </c>
      <c r="CP46" s="688" t="e">
        <f aca="false">IF(CP44="","",-MIN(0,CP$6*'Executive Summary'!$O$5))</f>
        <v>#VALUE!</v>
      </c>
      <c r="CQ46" s="688" t="e">
        <f aca="false">IF(CQ44="","",-MIN(0,CQ$6*'Executive Summary'!$O$5))</f>
        <v>#VALUE!</v>
      </c>
      <c r="CR46" s="688" t="e">
        <f aca="false">IF(CR44="","",-MIN(0,CR$6*'Executive Summary'!$O$5))</f>
        <v>#VALUE!</v>
      </c>
      <c r="CS46" s="688" t="e">
        <f aca="false">IF(CS44="","",-MIN(0,CS$6*'Executive Summary'!$O$5))</f>
        <v>#VALUE!</v>
      </c>
      <c r="CT46" s="688" t="e">
        <f aca="false">IF(CT44="","",-MIN(0,CT$6*'Executive Summary'!$O$5))</f>
        <v>#VALUE!</v>
      </c>
      <c r="CU46" s="688" t="e">
        <f aca="false">IF(CU44="","",-MIN(0,CU$6*'Executive Summary'!$O$5))</f>
        <v>#VALUE!</v>
      </c>
      <c r="CV46" s="688" t="e">
        <f aca="false">IF(CV44="","",-MIN(0,CV$6*'Executive Summary'!$O$5))</f>
        <v>#VALUE!</v>
      </c>
      <c r="CW46" s="688" t="e">
        <f aca="false">IF(CW44="","",-MIN(0,CW$6*'Executive Summary'!$O$5))</f>
        <v>#VALUE!</v>
      </c>
      <c r="CX46" s="688" t="e">
        <f aca="false">IF(CX44="","",-MIN(0,CX$6*'Executive Summary'!$O$5))</f>
        <v>#VALUE!</v>
      </c>
      <c r="CY46" s="689" t="e">
        <f aca="false">IF(CY44="","",-MIN(0,CY$6*'Executive Summary'!$O$5))</f>
        <v>#VALUE!</v>
      </c>
      <c r="CZ46" s="688" t="e">
        <f aca="false">IF(CZ44="","",-MIN(0,CZ$6*'Executive Summary'!$O$5))</f>
        <v>#VALUE!</v>
      </c>
      <c r="DA46" s="688" t="e">
        <f aca="false">IF(DA44="","",-MIN(0,DA$6*'Executive Summary'!$O$5))</f>
        <v>#VALUE!</v>
      </c>
      <c r="DB46" s="688" t="e">
        <f aca="false">IF(DB44="","",-MIN(0,DB$6*'Executive Summary'!$O$5))</f>
        <v>#VALUE!</v>
      </c>
      <c r="DC46" s="688" t="e">
        <f aca="false">IF(DC44="","",-MIN(0,DC$6*'Executive Summary'!$O$5))</f>
        <v>#VALUE!</v>
      </c>
      <c r="DD46" s="688" t="e">
        <f aca="false">IF(DD44="","",-MIN(0,DD$6*'Executive Summary'!$O$5))</f>
        <v>#VALUE!</v>
      </c>
      <c r="DE46" s="688" t="e">
        <f aca="false">IF(DE44="","",-MIN(0,DE$6*'Executive Summary'!$O$5))</f>
        <v>#VALUE!</v>
      </c>
      <c r="DF46" s="688" t="e">
        <f aca="false">IF(DF44="","",-MIN(0,DF$6*'Executive Summary'!$O$5))</f>
        <v>#VALUE!</v>
      </c>
      <c r="DG46" s="688" t="e">
        <f aca="false">IF(DG44="","",-MIN(0,DG$6*'Executive Summary'!$O$5))</f>
        <v>#VALUE!</v>
      </c>
      <c r="DH46" s="688" t="e">
        <f aca="false">IF(DH44="","",-MIN(0,DH$6*'Executive Summary'!$O$5))</f>
        <v>#VALUE!</v>
      </c>
      <c r="DI46" s="688" t="e">
        <f aca="false">IF(DI44="","",-MIN(0,DI$6*'Executive Summary'!$O$5))</f>
        <v>#VALUE!</v>
      </c>
      <c r="DJ46" s="688" t="e">
        <f aca="false">IF(DJ44="","",-MIN(0,DJ$6*'Executive Summary'!$O$5))</f>
        <v>#VALUE!</v>
      </c>
      <c r="DK46" s="689" t="e">
        <f aca="false">IF(DK44="","",-MIN(0,DK$6*'Executive Summary'!$O$5))</f>
        <v>#VALUE!</v>
      </c>
      <c r="DL46" s="688" t="e">
        <f aca="false">IF(DL44="","",-MIN(0,DL$6*'Executive Summary'!$O$5))</f>
        <v>#VALUE!</v>
      </c>
      <c r="DM46" s="688" t="e">
        <f aca="false">IF(DM44="","",-MIN(0,DM$6*'Executive Summary'!$O$5))</f>
        <v>#VALUE!</v>
      </c>
      <c r="DN46" s="688" t="e">
        <f aca="false">IF(DN44="","",-MIN(0,DN$6*'Executive Summary'!$O$5))</f>
        <v>#VALUE!</v>
      </c>
      <c r="DO46" s="688" t="e">
        <f aca="false">IF(DO44="","",-MIN(0,DO$6*'Executive Summary'!$O$5))</f>
        <v>#VALUE!</v>
      </c>
      <c r="DP46" s="688" t="e">
        <f aca="false">IF(DP44="","",-MIN(0,DP$6*'Executive Summary'!$O$5))</f>
        <v>#VALUE!</v>
      </c>
      <c r="DQ46" s="688" t="e">
        <f aca="false">IF(DQ44="","",-MIN(0,DQ$6*'Executive Summary'!$O$5))</f>
        <v>#VALUE!</v>
      </c>
      <c r="DR46" s="688" t="e">
        <f aca="false">IF(DR44="","",-MIN(0,DR$6*'Executive Summary'!$O$5))</f>
        <v>#VALUE!</v>
      </c>
      <c r="DS46" s="688" t="e">
        <f aca="false">IF(DS44="","",-MIN(0,DS$6*'Executive Summary'!$O$5))</f>
        <v>#VALUE!</v>
      </c>
      <c r="DT46" s="688" t="e">
        <f aca="false">IF(DT44="","",-MIN(0,DT$6*'Executive Summary'!$O$5))</f>
        <v>#VALUE!</v>
      </c>
      <c r="DU46" s="688" t="e">
        <f aca="false">IF(DU44="","",-MIN(0,DU$6*'Executive Summary'!$O$5))</f>
        <v>#VALUE!</v>
      </c>
      <c r="DV46" s="690" t="e">
        <f aca="false">IF(DV44="","",-MIN(0,DV$6*'Executive Summary'!$O$5))</f>
        <v>#VALUE!</v>
      </c>
    </row>
    <row r="47" s="683" customFormat="true" ht="13.5" hidden="false" customHeight="true" outlineLevel="0" collapsed="false">
      <c r="A47" s="236"/>
      <c r="B47" s="69" t="s">
        <v>653</v>
      </c>
      <c r="C47" s="242"/>
      <c r="D47" s="242"/>
      <c r="E47" s="242"/>
      <c r="F47" s="688" t="n">
        <f aca="false">F37</f>
        <v>-2083229.222</v>
      </c>
      <c r="G47" s="689" t="e">
        <f aca="false">G37</f>
        <v>#VALUE!</v>
      </c>
      <c r="H47" s="688" t="e">
        <f aca="false">H37</f>
        <v>#VALUE!</v>
      </c>
      <c r="I47" s="688" t="e">
        <f aca="false">I37</f>
        <v>#VALUE!</v>
      </c>
      <c r="J47" s="688" t="e">
        <f aca="false">J37</f>
        <v>#VALUE!</v>
      </c>
      <c r="K47" s="688" t="e">
        <f aca="false">K37</f>
        <v>#VALUE!</v>
      </c>
      <c r="L47" s="688" t="e">
        <f aca="false">L37</f>
        <v>#VALUE!</v>
      </c>
      <c r="M47" s="688" t="e">
        <f aca="false">M37</f>
        <v>#VALUE!</v>
      </c>
      <c r="N47" s="688" t="e">
        <f aca="false">N37</f>
        <v>#VALUE!</v>
      </c>
      <c r="O47" s="688" t="e">
        <f aca="false">O37</f>
        <v>#VALUE!</v>
      </c>
      <c r="P47" s="688" t="e">
        <f aca="false">P37</f>
        <v>#VALUE!</v>
      </c>
      <c r="Q47" s="688" t="e">
        <f aca="false">Q37</f>
        <v>#VALUE!</v>
      </c>
      <c r="R47" s="688" t="e">
        <f aca="false">R37</f>
        <v>#VALUE!</v>
      </c>
      <c r="S47" s="689" t="e">
        <f aca="false">S37</f>
        <v>#VALUE!</v>
      </c>
      <c r="T47" s="688" t="e">
        <f aca="false">T37</f>
        <v>#VALUE!</v>
      </c>
      <c r="U47" s="688" t="e">
        <f aca="false">U37</f>
        <v>#VALUE!</v>
      </c>
      <c r="V47" s="688" t="e">
        <f aca="false">V37</f>
        <v>#VALUE!</v>
      </c>
      <c r="W47" s="688" t="e">
        <f aca="false">W37</f>
        <v>#VALUE!</v>
      </c>
      <c r="X47" s="688" t="e">
        <f aca="false">X37</f>
        <v>#VALUE!</v>
      </c>
      <c r="Y47" s="688" t="e">
        <f aca="false">Y37</f>
        <v>#VALUE!</v>
      </c>
      <c r="Z47" s="688" t="e">
        <f aca="false">Z37</f>
        <v>#VALUE!</v>
      </c>
      <c r="AA47" s="688" t="e">
        <f aca="false">AA37</f>
        <v>#VALUE!</v>
      </c>
      <c r="AB47" s="688" t="e">
        <f aca="false">AB37</f>
        <v>#VALUE!</v>
      </c>
      <c r="AC47" s="688" t="e">
        <f aca="false">AC37</f>
        <v>#VALUE!</v>
      </c>
      <c r="AD47" s="688" t="e">
        <f aca="false">AD37</f>
        <v>#VALUE!</v>
      </c>
      <c r="AE47" s="689" t="e">
        <f aca="false">AE37</f>
        <v>#VALUE!</v>
      </c>
      <c r="AF47" s="688" t="e">
        <f aca="false">AF37</f>
        <v>#VALUE!</v>
      </c>
      <c r="AG47" s="688" t="e">
        <f aca="false">AG37</f>
        <v>#VALUE!</v>
      </c>
      <c r="AH47" s="688" t="e">
        <f aca="false">AH37</f>
        <v>#VALUE!</v>
      </c>
      <c r="AI47" s="688" t="e">
        <f aca="false">AI37</f>
        <v>#VALUE!</v>
      </c>
      <c r="AJ47" s="688" t="e">
        <f aca="false">AJ37</f>
        <v>#VALUE!</v>
      </c>
      <c r="AK47" s="688" t="e">
        <f aca="false">AK37</f>
        <v>#VALUE!</v>
      </c>
      <c r="AL47" s="688" t="e">
        <f aca="false">AL37</f>
        <v>#VALUE!</v>
      </c>
      <c r="AM47" s="688" t="e">
        <f aca="false">AM37</f>
        <v>#VALUE!</v>
      </c>
      <c r="AN47" s="688" t="e">
        <f aca="false">AN37</f>
        <v>#VALUE!</v>
      </c>
      <c r="AO47" s="688" t="e">
        <f aca="false">AO37</f>
        <v>#VALUE!</v>
      </c>
      <c r="AP47" s="688" t="e">
        <f aca="false">AP37</f>
        <v>#VALUE!</v>
      </c>
      <c r="AQ47" s="689" t="e">
        <f aca="false">AQ37</f>
        <v>#VALUE!</v>
      </c>
      <c r="AR47" s="688" t="e">
        <f aca="false">AR37</f>
        <v>#VALUE!</v>
      </c>
      <c r="AS47" s="688" t="e">
        <f aca="false">AS37</f>
        <v>#VALUE!</v>
      </c>
      <c r="AT47" s="688" t="e">
        <f aca="false">AT37</f>
        <v>#VALUE!</v>
      </c>
      <c r="AU47" s="688" t="e">
        <f aca="false">AU37</f>
        <v>#VALUE!</v>
      </c>
      <c r="AV47" s="688" t="e">
        <f aca="false">AV37</f>
        <v>#VALUE!</v>
      </c>
      <c r="AW47" s="688" t="e">
        <f aca="false">AW37</f>
        <v>#VALUE!</v>
      </c>
      <c r="AX47" s="688" t="e">
        <f aca="false">AX37</f>
        <v>#VALUE!</v>
      </c>
      <c r="AY47" s="688" t="e">
        <f aca="false">AY37</f>
        <v>#VALUE!</v>
      </c>
      <c r="AZ47" s="688" t="e">
        <f aca="false">AZ37</f>
        <v>#VALUE!</v>
      </c>
      <c r="BA47" s="688" t="e">
        <f aca="false">BA37</f>
        <v>#VALUE!</v>
      </c>
      <c r="BB47" s="688" t="e">
        <f aca="false">BB37</f>
        <v>#VALUE!</v>
      </c>
      <c r="BC47" s="689" t="e">
        <f aca="false">BC37</f>
        <v>#VALUE!</v>
      </c>
      <c r="BD47" s="688" t="e">
        <f aca="false">BD37</f>
        <v>#VALUE!</v>
      </c>
      <c r="BE47" s="688" t="e">
        <f aca="false">BE37</f>
        <v>#VALUE!</v>
      </c>
      <c r="BF47" s="688" t="e">
        <f aca="false">BF37</f>
        <v>#VALUE!</v>
      </c>
      <c r="BG47" s="688" t="e">
        <f aca="false">BG37</f>
        <v>#VALUE!</v>
      </c>
      <c r="BH47" s="688" t="e">
        <f aca="false">BH37</f>
        <v>#VALUE!</v>
      </c>
      <c r="BI47" s="688" t="e">
        <f aca="false">BI37</f>
        <v>#VALUE!</v>
      </c>
      <c r="BJ47" s="688" t="e">
        <f aca="false">BJ37</f>
        <v>#VALUE!</v>
      </c>
      <c r="BK47" s="688" t="e">
        <f aca="false">BK37</f>
        <v>#VALUE!</v>
      </c>
      <c r="BL47" s="688" t="e">
        <f aca="false">BL37</f>
        <v>#VALUE!</v>
      </c>
      <c r="BM47" s="688" t="e">
        <f aca="false">BM37</f>
        <v>#VALUE!</v>
      </c>
      <c r="BN47" s="688" t="e">
        <f aca="false">BN37</f>
        <v>#VALUE!</v>
      </c>
      <c r="BO47" s="689" t="e">
        <f aca="false">BO37</f>
        <v>#VALUE!</v>
      </c>
      <c r="BP47" s="688" t="e">
        <f aca="false">BP37</f>
        <v>#VALUE!</v>
      </c>
      <c r="BQ47" s="688" t="e">
        <f aca="false">BQ37</f>
        <v>#VALUE!</v>
      </c>
      <c r="BR47" s="688" t="e">
        <f aca="false">BR37</f>
        <v>#VALUE!</v>
      </c>
      <c r="BS47" s="688" t="e">
        <f aca="false">BS37</f>
        <v>#VALUE!</v>
      </c>
      <c r="BT47" s="688" t="e">
        <f aca="false">BT37</f>
        <v>#VALUE!</v>
      </c>
      <c r="BU47" s="688" t="e">
        <f aca="false">BU37</f>
        <v>#VALUE!</v>
      </c>
      <c r="BV47" s="688" t="e">
        <f aca="false">BV37</f>
        <v>#VALUE!</v>
      </c>
      <c r="BW47" s="688" t="e">
        <f aca="false">BW37</f>
        <v>#VALUE!</v>
      </c>
      <c r="BX47" s="688" t="e">
        <f aca="false">BX37</f>
        <v>#VALUE!</v>
      </c>
      <c r="BY47" s="688" t="e">
        <f aca="false">BY37</f>
        <v>#VALUE!</v>
      </c>
      <c r="BZ47" s="688" t="e">
        <f aca="false">BZ37</f>
        <v>#VALUE!</v>
      </c>
      <c r="CA47" s="689" t="e">
        <f aca="false">CA37</f>
        <v>#VALUE!</v>
      </c>
      <c r="CB47" s="688" t="e">
        <f aca="false">CB37</f>
        <v>#VALUE!</v>
      </c>
      <c r="CC47" s="688" t="e">
        <f aca="false">CC37</f>
        <v>#VALUE!</v>
      </c>
      <c r="CD47" s="688" t="e">
        <f aca="false">CD37</f>
        <v>#VALUE!</v>
      </c>
      <c r="CE47" s="688" t="e">
        <f aca="false">CE37</f>
        <v>#VALUE!</v>
      </c>
      <c r="CF47" s="688" t="e">
        <f aca="false">CF37</f>
        <v>#VALUE!</v>
      </c>
      <c r="CG47" s="688" t="e">
        <f aca="false">CG37</f>
        <v>#VALUE!</v>
      </c>
      <c r="CH47" s="688" t="e">
        <f aca="false">CH37</f>
        <v>#VALUE!</v>
      </c>
      <c r="CI47" s="688" t="e">
        <f aca="false">CI37</f>
        <v>#VALUE!</v>
      </c>
      <c r="CJ47" s="688" t="e">
        <f aca="false">CJ37</f>
        <v>#VALUE!</v>
      </c>
      <c r="CK47" s="688" t="e">
        <f aca="false">CK37</f>
        <v>#VALUE!</v>
      </c>
      <c r="CL47" s="688" t="e">
        <f aca="false">CL37</f>
        <v>#VALUE!</v>
      </c>
      <c r="CM47" s="689" t="e">
        <f aca="false">CM37</f>
        <v>#VALUE!</v>
      </c>
      <c r="CN47" s="688" t="e">
        <f aca="false">CN37</f>
        <v>#VALUE!</v>
      </c>
      <c r="CO47" s="688" t="e">
        <f aca="false">CO37</f>
        <v>#VALUE!</v>
      </c>
      <c r="CP47" s="688" t="e">
        <f aca="false">CP37</f>
        <v>#VALUE!</v>
      </c>
      <c r="CQ47" s="688" t="e">
        <f aca="false">CQ37</f>
        <v>#VALUE!</v>
      </c>
      <c r="CR47" s="688" t="e">
        <f aca="false">CR37</f>
        <v>#VALUE!</v>
      </c>
      <c r="CS47" s="688" t="e">
        <f aca="false">CS37</f>
        <v>#VALUE!</v>
      </c>
      <c r="CT47" s="688" t="e">
        <f aca="false">CT37</f>
        <v>#VALUE!</v>
      </c>
      <c r="CU47" s="688" t="e">
        <f aca="false">CU37</f>
        <v>#VALUE!</v>
      </c>
      <c r="CV47" s="688" t="e">
        <f aca="false">CV37</f>
        <v>#VALUE!</v>
      </c>
      <c r="CW47" s="688" t="e">
        <f aca="false">CW37</f>
        <v>#VALUE!</v>
      </c>
      <c r="CX47" s="688" t="e">
        <f aca="false">CX37</f>
        <v>#VALUE!</v>
      </c>
      <c r="CY47" s="689" t="e">
        <f aca="false">CY37</f>
        <v>#VALUE!</v>
      </c>
      <c r="CZ47" s="688" t="e">
        <f aca="false">CZ37</f>
        <v>#VALUE!</v>
      </c>
      <c r="DA47" s="688" t="e">
        <f aca="false">DA37</f>
        <v>#VALUE!</v>
      </c>
      <c r="DB47" s="688" t="e">
        <f aca="false">DB37</f>
        <v>#VALUE!</v>
      </c>
      <c r="DC47" s="688" t="e">
        <f aca="false">DC37</f>
        <v>#VALUE!</v>
      </c>
      <c r="DD47" s="688" t="e">
        <f aca="false">DD37</f>
        <v>#VALUE!</v>
      </c>
      <c r="DE47" s="688" t="e">
        <f aca="false">DE37</f>
        <v>#VALUE!</v>
      </c>
      <c r="DF47" s="688" t="e">
        <f aca="false">DF37</f>
        <v>#VALUE!</v>
      </c>
      <c r="DG47" s="688" t="e">
        <f aca="false">DG37</f>
        <v>#VALUE!</v>
      </c>
      <c r="DH47" s="688" t="e">
        <f aca="false">DH37</f>
        <v>#VALUE!</v>
      </c>
      <c r="DI47" s="688" t="e">
        <f aca="false">DI37</f>
        <v>#VALUE!</v>
      </c>
      <c r="DJ47" s="688" t="e">
        <f aca="false">DJ37</f>
        <v>#VALUE!</v>
      </c>
      <c r="DK47" s="689" t="e">
        <f aca="false">DK37</f>
        <v>#VALUE!</v>
      </c>
      <c r="DL47" s="688" t="e">
        <f aca="false">DL37</f>
        <v>#VALUE!</v>
      </c>
      <c r="DM47" s="688" t="e">
        <f aca="false">DM37</f>
        <v>#VALUE!</v>
      </c>
      <c r="DN47" s="688" t="e">
        <f aca="false">DN37</f>
        <v>#VALUE!</v>
      </c>
      <c r="DO47" s="688" t="e">
        <f aca="false">DO37</f>
        <v>#VALUE!</v>
      </c>
      <c r="DP47" s="688" t="e">
        <f aca="false">DP37</f>
        <v>#VALUE!</v>
      </c>
      <c r="DQ47" s="688" t="e">
        <f aca="false">DQ37</f>
        <v>#VALUE!</v>
      </c>
      <c r="DR47" s="688" t="e">
        <f aca="false">DR37</f>
        <v>#VALUE!</v>
      </c>
      <c r="DS47" s="688" t="e">
        <f aca="false">DS37</f>
        <v>#VALUE!</v>
      </c>
      <c r="DT47" s="688" t="e">
        <f aca="false">DT37</f>
        <v>#VALUE!</v>
      </c>
      <c r="DU47" s="688" t="e">
        <f aca="false">DU37</f>
        <v>#VALUE!</v>
      </c>
      <c r="DV47" s="690" t="e">
        <f aca="false">DV37</f>
        <v>#VALUE!</v>
      </c>
    </row>
    <row r="48" s="683" customFormat="true" ht="13.5" hidden="false" customHeight="true" outlineLevel="0" collapsed="false">
      <c r="A48" s="236"/>
      <c r="B48" s="69" t="str">
        <f aca="false">"Distributions to LP "&amp;B42</f>
        <v>Distributions to LP Hurdle 2</v>
      </c>
      <c r="C48" s="242"/>
      <c r="D48" s="242"/>
      <c r="E48" s="242"/>
      <c r="F48" s="688" t="str">
        <f aca="false">IF(F44="","",MIN(F44+F45-F47,F40*'Executive Summary'!$T$21))</f>
        <v/>
      </c>
      <c r="G48" s="689" t="e">
        <f aca="false">IF(G44="","",MIN(G44+G45-G47,G40*'Executive Summary'!$T$21))</f>
        <v>#VALUE!</v>
      </c>
      <c r="H48" s="688" t="e">
        <f aca="false">IF(H44="","",MIN(H44+H45-H47,H40*'Executive Summary'!$T$21))</f>
        <v>#VALUE!</v>
      </c>
      <c r="I48" s="688" t="e">
        <f aca="false">IF(I44="","",MIN(I44+I45-I47,I40*'Executive Summary'!$T$21))</f>
        <v>#VALUE!</v>
      </c>
      <c r="J48" s="688" t="e">
        <f aca="false">IF(J44="","",MIN(J44+J45-J47,J40*'Executive Summary'!$T$21))</f>
        <v>#VALUE!</v>
      </c>
      <c r="K48" s="688" t="e">
        <f aca="false">IF(K44="","",MIN(K44+K45-K47,K40*'Executive Summary'!$T$21))</f>
        <v>#VALUE!</v>
      </c>
      <c r="L48" s="688" t="e">
        <f aca="false">IF(L44="","",MIN(L44+L45-L47,L40*'Executive Summary'!$T$21))</f>
        <v>#VALUE!</v>
      </c>
      <c r="M48" s="688" t="e">
        <f aca="false">IF(M44="","",MIN(M44+M45-M47,M40*'Executive Summary'!$T$21))</f>
        <v>#VALUE!</v>
      </c>
      <c r="N48" s="688" t="e">
        <f aca="false">IF(N44="","",MIN(N44+N45-N47,N40*'Executive Summary'!$T$21))</f>
        <v>#VALUE!</v>
      </c>
      <c r="O48" s="688" t="e">
        <f aca="false">IF(O44="","",MIN(O44+O45-O47,O40*'Executive Summary'!$T$21))</f>
        <v>#VALUE!</v>
      </c>
      <c r="P48" s="688" t="e">
        <f aca="false">IF(P44="","",MIN(P44+P45-P47,P40*'Executive Summary'!$T$21))</f>
        <v>#VALUE!</v>
      </c>
      <c r="Q48" s="688" t="e">
        <f aca="false">IF(Q44="","",MIN(Q44+Q45-Q47,Q40*'Executive Summary'!$T$21))</f>
        <v>#VALUE!</v>
      </c>
      <c r="R48" s="688" t="e">
        <f aca="false">IF(R44="","",MIN(R44+R45-R47,R40*'Executive Summary'!$T$21))</f>
        <v>#VALUE!</v>
      </c>
      <c r="S48" s="689" t="e">
        <f aca="false">IF(S44="","",MIN(S44+S45-S47,S40*'Executive Summary'!$T$21))</f>
        <v>#VALUE!</v>
      </c>
      <c r="T48" s="688" t="e">
        <f aca="false">IF(T44="","",MIN(T44+T45-T47,T40*'Executive Summary'!$T$21))</f>
        <v>#VALUE!</v>
      </c>
      <c r="U48" s="688" t="e">
        <f aca="false">IF(U44="","",MIN(U44+U45-U47,U40*'Executive Summary'!$T$21))</f>
        <v>#VALUE!</v>
      </c>
      <c r="V48" s="688" t="e">
        <f aca="false">IF(V44="","",MIN(V44+V45-V47,V40*'Executive Summary'!$T$21))</f>
        <v>#VALUE!</v>
      </c>
      <c r="W48" s="688" t="e">
        <f aca="false">IF(W44="","",MIN(W44+W45-W47,W40*'Executive Summary'!$T$21))</f>
        <v>#VALUE!</v>
      </c>
      <c r="X48" s="688" t="e">
        <f aca="false">IF(X44="","",MIN(X44+X45-X47,X40*'Executive Summary'!$T$21))</f>
        <v>#VALUE!</v>
      </c>
      <c r="Y48" s="688" t="e">
        <f aca="false">IF(Y44="","",MIN(Y44+Y45-Y47,Y40*'Executive Summary'!$T$21))</f>
        <v>#VALUE!</v>
      </c>
      <c r="Z48" s="688" t="e">
        <f aca="false">IF(Z44="","",MIN(Z44+Z45-Z47,Z40*'Executive Summary'!$T$21))</f>
        <v>#VALUE!</v>
      </c>
      <c r="AA48" s="688" t="e">
        <f aca="false">IF(AA44="","",MIN(AA44+AA45-AA47,AA40*'Executive Summary'!$T$21))</f>
        <v>#VALUE!</v>
      </c>
      <c r="AB48" s="688" t="e">
        <f aca="false">IF(AB44="","",MIN(AB44+AB45-AB47,AB40*'Executive Summary'!$T$21))</f>
        <v>#VALUE!</v>
      </c>
      <c r="AC48" s="688" t="e">
        <f aca="false">IF(AC44="","",MIN(AC44+AC45-AC47,AC40*'Executive Summary'!$T$21))</f>
        <v>#VALUE!</v>
      </c>
      <c r="AD48" s="688" t="e">
        <f aca="false">IF(AD44="","",MIN(AD44+AD45-AD47,AD40*'Executive Summary'!$T$21))</f>
        <v>#VALUE!</v>
      </c>
      <c r="AE48" s="689" t="e">
        <f aca="false">IF(AE44="","",MIN(AE44+AE45-AE47,AE40*'Executive Summary'!$T$21))</f>
        <v>#VALUE!</v>
      </c>
      <c r="AF48" s="688" t="e">
        <f aca="false">IF(AF44="","",MIN(AF44+AF45-AF47,AF40*'Executive Summary'!$T$21))</f>
        <v>#VALUE!</v>
      </c>
      <c r="AG48" s="688" t="e">
        <f aca="false">IF(AG44="","",MIN(AG44+AG45-AG47,AG40*'Executive Summary'!$T$21))</f>
        <v>#VALUE!</v>
      </c>
      <c r="AH48" s="688" t="e">
        <f aca="false">IF(AH44="","",MIN(AH44+AH45-AH47,AH40*'Executive Summary'!$T$21))</f>
        <v>#VALUE!</v>
      </c>
      <c r="AI48" s="688" t="e">
        <f aca="false">IF(AI44="","",MIN(AI44+AI45-AI47,AI40*'Executive Summary'!$T$21))</f>
        <v>#VALUE!</v>
      </c>
      <c r="AJ48" s="688" t="e">
        <f aca="false">IF(AJ44="","",MIN(AJ44+AJ45-AJ47,AJ40*'Executive Summary'!$T$21))</f>
        <v>#VALUE!</v>
      </c>
      <c r="AK48" s="688" t="e">
        <f aca="false">IF(AK44="","",MIN(AK44+AK45-AK47,AK40*'Executive Summary'!$T$21))</f>
        <v>#VALUE!</v>
      </c>
      <c r="AL48" s="688" t="e">
        <f aca="false">IF(AL44="","",MIN(AL44+AL45-AL47,AL40*'Executive Summary'!$T$21))</f>
        <v>#VALUE!</v>
      </c>
      <c r="AM48" s="688" t="e">
        <f aca="false">IF(AM44="","",MIN(AM44+AM45-AM47,AM40*'Executive Summary'!$T$21))</f>
        <v>#VALUE!</v>
      </c>
      <c r="AN48" s="688" t="e">
        <f aca="false">IF(AN44="","",MIN(AN44+AN45-AN47,AN40*'Executive Summary'!$T$21))</f>
        <v>#VALUE!</v>
      </c>
      <c r="AO48" s="688" t="e">
        <f aca="false">IF(AO44="","",MIN(AO44+AO45-AO47,AO40*'Executive Summary'!$T$21))</f>
        <v>#VALUE!</v>
      </c>
      <c r="AP48" s="688" t="e">
        <f aca="false">IF(AP44="","",MIN(AP44+AP45-AP47,AP40*'Executive Summary'!$T$21))</f>
        <v>#VALUE!</v>
      </c>
      <c r="AQ48" s="689" t="e">
        <f aca="false">IF(AQ44="","",MIN(AQ44+AQ45-AQ47,AQ40*'Executive Summary'!$T$21))</f>
        <v>#VALUE!</v>
      </c>
      <c r="AR48" s="688" t="e">
        <f aca="false">IF(AR44="","",MIN(AR44+AR45-AR47,AR40*'Executive Summary'!$T$21))</f>
        <v>#VALUE!</v>
      </c>
      <c r="AS48" s="688" t="e">
        <f aca="false">IF(AS44="","",MIN(AS44+AS45-AS47,AS40*'Executive Summary'!$T$21))</f>
        <v>#VALUE!</v>
      </c>
      <c r="AT48" s="688" t="e">
        <f aca="false">IF(AT44="","",MIN(AT44+AT45-AT47,AT40*'Executive Summary'!$T$21))</f>
        <v>#VALUE!</v>
      </c>
      <c r="AU48" s="688" t="e">
        <f aca="false">IF(AU44="","",MIN(AU44+AU45-AU47,AU40*'Executive Summary'!$T$21))</f>
        <v>#VALUE!</v>
      </c>
      <c r="AV48" s="688" t="e">
        <f aca="false">IF(AV44="","",MIN(AV44+AV45-AV47,AV40*'Executive Summary'!$T$21))</f>
        <v>#VALUE!</v>
      </c>
      <c r="AW48" s="688" t="e">
        <f aca="false">IF(AW44="","",MIN(AW44+AW45-AW47,AW40*'Executive Summary'!$T$21))</f>
        <v>#VALUE!</v>
      </c>
      <c r="AX48" s="688" t="e">
        <f aca="false">IF(AX44="","",MIN(AX44+AX45-AX47,AX40*'Executive Summary'!$T$21))</f>
        <v>#VALUE!</v>
      </c>
      <c r="AY48" s="688" t="e">
        <f aca="false">IF(AY44="","",MIN(AY44+AY45-AY47,AY40*'Executive Summary'!$T$21))</f>
        <v>#VALUE!</v>
      </c>
      <c r="AZ48" s="688" t="e">
        <f aca="false">IF(AZ44="","",MIN(AZ44+AZ45-AZ47,AZ40*'Executive Summary'!$T$21))</f>
        <v>#VALUE!</v>
      </c>
      <c r="BA48" s="688" t="e">
        <f aca="false">IF(BA44="","",MIN(BA44+BA45-BA47,BA40*'Executive Summary'!$T$21))</f>
        <v>#VALUE!</v>
      </c>
      <c r="BB48" s="688" t="e">
        <f aca="false">IF(BB44="","",MIN(BB44+BB45-BB47,BB40*'Executive Summary'!$T$21))</f>
        <v>#VALUE!</v>
      </c>
      <c r="BC48" s="689" t="e">
        <f aca="false">IF(BC44="","",MIN(BC44+BC45-BC47,BC40*'Executive Summary'!$T$21))</f>
        <v>#VALUE!</v>
      </c>
      <c r="BD48" s="688" t="e">
        <f aca="false">IF(BD44="","",MIN(BD44+BD45-BD47,BD40*'Executive Summary'!$T$21))</f>
        <v>#VALUE!</v>
      </c>
      <c r="BE48" s="688" t="e">
        <f aca="false">IF(BE44="","",MIN(BE44+BE45-BE47,BE40*'Executive Summary'!$T$21))</f>
        <v>#VALUE!</v>
      </c>
      <c r="BF48" s="688" t="e">
        <f aca="false">IF(BF44="","",MIN(BF44+BF45-BF47,BF40*'Executive Summary'!$T$21))</f>
        <v>#VALUE!</v>
      </c>
      <c r="BG48" s="688" t="e">
        <f aca="false">IF(BG44="","",MIN(BG44+BG45-BG47,BG40*'Executive Summary'!$T$21))</f>
        <v>#VALUE!</v>
      </c>
      <c r="BH48" s="688" t="e">
        <f aca="false">IF(BH44="","",MIN(BH44+BH45-BH47,BH40*'Executive Summary'!$T$21))</f>
        <v>#VALUE!</v>
      </c>
      <c r="BI48" s="688" t="e">
        <f aca="false">IF(BI44="","",MIN(BI44+BI45-BI47,BI40*'Executive Summary'!$T$21))</f>
        <v>#VALUE!</v>
      </c>
      <c r="BJ48" s="688" t="e">
        <f aca="false">IF(BJ44="","",MIN(BJ44+BJ45-BJ47,BJ40*'Executive Summary'!$T$21))</f>
        <v>#VALUE!</v>
      </c>
      <c r="BK48" s="688" t="e">
        <f aca="false">IF(BK44="","",MIN(BK44+BK45-BK47,BK40*'Executive Summary'!$T$21))</f>
        <v>#VALUE!</v>
      </c>
      <c r="BL48" s="688" t="e">
        <f aca="false">IF(BL44="","",MIN(BL44+BL45-BL47,BL40*'Executive Summary'!$T$21))</f>
        <v>#VALUE!</v>
      </c>
      <c r="BM48" s="688" t="e">
        <f aca="false">IF(BM44="","",MIN(BM44+BM45-BM47,BM40*'Executive Summary'!$T$21))</f>
        <v>#VALUE!</v>
      </c>
      <c r="BN48" s="688" t="e">
        <f aca="false">IF(BN44="","",MIN(BN44+BN45-BN47,BN40*'Executive Summary'!$T$21))</f>
        <v>#VALUE!</v>
      </c>
      <c r="BO48" s="689" t="e">
        <f aca="false">IF(BO44="","",MIN(BO44+BO45-BO47,BO40*'Executive Summary'!$T$21))</f>
        <v>#VALUE!</v>
      </c>
      <c r="BP48" s="688" t="e">
        <f aca="false">IF(BP44="","",MIN(BP44+BP45-BP47,BP40*'Executive Summary'!$T$21))</f>
        <v>#VALUE!</v>
      </c>
      <c r="BQ48" s="688" t="e">
        <f aca="false">IF(BQ44="","",MIN(BQ44+BQ45-BQ47,BQ40*'Executive Summary'!$T$21))</f>
        <v>#VALUE!</v>
      </c>
      <c r="BR48" s="688" t="e">
        <f aca="false">IF(BR44="","",MIN(BR44+BR45-BR47,BR40*'Executive Summary'!$T$21))</f>
        <v>#VALUE!</v>
      </c>
      <c r="BS48" s="688" t="e">
        <f aca="false">IF(BS44="","",MIN(BS44+BS45-BS47,BS40*'Executive Summary'!$T$21))</f>
        <v>#VALUE!</v>
      </c>
      <c r="BT48" s="688" t="e">
        <f aca="false">IF(BT44="","",MIN(BT44+BT45-BT47,BT40*'Executive Summary'!$T$21))</f>
        <v>#VALUE!</v>
      </c>
      <c r="BU48" s="688" t="e">
        <f aca="false">IF(BU44="","",MIN(BU44+BU45-BU47,BU40*'Executive Summary'!$T$21))</f>
        <v>#VALUE!</v>
      </c>
      <c r="BV48" s="688" t="e">
        <f aca="false">IF(BV44="","",MIN(BV44+BV45-BV47,BV40*'Executive Summary'!$T$21))</f>
        <v>#VALUE!</v>
      </c>
      <c r="BW48" s="688" t="e">
        <f aca="false">IF(BW44="","",MIN(BW44+BW45-BW47,BW40*'Executive Summary'!$T$21))</f>
        <v>#VALUE!</v>
      </c>
      <c r="BX48" s="688" t="e">
        <f aca="false">IF(BX44="","",MIN(BX44+BX45-BX47,BX40*'Executive Summary'!$T$21))</f>
        <v>#VALUE!</v>
      </c>
      <c r="BY48" s="688" t="e">
        <f aca="false">IF(BY44="","",MIN(BY44+BY45-BY47,BY40*'Executive Summary'!$T$21))</f>
        <v>#VALUE!</v>
      </c>
      <c r="BZ48" s="688" t="e">
        <f aca="false">IF(BZ44="","",MIN(BZ44+BZ45-BZ47,BZ40*'Executive Summary'!$T$21))</f>
        <v>#VALUE!</v>
      </c>
      <c r="CA48" s="689" t="e">
        <f aca="false">IF(CA44="","",MIN(CA44+CA45-CA47,CA40*'Executive Summary'!$T$21))</f>
        <v>#VALUE!</v>
      </c>
      <c r="CB48" s="688" t="e">
        <f aca="false">IF(CB44="","",MIN(CB44+CB45-CB47,CB40*'Executive Summary'!$T$21))</f>
        <v>#VALUE!</v>
      </c>
      <c r="CC48" s="688" t="e">
        <f aca="false">IF(CC44="","",MIN(CC44+CC45-CC47,CC40*'Executive Summary'!$T$21))</f>
        <v>#VALUE!</v>
      </c>
      <c r="CD48" s="688" t="e">
        <f aca="false">IF(CD44="","",MIN(CD44+CD45-CD47,CD40*'Executive Summary'!$T$21))</f>
        <v>#VALUE!</v>
      </c>
      <c r="CE48" s="688" t="e">
        <f aca="false">IF(CE44="","",MIN(CE44+CE45-CE47,CE40*'Executive Summary'!$T$21))</f>
        <v>#VALUE!</v>
      </c>
      <c r="CF48" s="688" t="e">
        <f aca="false">IF(CF44="","",MIN(CF44+CF45-CF47,CF40*'Executive Summary'!$T$21))</f>
        <v>#VALUE!</v>
      </c>
      <c r="CG48" s="688" t="e">
        <f aca="false">IF(CG44="","",MIN(CG44+CG45-CG47,CG40*'Executive Summary'!$T$21))</f>
        <v>#VALUE!</v>
      </c>
      <c r="CH48" s="688" t="e">
        <f aca="false">IF(CH44="","",MIN(CH44+CH45-CH47,CH40*'Executive Summary'!$T$21))</f>
        <v>#VALUE!</v>
      </c>
      <c r="CI48" s="688" t="e">
        <f aca="false">IF(CI44="","",MIN(CI44+CI45-CI47,CI40*'Executive Summary'!$T$21))</f>
        <v>#VALUE!</v>
      </c>
      <c r="CJ48" s="688" t="e">
        <f aca="false">IF(CJ44="","",MIN(CJ44+CJ45-CJ47,CJ40*'Executive Summary'!$T$21))</f>
        <v>#VALUE!</v>
      </c>
      <c r="CK48" s="688" t="e">
        <f aca="false">IF(CK44="","",MIN(CK44+CK45-CK47,CK40*'Executive Summary'!$T$21))</f>
        <v>#VALUE!</v>
      </c>
      <c r="CL48" s="688" t="e">
        <f aca="false">IF(CL44="","",MIN(CL44+CL45-CL47,CL40*'Executive Summary'!$T$21))</f>
        <v>#VALUE!</v>
      </c>
      <c r="CM48" s="689" t="e">
        <f aca="false">IF(CM44="","",MIN(CM44+CM45-CM47,CM40*'Executive Summary'!$T$21))</f>
        <v>#VALUE!</v>
      </c>
      <c r="CN48" s="688" t="e">
        <f aca="false">IF(CN44="","",MIN(CN44+CN45-CN47,CN40*'Executive Summary'!$T$21))</f>
        <v>#VALUE!</v>
      </c>
      <c r="CO48" s="688" t="e">
        <f aca="false">IF(CO44="","",MIN(CO44+CO45-CO47,CO40*'Executive Summary'!$T$21))</f>
        <v>#VALUE!</v>
      </c>
      <c r="CP48" s="688" t="e">
        <f aca="false">IF(CP44="","",MIN(CP44+CP45-CP47,CP40*'Executive Summary'!$T$21))</f>
        <v>#VALUE!</v>
      </c>
      <c r="CQ48" s="688" t="e">
        <f aca="false">IF(CQ44="","",MIN(CQ44+CQ45-CQ47,CQ40*'Executive Summary'!$T$21))</f>
        <v>#VALUE!</v>
      </c>
      <c r="CR48" s="688" t="e">
        <f aca="false">IF(CR44="","",MIN(CR44+CR45-CR47,CR40*'Executive Summary'!$T$21))</f>
        <v>#VALUE!</v>
      </c>
      <c r="CS48" s="688" t="e">
        <f aca="false">IF(CS44="","",MIN(CS44+CS45-CS47,CS40*'Executive Summary'!$T$21))</f>
        <v>#VALUE!</v>
      </c>
      <c r="CT48" s="688" t="e">
        <f aca="false">IF(CT44="","",MIN(CT44+CT45-CT47,CT40*'Executive Summary'!$T$21))</f>
        <v>#VALUE!</v>
      </c>
      <c r="CU48" s="688" t="e">
        <f aca="false">IF(CU44="","",MIN(CU44+CU45-CU47,CU40*'Executive Summary'!$T$21))</f>
        <v>#VALUE!</v>
      </c>
      <c r="CV48" s="688" t="e">
        <f aca="false">IF(CV44="","",MIN(CV44+CV45-CV47,CV40*'Executive Summary'!$T$21))</f>
        <v>#VALUE!</v>
      </c>
      <c r="CW48" s="688" t="e">
        <f aca="false">IF(CW44="","",MIN(CW44+CW45-CW47,CW40*'Executive Summary'!$T$21))</f>
        <v>#VALUE!</v>
      </c>
      <c r="CX48" s="688" t="e">
        <f aca="false">IF(CX44="","",MIN(CX44+CX45-CX47,CX40*'Executive Summary'!$T$21))</f>
        <v>#VALUE!</v>
      </c>
      <c r="CY48" s="689" t="e">
        <f aca="false">IF(CY44="","",MIN(CY44+CY45-CY47,CY40*'Executive Summary'!$T$21))</f>
        <v>#VALUE!</v>
      </c>
      <c r="CZ48" s="688" t="e">
        <f aca="false">IF(CZ44="","",MIN(CZ44+CZ45-CZ47,CZ40*'Executive Summary'!$T$21))</f>
        <v>#VALUE!</v>
      </c>
      <c r="DA48" s="688" t="e">
        <f aca="false">IF(DA44="","",MIN(DA44+DA45-DA47,DA40*'Executive Summary'!$T$21))</f>
        <v>#VALUE!</v>
      </c>
      <c r="DB48" s="688" t="e">
        <f aca="false">IF(DB44="","",MIN(DB44+DB45-DB47,DB40*'Executive Summary'!$T$21))</f>
        <v>#VALUE!</v>
      </c>
      <c r="DC48" s="688" t="e">
        <f aca="false">IF(DC44="","",MIN(DC44+DC45-DC47,DC40*'Executive Summary'!$T$21))</f>
        <v>#VALUE!</v>
      </c>
      <c r="DD48" s="688" t="e">
        <f aca="false">IF(DD44="","",MIN(DD44+DD45-DD47,DD40*'Executive Summary'!$T$21))</f>
        <v>#VALUE!</v>
      </c>
      <c r="DE48" s="688" t="e">
        <f aca="false">IF(DE44="","",MIN(DE44+DE45-DE47,DE40*'Executive Summary'!$T$21))</f>
        <v>#VALUE!</v>
      </c>
      <c r="DF48" s="688" t="e">
        <f aca="false">IF(DF44="","",MIN(DF44+DF45-DF47,DF40*'Executive Summary'!$T$21))</f>
        <v>#VALUE!</v>
      </c>
      <c r="DG48" s="688" t="e">
        <f aca="false">IF(DG44="","",MIN(DG44+DG45-DG47,DG40*'Executive Summary'!$T$21))</f>
        <v>#VALUE!</v>
      </c>
      <c r="DH48" s="688" t="e">
        <f aca="false">IF(DH44="","",MIN(DH44+DH45-DH47,DH40*'Executive Summary'!$T$21))</f>
        <v>#VALUE!</v>
      </c>
      <c r="DI48" s="688" t="e">
        <f aca="false">IF(DI44="","",MIN(DI44+DI45-DI47,DI40*'Executive Summary'!$T$21))</f>
        <v>#VALUE!</v>
      </c>
      <c r="DJ48" s="688" t="e">
        <f aca="false">IF(DJ44="","",MIN(DJ44+DJ45-DJ47,DJ40*'Executive Summary'!$T$21))</f>
        <v>#VALUE!</v>
      </c>
      <c r="DK48" s="689" t="e">
        <f aca="false">IF(DK44="","",MIN(DK44+DK45-DK47,DK40*'Executive Summary'!$T$21))</f>
        <v>#VALUE!</v>
      </c>
      <c r="DL48" s="688" t="e">
        <f aca="false">IF(DL44="","",MIN(DL44+DL45-DL47,DL40*'Executive Summary'!$T$21))</f>
        <v>#VALUE!</v>
      </c>
      <c r="DM48" s="688" t="e">
        <f aca="false">IF(DM44="","",MIN(DM44+DM45-DM47,DM40*'Executive Summary'!$T$21))</f>
        <v>#VALUE!</v>
      </c>
      <c r="DN48" s="688" t="e">
        <f aca="false">IF(DN44="","",MIN(DN44+DN45-DN47,DN40*'Executive Summary'!$T$21))</f>
        <v>#VALUE!</v>
      </c>
      <c r="DO48" s="688" t="e">
        <f aca="false">IF(DO44="","",MIN(DO44+DO45-DO47,DO40*'Executive Summary'!$T$21))</f>
        <v>#VALUE!</v>
      </c>
      <c r="DP48" s="688" t="e">
        <f aca="false">IF(DP44="","",MIN(DP44+DP45-DP47,DP40*'Executive Summary'!$T$21))</f>
        <v>#VALUE!</v>
      </c>
      <c r="DQ48" s="688" t="e">
        <f aca="false">IF(DQ44="","",MIN(DQ44+DQ45-DQ47,DQ40*'Executive Summary'!$T$21))</f>
        <v>#VALUE!</v>
      </c>
      <c r="DR48" s="688" t="e">
        <f aca="false">IF(DR44="","",MIN(DR44+DR45-DR47,DR40*'Executive Summary'!$T$21))</f>
        <v>#VALUE!</v>
      </c>
      <c r="DS48" s="688" t="e">
        <f aca="false">IF(DS44="","",MIN(DS44+DS45-DS47,DS40*'Executive Summary'!$T$21))</f>
        <v>#VALUE!</v>
      </c>
      <c r="DT48" s="688" t="e">
        <f aca="false">IF(DT44="","",MIN(DT44+DT45-DT47,DT40*'Executive Summary'!$T$21))</f>
        <v>#VALUE!</v>
      </c>
      <c r="DU48" s="688" t="e">
        <f aca="false">IF(DU44="","",MIN(DU44+DU45-DU47,DU40*'Executive Summary'!$T$21))</f>
        <v>#VALUE!</v>
      </c>
      <c r="DV48" s="690" t="e">
        <f aca="false">IF(DV44="","",MIN(DV44+DV45-DV47,DV40*'Executive Summary'!$T$21))</f>
        <v>#VALUE!</v>
      </c>
    </row>
    <row r="49" s="683" customFormat="true" ht="13.5" hidden="false" customHeight="true" outlineLevel="0" collapsed="false">
      <c r="A49" s="236"/>
      <c r="B49" s="69" t="s">
        <v>649</v>
      </c>
      <c r="C49" s="242"/>
      <c r="D49" s="242"/>
      <c r="E49" s="242"/>
      <c r="F49" s="688" t="e">
        <f aca="false">F44+F46-F48</f>
        <v>#VALUE!</v>
      </c>
      <c r="G49" s="689" t="e">
        <f aca="false">IF(G44="","",G44+G45+G46-G47-G48)</f>
        <v>#VALUE!</v>
      </c>
      <c r="H49" s="688" t="e">
        <f aca="false">IF(H44="","",H44+H45+H46-H47-H48)</f>
        <v>#VALUE!</v>
      </c>
      <c r="I49" s="688" t="e">
        <f aca="false">IF(I44="","",I44+I45+I46-I47-I48)</f>
        <v>#VALUE!</v>
      </c>
      <c r="J49" s="688" t="e">
        <f aca="false">IF(J44="","",J44+J45+J46-J47-J48)</f>
        <v>#VALUE!</v>
      </c>
      <c r="K49" s="688" t="e">
        <f aca="false">IF(K44="","",K44+K45+K46-K47-K48)</f>
        <v>#VALUE!</v>
      </c>
      <c r="L49" s="688" t="e">
        <f aca="false">IF(L44="","",L44+L45+L46-L47-L48)</f>
        <v>#VALUE!</v>
      </c>
      <c r="M49" s="688" t="e">
        <f aca="false">IF(M44="","",M44+M45+M46-M47-M48)</f>
        <v>#VALUE!</v>
      </c>
      <c r="N49" s="688" t="e">
        <f aca="false">IF(N44="","",N44+N45+N46-N47-N48)</f>
        <v>#VALUE!</v>
      </c>
      <c r="O49" s="688" t="e">
        <f aca="false">IF(O44="","",O44+O45+O46-O47-O48)</f>
        <v>#VALUE!</v>
      </c>
      <c r="P49" s="688" t="e">
        <f aca="false">IF(P44="","",P44+P45+P46-P47-P48)</f>
        <v>#VALUE!</v>
      </c>
      <c r="Q49" s="688" t="e">
        <f aca="false">IF(Q44="","",Q44+Q45+Q46-Q47-Q48)</f>
        <v>#VALUE!</v>
      </c>
      <c r="R49" s="688" t="e">
        <f aca="false">IF(R44="","",R44+R45+R46-R47-R48)</f>
        <v>#VALUE!</v>
      </c>
      <c r="S49" s="689" t="e">
        <f aca="false">IF(S44="","",S44+S45+S46-S47-S48)</f>
        <v>#VALUE!</v>
      </c>
      <c r="T49" s="688" t="e">
        <f aca="false">IF(T44="","",T44+T45+T46-T47-T48)</f>
        <v>#VALUE!</v>
      </c>
      <c r="U49" s="688" t="e">
        <f aca="false">IF(U44="","",U44+U45+U46-U47-U48)</f>
        <v>#VALUE!</v>
      </c>
      <c r="V49" s="688" t="e">
        <f aca="false">IF(V44="","",V44+V45+V46-V47-V48)</f>
        <v>#VALUE!</v>
      </c>
      <c r="W49" s="688" t="e">
        <f aca="false">IF(W44="","",W44+W45+W46-W47-W48)</f>
        <v>#VALUE!</v>
      </c>
      <c r="X49" s="688" t="e">
        <f aca="false">IF(X44="","",X44+X45+X46-X47-X48)</f>
        <v>#VALUE!</v>
      </c>
      <c r="Y49" s="688" t="e">
        <f aca="false">IF(Y44="","",Y44+Y45+Y46-Y47-Y48)</f>
        <v>#VALUE!</v>
      </c>
      <c r="Z49" s="688" t="e">
        <f aca="false">IF(Z44="","",Z44+Z45+Z46-Z47-Z48)</f>
        <v>#VALUE!</v>
      </c>
      <c r="AA49" s="688" t="e">
        <f aca="false">IF(AA44="","",AA44+AA45+AA46-AA47-AA48)</f>
        <v>#VALUE!</v>
      </c>
      <c r="AB49" s="688" t="e">
        <f aca="false">IF(AB44="","",AB44+AB45+AB46-AB47-AB48)</f>
        <v>#VALUE!</v>
      </c>
      <c r="AC49" s="688" t="e">
        <f aca="false">IF(AC44="","",AC44+AC45+AC46-AC47-AC48)</f>
        <v>#VALUE!</v>
      </c>
      <c r="AD49" s="688" t="e">
        <f aca="false">IF(AD44="","",AD44+AD45+AD46-AD47-AD48)</f>
        <v>#VALUE!</v>
      </c>
      <c r="AE49" s="689" t="e">
        <f aca="false">IF(AE44="","",AE44+AE45+AE46-AE47-AE48)</f>
        <v>#VALUE!</v>
      </c>
      <c r="AF49" s="688" t="e">
        <f aca="false">IF(AF44="","",AF44+AF45+AF46-AF47-AF48)</f>
        <v>#VALUE!</v>
      </c>
      <c r="AG49" s="688" t="e">
        <f aca="false">IF(AG44="","",AG44+AG45+AG46-AG47-AG48)</f>
        <v>#VALUE!</v>
      </c>
      <c r="AH49" s="688" t="e">
        <f aca="false">IF(AH44="","",AH44+AH45+AH46-AH47-AH48)</f>
        <v>#VALUE!</v>
      </c>
      <c r="AI49" s="688" t="e">
        <f aca="false">IF(AI44="","",AI44+AI45+AI46-AI47-AI48)</f>
        <v>#VALUE!</v>
      </c>
      <c r="AJ49" s="688" t="e">
        <f aca="false">IF(AJ44="","",AJ44+AJ45+AJ46-AJ47-AJ48)</f>
        <v>#VALUE!</v>
      </c>
      <c r="AK49" s="688" t="e">
        <f aca="false">IF(AK44="","",AK44+AK45+AK46-AK47-AK48)</f>
        <v>#VALUE!</v>
      </c>
      <c r="AL49" s="688" t="e">
        <f aca="false">IF(AL44="","",AL44+AL45+AL46-AL47-AL48)</f>
        <v>#VALUE!</v>
      </c>
      <c r="AM49" s="688" t="e">
        <f aca="false">IF(AM44="","",AM44+AM45+AM46-AM47-AM48)</f>
        <v>#VALUE!</v>
      </c>
      <c r="AN49" s="688" t="e">
        <f aca="false">IF(AN44="","",AN44+AN45+AN46-AN47-AN48)</f>
        <v>#VALUE!</v>
      </c>
      <c r="AO49" s="688" t="e">
        <f aca="false">IF(AO44="","",AO44+AO45+AO46-AO47-AO48)</f>
        <v>#VALUE!</v>
      </c>
      <c r="AP49" s="688" t="e">
        <f aca="false">IF(AP44="","",AP44+AP45+AP46-AP47-AP48)</f>
        <v>#VALUE!</v>
      </c>
      <c r="AQ49" s="689" t="e">
        <f aca="false">IF(AQ44="","",AQ44+AQ45+AQ46-AQ47-AQ48)</f>
        <v>#VALUE!</v>
      </c>
      <c r="AR49" s="688" t="e">
        <f aca="false">IF(AR44="","",AR44+AR45+AR46-AR47-AR48)</f>
        <v>#VALUE!</v>
      </c>
      <c r="AS49" s="688" t="e">
        <f aca="false">IF(AS44="","",AS44+AS45+AS46-AS47-AS48)</f>
        <v>#VALUE!</v>
      </c>
      <c r="AT49" s="688" t="e">
        <f aca="false">IF(AT44="","",AT44+AT45+AT46-AT47-AT48)</f>
        <v>#VALUE!</v>
      </c>
      <c r="AU49" s="688" t="e">
        <f aca="false">IF(AU44="","",AU44+AU45+AU46-AU47-AU48)</f>
        <v>#VALUE!</v>
      </c>
      <c r="AV49" s="688" t="e">
        <f aca="false">IF(AV44="","",AV44+AV45+AV46-AV47-AV48)</f>
        <v>#VALUE!</v>
      </c>
      <c r="AW49" s="688" t="e">
        <f aca="false">IF(AW44="","",AW44+AW45+AW46-AW47-AW48)</f>
        <v>#VALUE!</v>
      </c>
      <c r="AX49" s="688" t="e">
        <f aca="false">IF(AX44="","",AX44+AX45+AX46-AX47-AX48)</f>
        <v>#VALUE!</v>
      </c>
      <c r="AY49" s="688" t="e">
        <f aca="false">IF(AY44="","",AY44+AY45+AY46-AY47-AY48)</f>
        <v>#VALUE!</v>
      </c>
      <c r="AZ49" s="688" t="e">
        <f aca="false">IF(AZ44="","",AZ44+AZ45+AZ46-AZ47-AZ48)</f>
        <v>#VALUE!</v>
      </c>
      <c r="BA49" s="688" t="e">
        <f aca="false">IF(BA44="","",BA44+BA45+BA46-BA47-BA48)</f>
        <v>#VALUE!</v>
      </c>
      <c r="BB49" s="688" t="e">
        <f aca="false">IF(BB44="","",BB44+BB45+BB46-BB47-BB48)</f>
        <v>#VALUE!</v>
      </c>
      <c r="BC49" s="689" t="e">
        <f aca="false">IF(BC44="","",BC44+BC45+BC46-BC47-BC48)</f>
        <v>#VALUE!</v>
      </c>
      <c r="BD49" s="688" t="e">
        <f aca="false">IF(BD44="","",BD44+BD45+BD46-BD47-BD48)</f>
        <v>#VALUE!</v>
      </c>
      <c r="BE49" s="688" t="e">
        <f aca="false">IF(BE44="","",BE44+BE45+BE46-BE47-BE48)</f>
        <v>#VALUE!</v>
      </c>
      <c r="BF49" s="688" t="e">
        <f aca="false">IF(BF44="","",BF44+BF45+BF46-BF47-BF48)</f>
        <v>#VALUE!</v>
      </c>
      <c r="BG49" s="688" t="e">
        <f aca="false">IF(BG44="","",BG44+BG45+BG46-BG47-BG48)</f>
        <v>#VALUE!</v>
      </c>
      <c r="BH49" s="688" t="e">
        <f aca="false">IF(BH44="","",BH44+BH45+BH46-BH47-BH48)</f>
        <v>#VALUE!</v>
      </c>
      <c r="BI49" s="688" t="e">
        <f aca="false">IF(BI44="","",BI44+BI45+BI46-BI47-BI48)</f>
        <v>#VALUE!</v>
      </c>
      <c r="BJ49" s="688" t="e">
        <f aca="false">IF(BJ44="","",BJ44+BJ45+BJ46-BJ47-BJ48)</f>
        <v>#VALUE!</v>
      </c>
      <c r="BK49" s="688" t="e">
        <f aca="false">IF(BK44="","",BK44+BK45+BK46-BK47-BK48)</f>
        <v>#VALUE!</v>
      </c>
      <c r="BL49" s="688" t="e">
        <f aca="false">IF(BL44="","",BL44+BL45+BL46-BL47-BL48)</f>
        <v>#VALUE!</v>
      </c>
      <c r="BM49" s="688" t="e">
        <f aca="false">IF(BM44="","",BM44+BM45+BM46-BM47-BM48)</f>
        <v>#VALUE!</v>
      </c>
      <c r="BN49" s="688" t="e">
        <f aca="false">IF(BN44="","",BN44+BN45+BN46-BN47-BN48)</f>
        <v>#VALUE!</v>
      </c>
      <c r="BO49" s="689" t="e">
        <f aca="false">IF(BO44="","",BO44+BO45+BO46-BO47-BO48)</f>
        <v>#VALUE!</v>
      </c>
      <c r="BP49" s="688" t="e">
        <f aca="false">IF(BP44="","",BP44+BP45+BP46-BP47-BP48)</f>
        <v>#VALUE!</v>
      </c>
      <c r="BQ49" s="688" t="e">
        <f aca="false">IF(BQ44="","",BQ44+BQ45+BQ46-BQ47-BQ48)</f>
        <v>#VALUE!</v>
      </c>
      <c r="BR49" s="688" t="e">
        <f aca="false">IF(BR44="","",BR44+BR45+BR46-BR47-BR48)</f>
        <v>#VALUE!</v>
      </c>
      <c r="BS49" s="688" t="e">
        <f aca="false">IF(BS44="","",BS44+BS45+BS46-BS47-BS48)</f>
        <v>#VALUE!</v>
      </c>
      <c r="BT49" s="688" t="e">
        <f aca="false">IF(BT44="","",BT44+BT45+BT46-BT47-BT48)</f>
        <v>#VALUE!</v>
      </c>
      <c r="BU49" s="688" t="e">
        <f aca="false">IF(BU44="","",BU44+BU45+BU46-BU47-BU48)</f>
        <v>#VALUE!</v>
      </c>
      <c r="BV49" s="688" t="e">
        <f aca="false">IF(BV44="","",BV44+BV45+BV46-BV47-BV48)</f>
        <v>#VALUE!</v>
      </c>
      <c r="BW49" s="688" t="e">
        <f aca="false">IF(BW44="","",BW44+BW45+BW46-BW47-BW48)</f>
        <v>#VALUE!</v>
      </c>
      <c r="BX49" s="688" t="e">
        <f aca="false">IF(BX44="","",BX44+BX45+BX46-BX47-BX48)</f>
        <v>#VALUE!</v>
      </c>
      <c r="BY49" s="688" t="e">
        <f aca="false">IF(BY44="","",BY44+BY45+BY46-BY47-BY48)</f>
        <v>#VALUE!</v>
      </c>
      <c r="BZ49" s="688" t="e">
        <f aca="false">IF(BZ44="","",BZ44+BZ45+BZ46-BZ47-BZ48)</f>
        <v>#VALUE!</v>
      </c>
      <c r="CA49" s="689" t="e">
        <f aca="false">IF(CA44="","",CA44+CA45+CA46-CA47-CA48)</f>
        <v>#VALUE!</v>
      </c>
      <c r="CB49" s="688" t="e">
        <f aca="false">IF(CB44="","",CB44+CB45+CB46-CB47-CB48)</f>
        <v>#VALUE!</v>
      </c>
      <c r="CC49" s="688" t="e">
        <f aca="false">IF(CC44="","",CC44+CC45+CC46-CC47-CC48)</f>
        <v>#VALUE!</v>
      </c>
      <c r="CD49" s="688" t="e">
        <f aca="false">IF(CD44="","",CD44+CD45+CD46-CD47-CD48)</f>
        <v>#VALUE!</v>
      </c>
      <c r="CE49" s="688" t="e">
        <f aca="false">IF(CE44="","",CE44+CE45+CE46-CE47-CE48)</f>
        <v>#VALUE!</v>
      </c>
      <c r="CF49" s="688" t="e">
        <f aca="false">IF(CF44="","",CF44+CF45+CF46-CF47-CF48)</f>
        <v>#VALUE!</v>
      </c>
      <c r="CG49" s="688" t="e">
        <f aca="false">IF(CG44="","",CG44+CG45+CG46-CG47-CG48)</f>
        <v>#VALUE!</v>
      </c>
      <c r="CH49" s="688" t="e">
        <f aca="false">IF(CH44="","",CH44+CH45+CH46-CH47-CH48)</f>
        <v>#VALUE!</v>
      </c>
      <c r="CI49" s="688" t="e">
        <f aca="false">IF(CI44="","",CI44+CI45+CI46-CI47-CI48)</f>
        <v>#VALUE!</v>
      </c>
      <c r="CJ49" s="688" t="e">
        <f aca="false">IF(CJ44="","",CJ44+CJ45+CJ46-CJ47-CJ48)</f>
        <v>#VALUE!</v>
      </c>
      <c r="CK49" s="688" t="e">
        <f aca="false">IF(CK44="","",CK44+CK45+CK46-CK47-CK48)</f>
        <v>#VALUE!</v>
      </c>
      <c r="CL49" s="688" t="e">
        <f aca="false">IF(CL44="","",CL44+CL45+CL46-CL47-CL48)</f>
        <v>#VALUE!</v>
      </c>
      <c r="CM49" s="689" t="e">
        <f aca="false">IF(CM44="","",CM44+CM45+CM46-CM47-CM48)</f>
        <v>#VALUE!</v>
      </c>
      <c r="CN49" s="688" t="e">
        <f aca="false">IF(CN44="","",CN44+CN45+CN46-CN47-CN48)</f>
        <v>#VALUE!</v>
      </c>
      <c r="CO49" s="688" t="e">
        <f aca="false">IF(CO44="","",CO44+CO45+CO46-CO47-CO48)</f>
        <v>#VALUE!</v>
      </c>
      <c r="CP49" s="688" t="e">
        <f aca="false">IF(CP44="","",CP44+CP45+CP46-CP47-CP48)</f>
        <v>#VALUE!</v>
      </c>
      <c r="CQ49" s="688" t="e">
        <f aca="false">IF(CQ44="","",CQ44+CQ45+CQ46-CQ47-CQ48)</f>
        <v>#VALUE!</v>
      </c>
      <c r="CR49" s="688" t="e">
        <f aca="false">IF(CR44="","",CR44+CR45+CR46-CR47-CR48)</f>
        <v>#VALUE!</v>
      </c>
      <c r="CS49" s="688" t="e">
        <f aca="false">IF(CS44="","",CS44+CS45+CS46-CS47-CS48)</f>
        <v>#VALUE!</v>
      </c>
      <c r="CT49" s="688" t="e">
        <f aca="false">IF(CT44="","",CT44+CT45+CT46-CT47-CT48)</f>
        <v>#VALUE!</v>
      </c>
      <c r="CU49" s="688" t="e">
        <f aca="false">IF(CU44="","",CU44+CU45+CU46-CU47-CU48)</f>
        <v>#VALUE!</v>
      </c>
      <c r="CV49" s="688" t="e">
        <f aca="false">IF(CV44="","",CV44+CV45+CV46-CV47-CV48)</f>
        <v>#VALUE!</v>
      </c>
      <c r="CW49" s="688" t="e">
        <f aca="false">IF(CW44="","",CW44+CW45+CW46-CW47-CW48)</f>
        <v>#VALUE!</v>
      </c>
      <c r="CX49" s="688" t="e">
        <f aca="false">IF(CX44="","",CX44+CX45+CX46-CX47-CX48)</f>
        <v>#VALUE!</v>
      </c>
      <c r="CY49" s="689" t="e">
        <f aca="false">IF(CY44="","",CY44+CY45+CY46-CY47-CY48)</f>
        <v>#VALUE!</v>
      </c>
      <c r="CZ49" s="688" t="e">
        <f aca="false">IF(CZ44="","",CZ44+CZ45+CZ46-CZ47-CZ48)</f>
        <v>#VALUE!</v>
      </c>
      <c r="DA49" s="688" t="e">
        <f aca="false">IF(DA44="","",DA44+DA45+DA46-DA47-DA48)</f>
        <v>#VALUE!</v>
      </c>
      <c r="DB49" s="688" t="e">
        <f aca="false">IF(DB44="","",DB44+DB45+DB46-DB47-DB48)</f>
        <v>#VALUE!</v>
      </c>
      <c r="DC49" s="688" t="e">
        <f aca="false">IF(DC44="","",DC44+DC45+DC46-DC47-DC48)</f>
        <v>#VALUE!</v>
      </c>
      <c r="DD49" s="688" t="e">
        <f aca="false">IF(DD44="","",DD44+DD45+DD46-DD47-DD48)</f>
        <v>#VALUE!</v>
      </c>
      <c r="DE49" s="688" t="e">
        <f aca="false">IF(DE44="","",DE44+DE45+DE46-DE47-DE48)</f>
        <v>#VALUE!</v>
      </c>
      <c r="DF49" s="688" t="e">
        <f aca="false">IF(DF44="","",DF44+DF45+DF46-DF47-DF48)</f>
        <v>#VALUE!</v>
      </c>
      <c r="DG49" s="688" t="e">
        <f aca="false">IF(DG44="","",DG44+DG45+DG46-DG47-DG48)</f>
        <v>#VALUE!</v>
      </c>
      <c r="DH49" s="688" t="e">
        <f aca="false">IF(DH44="","",DH44+DH45+DH46-DH47-DH48)</f>
        <v>#VALUE!</v>
      </c>
      <c r="DI49" s="688" t="e">
        <f aca="false">IF(DI44="","",DI44+DI45+DI46-DI47-DI48)</f>
        <v>#VALUE!</v>
      </c>
      <c r="DJ49" s="688" t="e">
        <f aca="false">IF(DJ44="","",DJ44+DJ45+DJ46-DJ47-DJ48)</f>
        <v>#VALUE!</v>
      </c>
      <c r="DK49" s="689" t="e">
        <f aca="false">IF(DK44="","",DK44+DK45+DK46-DK47-DK48)</f>
        <v>#VALUE!</v>
      </c>
      <c r="DL49" s="688" t="e">
        <f aca="false">IF(DL44="","",DL44+DL45+DL46-DL47-DL48)</f>
        <v>#VALUE!</v>
      </c>
      <c r="DM49" s="688" t="e">
        <f aca="false">IF(DM44="","",DM44+DM45+DM46-DM47-DM48)</f>
        <v>#VALUE!</v>
      </c>
      <c r="DN49" s="688" t="e">
        <f aca="false">IF(DN44="","",DN44+DN45+DN46-DN47-DN48)</f>
        <v>#VALUE!</v>
      </c>
      <c r="DO49" s="688" t="e">
        <f aca="false">IF(DO44="","",DO44+DO45+DO46-DO47-DO48)</f>
        <v>#VALUE!</v>
      </c>
      <c r="DP49" s="688" t="e">
        <f aca="false">IF(DP44="","",DP44+DP45+DP46-DP47-DP48)</f>
        <v>#VALUE!</v>
      </c>
      <c r="DQ49" s="688" t="e">
        <f aca="false">IF(DQ44="","",DQ44+DQ45+DQ46-DQ47-DQ48)</f>
        <v>#VALUE!</v>
      </c>
      <c r="DR49" s="688" t="e">
        <f aca="false">IF(DR44="","",DR44+DR45+DR46-DR47-DR48)</f>
        <v>#VALUE!</v>
      </c>
      <c r="DS49" s="688" t="e">
        <f aca="false">IF(DS44="","",DS44+DS45+DS46-DS47-DS48)</f>
        <v>#VALUE!</v>
      </c>
      <c r="DT49" s="688" t="e">
        <f aca="false">IF(DT44="","",DT44+DT45+DT46-DT47-DT48)</f>
        <v>#VALUE!</v>
      </c>
      <c r="DU49" s="688" t="e">
        <f aca="false">IF(DU44="","",DU44+DU45+DU46-DU47-DU48)</f>
        <v>#VALUE!</v>
      </c>
      <c r="DV49" s="690" t="e">
        <f aca="false">IF(DV44="","",DV44+DV45+DV46-DV47-DV48)</f>
        <v>#VALUE!</v>
      </c>
    </row>
    <row r="50" s="715" customFormat="true" ht="13.5" hidden="true" customHeight="true" outlineLevel="1" collapsed="false">
      <c r="A50" s="659"/>
      <c r="B50" s="713" t="n">
        <f aca="false">C43</f>
        <v>0.1</v>
      </c>
      <c r="C50" s="659"/>
      <c r="D50" s="659"/>
      <c r="E50" s="714" t="e">
        <f aca="false">(IRR(F50:DV50,0.1/12)+1)^12-1</f>
        <v>#VALUE!</v>
      </c>
      <c r="F50" s="715" t="str">
        <f aca="false">IF(F44="","",-F46+F48)</f>
        <v/>
      </c>
      <c r="G50" s="716" t="e">
        <f aca="false">IF(G44="","",-G46+G47+G48)</f>
        <v>#VALUE!</v>
      </c>
      <c r="H50" s="715" t="e">
        <f aca="false">IF(H44="","",-H46+H47+H48)</f>
        <v>#VALUE!</v>
      </c>
      <c r="I50" s="715" t="e">
        <f aca="false">IF(I44="","",-I46+I47+I48)</f>
        <v>#VALUE!</v>
      </c>
      <c r="J50" s="715" t="e">
        <f aca="false">IF(J44="","",-J46+J47+J48)</f>
        <v>#VALUE!</v>
      </c>
      <c r="K50" s="715" t="e">
        <f aca="false">IF(K44="","",-K46+K47+K48)</f>
        <v>#VALUE!</v>
      </c>
      <c r="L50" s="715" t="e">
        <f aca="false">IF(L44="","",-L46+L47+L48)</f>
        <v>#VALUE!</v>
      </c>
      <c r="M50" s="715" t="e">
        <f aca="false">IF(M44="","",-M46+M47+M48)</f>
        <v>#VALUE!</v>
      </c>
      <c r="N50" s="715" t="e">
        <f aca="false">IF(N44="","",-N46+N47+N48)</f>
        <v>#VALUE!</v>
      </c>
      <c r="O50" s="715" t="e">
        <f aca="false">IF(O44="","",-O46+O47+O48)</f>
        <v>#VALUE!</v>
      </c>
      <c r="P50" s="715" t="e">
        <f aca="false">IF(P44="","",-P46+P47+P48)</f>
        <v>#VALUE!</v>
      </c>
      <c r="Q50" s="715" t="e">
        <f aca="false">IF(Q44="","",-Q46+Q47+Q48)</f>
        <v>#VALUE!</v>
      </c>
      <c r="R50" s="715" t="e">
        <f aca="false">IF(R44="","",-R46+R47+R48)</f>
        <v>#VALUE!</v>
      </c>
      <c r="S50" s="716" t="e">
        <f aca="false">IF(S44="","",-S46+S47+S48)</f>
        <v>#VALUE!</v>
      </c>
      <c r="T50" s="715" t="e">
        <f aca="false">IF(T44="","",-T46+T47+T48)</f>
        <v>#VALUE!</v>
      </c>
      <c r="U50" s="715" t="e">
        <f aca="false">IF(U44="","",-U46+U47+U48)</f>
        <v>#VALUE!</v>
      </c>
      <c r="V50" s="715" t="e">
        <f aca="false">IF(V44="","",-V46+V47+V48)</f>
        <v>#VALUE!</v>
      </c>
      <c r="W50" s="715" t="e">
        <f aca="false">IF(W44="","",-W46+W47+W48)</f>
        <v>#VALUE!</v>
      </c>
      <c r="X50" s="715" t="e">
        <f aca="false">IF(X44="","",-X46+X47+X48)</f>
        <v>#VALUE!</v>
      </c>
      <c r="Y50" s="715" t="e">
        <f aca="false">IF(Y44="","",-Y46+Y47+Y48)</f>
        <v>#VALUE!</v>
      </c>
      <c r="Z50" s="715" t="e">
        <f aca="false">IF(Z44="","",-Z46+Z47+Z48)</f>
        <v>#VALUE!</v>
      </c>
      <c r="AA50" s="715" t="e">
        <f aca="false">IF(AA44="","",-AA46+AA47+AA48)</f>
        <v>#VALUE!</v>
      </c>
      <c r="AB50" s="715" t="e">
        <f aca="false">IF(AB44="","",-AB46+AB47+AB48)</f>
        <v>#VALUE!</v>
      </c>
      <c r="AC50" s="715" t="e">
        <f aca="false">IF(AC44="","",-AC46+AC47+AC48)</f>
        <v>#VALUE!</v>
      </c>
      <c r="AD50" s="715" t="e">
        <f aca="false">IF(AD44="","",-AD46+AD47+AD48)</f>
        <v>#VALUE!</v>
      </c>
      <c r="AE50" s="716" t="e">
        <f aca="false">IF(AE44="","",-AE46+AE47+AE48)</f>
        <v>#VALUE!</v>
      </c>
      <c r="AF50" s="715" t="e">
        <f aca="false">IF(AF44="","",-AF46+AF47+AF48)</f>
        <v>#VALUE!</v>
      </c>
      <c r="AG50" s="715" t="e">
        <f aca="false">IF(AG44="","",-AG46+AG47+AG48)</f>
        <v>#VALUE!</v>
      </c>
      <c r="AH50" s="715" t="e">
        <f aca="false">IF(AH44="","",-AH46+AH47+AH48)</f>
        <v>#VALUE!</v>
      </c>
      <c r="AI50" s="715" t="e">
        <f aca="false">IF(AI44="","",-AI46+AI47+AI48)</f>
        <v>#VALUE!</v>
      </c>
      <c r="AJ50" s="715" t="e">
        <f aca="false">IF(AJ44="","",-AJ46+AJ47+AJ48)</f>
        <v>#VALUE!</v>
      </c>
      <c r="AK50" s="715" t="e">
        <f aca="false">IF(AK44="","",-AK46+AK47+AK48)</f>
        <v>#VALUE!</v>
      </c>
      <c r="AL50" s="715" t="e">
        <f aca="false">IF(AL44="","",-AL46+AL47+AL48)</f>
        <v>#VALUE!</v>
      </c>
      <c r="AM50" s="715" t="e">
        <f aca="false">IF(AM44="","",-AM46+AM47+AM48)</f>
        <v>#VALUE!</v>
      </c>
      <c r="AN50" s="715" t="e">
        <f aca="false">IF(AN44="","",-AN46+AN47+AN48)</f>
        <v>#VALUE!</v>
      </c>
      <c r="AO50" s="715" t="e">
        <f aca="false">IF(AO44="","",-AO46+AO47+AO48)</f>
        <v>#VALUE!</v>
      </c>
      <c r="AP50" s="715" t="e">
        <f aca="false">IF(AP44="","",-AP46+AP47+AP48)</f>
        <v>#VALUE!</v>
      </c>
      <c r="AQ50" s="716" t="e">
        <f aca="false">IF(AQ44="","",-AQ46+AQ47+AQ48)</f>
        <v>#VALUE!</v>
      </c>
      <c r="AR50" s="715" t="e">
        <f aca="false">IF(AR44="","",-AR46+AR47+AR48)</f>
        <v>#VALUE!</v>
      </c>
      <c r="AS50" s="715" t="e">
        <f aca="false">IF(AS44="","",-AS46+AS47+AS48)</f>
        <v>#VALUE!</v>
      </c>
      <c r="AT50" s="715" t="e">
        <f aca="false">IF(AT44="","",-AT46+AT47+AT48)</f>
        <v>#VALUE!</v>
      </c>
      <c r="AU50" s="715" t="e">
        <f aca="false">IF(AU44="","",-AU46+AU47+AU48)</f>
        <v>#VALUE!</v>
      </c>
      <c r="AV50" s="715" t="e">
        <f aca="false">IF(AV44="","",-AV46+AV47+AV48)</f>
        <v>#VALUE!</v>
      </c>
      <c r="AW50" s="715" t="e">
        <f aca="false">IF(AW44="","",-AW46+AW47+AW48)</f>
        <v>#VALUE!</v>
      </c>
      <c r="AX50" s="715" t="e">
        <f aca="false">IF(AX44="","",-AX46+AX47+AX48)</f>
        <v>#VALUE!</v>
      </c>
      <c r="AY50" s="715" t="e">
        <f aca="false">IF(AY44="","",-AY46+AY47+AY48)</f>
        <v>#VALUE!</v>
      </c>
      <c r="AZ50" s="715" t="e">
        <f aca="false">IF(AZ44="","",-AZ46+AZ47+AZ48)</f>
        <v>#VALUE!</v>
      </c>
      <c r="BA50" s="715" t="e">
        <f aca="false">IF(BA44="","",-BA46+BA47+BA48)</f>
        <v>#VALUE!</v>
      </c>
      <c r="BB50" s="715" t="e">
        <f aca="false">IF(BB44="","",-BB46+BB47+BB48)</f>
        <v>#VALUE!</v>
      </c>
      <c r="BC50" s="716" t="e">
        <f aca="false">IF(BC44="","",-BC46+BC47+BC48)</f>
        <v>#VALUE!</v>
      </c>
      <c r="BD50" s="715" t="e">
        <f aca="false">IF(BD44="","",-BD46+BD47+BD48)</f>
        <v>#VALUE!</v>
      </c>
      <c r="BE50" s="715" t="e">
        <f aca="false">IF(BE44="","",-BE46+BE47+BE48)</f>
        <v>#VALUE!</v>
      </c>
      <c r="BF50" s="715" t="e">
        <f aca="false">IF(BF44="","",-BF46+BF47+BF48)</f>
        <v>#VALUE!</v>
      </c>
      <c r="BG50" s="715" t="e">
        <f aca="false">IF(BG44="","",-BG46+BG47+BG48)</f>
        <v>#VALUE!</v>
      </c>
      <c r="BH50" s="715" t="e">
        <f aca="false">IF(BH44="","",-BH46+BH47+BH48)</f>
        <v>#VALUE!</v>
      </c>
      <c r="BI50" s="715" t="e">
        <f aca="false">IF(BI44="","",-BI46+BI47+BI48)</f>
        <v>#VALUE!</v>
      </c>
      <c r="BJ50" s="715" t="e">
        <f aca="false">IF(BJ44="","",-BJ46+BJ47+BJ48)</f>
        <v>#VALUE!</v>
      </c>
      <c r="BK50" s="715" t="e">
        <f aca="false">IF(BK44="","",-BK46+BK47+BK48)</f>
        <v>#VALUE!</v>
      </c>
      <c r="BL50" s="715" t="e">
        <f aca="false">IF(BL44="","",-BL46+BL47+BL48)</f>
        <v>#VALUE!</v>
      </c>
      <c r="BM50" s="715" t="e">
        <f aca="false">IF(BM44="","",-BM46+BM47+BM48)</f>
        <v>#VALUE!</v>
      </c>
      <c r="BN50" s="715" t="e">
        <f aca="false">IF(BN44="","",-BN46+BN47+BN48)</f>
        <v>#VALUE!</v>
      </c>
      <c r="BO50" s="716" t="e">
        <f aca="false">IF(BO44="","",-BO46+BO47+BO48)</f>
        <v>#VALUE!</v>
      </c>
      <c r="BP50" s="715" t="e">
        <f aca="false">IF(BP44="","",-BP46+BP47+BP48)</f>
        <v>#VALUE!</v>
      </c>
      <c r="BQ50" s="715" t="e">
        <f aca="false">IF(BQ44="","",-BQ46+BQ47+BQ48)</f>
        <v>#VALUE!</v>
      </c>
      <c r="BR50" s="715" t="e">
        <f aca="false">IF(BR44="","",-BR46+BR47+BR48)</f>
        <v>#VALUE!</v>
      </c>
      <c r="BS50" s="715" t="e">
        <f aca="false">IF(BS44="","",-BS46+BS47+BS48)</f>
        <v>#VALUE!</v>
      </c>
      <c r="BT50" s="715" t="e">
        <f aca="false">IF(BT44="","",-BT46+BT47+BT48)</f>
        <v>#VALUE!</v>
      </c>
      <c r="BU50" s="715" t="e">
        <f aca="false">IF(BU44="","",-BU46+BU47+BU48)</f>
        <v>#VALUE!</v>
      </c>
      <c r="BV50" s="715" t="e">
        <f aca="false">IF(BV44="","",-BV46+BV47+BV48)</f>
        <v>#VALUE!</v>
      </c>
      <c r="BW50" s="715" t="e">
        <f aca="false">IF(BW44="","",-BW46+BW47+BW48)</f>
        <v>#VALUE!</v>
      </c>
      <c r="BX50" s="715" t="e">
        <f aca="false">IF(BX44="","",-BX46+BX47+BX48)</f>
        <v>#VALUE!</v>
      </c>
      <c r="BY50" s="715" t="e">
        <f aca="false">IF(BY44="","",-BY46+BY47+BY48)</f>
        <v>#VALUE!</v>
      </c>
      <c r="BZ50" s="715" t="e">
        <f aca="false">IF(BZ44="","",-BZ46+BZ47+BZ48)</f>
        <v>#VALUE!</v>
      </c>
      <c r="CA50" s="716" t="e">
        <f aca="false">IF(CA44="","",-CA46+CA47+CA48)</f>
        <v>#VALUE!</v>
      </c>
      <c r="CB50" s="715" t="e">
        <f aca="false">IF(CB44="","",-CB46+CB47+CB48)</f>
        <v>#VALUE!</v>
      </c>
      <c r="CC50" s="715" t="e">
        <f aca="false">IF(CC44="","",-CC46+CC47+CC48)</f>
        <v>#VALUE!</v>
      </c>
      <c r="CD50" s="715" t="e">
        <f aca="false">IF(CD44="","",-CD46+CD47+CD48)</f>
        <v>#VALUE!</v>
      </c>
      <c r="CE50" s="715" t="e">
        <f aca="false">IF(CE44="","",-CE46+CE47+CE48)</f>
        <v>#VALUE!</v>
      </c>
      <c r="CF50" s="715" t="e">
        <f aca="false">IF(CF44="","",-CF46+CF47+CF48)</f>
        <v>#VALUE!</v>
      </c>
      <c r="CG50" s="715" t="e">
        <f aca="false">IF(CG44="","",-CG46+CG47+CG48)</f>
        <v>#VALUE!</v>
      </c>
      <c r="CH50" s="715" t="e">
        <f aca="false">IF(CH44="","",-CH46+CH47+CH48)</f>
        <v>#VALUE!</v>
      </c>
      <c r="CI50" s="715" t="e">
        <f aca="false">IF(CI44="","",-CI46+CI47+CI48)</f>
        <v>#VALUE!</v>
      </c>
      <c r="CJ50" s="715" t="e">
        <f aca="false">IF(CJ44="","",-CJ46+CJ47+CJ48)</f>
        <v>#VALUE!</v>
      </c>
      <c r="CK50" s="715" t="e">
        <f aca="false">IF(CK44="","",-CK46+CK47+CK48)</f>
        <v>#VALUE!</v>
      </c>
      <c r="CL50" s="715" t="e">
        <f aca="false">IF(CL44="","",-CL46+CL47+CL48)</f>
        <v>#VALUE!</v>
      </c>
      <c r="CM50" s="716" t="e">
        <f aca="false">IF(CM44="","",-CM46+CM47+CM48)</f>
        <v>#VALUE!</v>
      </c>
      <c r="CN50" s="715" t="e">
        <f aca="false">IF(CN44="","",-CN46+CN47+CN48)</f>
        <v>#VALUE!</v>
      </c>
      <c r="CO50" s="715" t="e">
        <f aca="false">IF(CO44="","",-CO46+CO47+CO48)</f>
        <v>#VALUE!</v>
      </c>
      <c r="CP50" s="715" t="e">
        <f aca="false">IF(CP44="","",-CP46+CP47+CP48)</f>
        <v>#VALUE!</v>
      </c>
      <c r="CQ50" s="715" t="e">
        <f aca="false">IF(CQ44="","",-CQ46+CQ47+CQ48)</f>
        <v>#VALUE!</v>
      </c>
      <c r="CR50" s="715" t="e">
        <f aca="false">IF(CR44="","",-CR46+CR47+CR48)</f>
        <v>#VALUE!</v>
      </c>
      <c r="CS50" s="715" t="e">
        <f aca="false">IF(CS44="","",-CS46+CS47+CS48)</f>
        <v>#VALUE!</v>
      </c>
      <c r="CT50" s="715" t="e">
        <f aca="false">IF(CT44="","",-CT46+CT47+CT48)</f>
        <v>#VALUE!</v>
      </c>
      <c r="CU50" s="715" t="e">
        <f aca="false">IF(CU44="","",-CU46+CU47+CU48)</f>
        <v>#VALUE!</v>
      </c>
      <c r="CV50" s="715" t="e">
        <f aca="false">IF(CV44="","",-CV46+CV47+CV48)</f>
        <v>#VALUE!</v>
      </c>
      <c r="CW50" s="715" t="e">
        <f aca="false">IF(CW44="","",-CW46+CW47+CW48)</f>
        <v>#VALUE!</v>
      </c>
      <c r="CX50" s="715" t="e">
        <f aca="false">IF(CX44="","",-CX46+CX47+CX48)</f>
        <v>#VALUE!</v>
      </c>
      <c r="CY50" s="716" t="e">
        <f aca="false">IF(CY44="","",-CY46+CY47+CY48)</f>
        <v>#VALUE!</v>
      </c>
      <c r="CZ50" s="715" t="e">
        <f aca="false">IF(CZ44="","",-CZ46+CZ47+CZ48)</f>
        <v>#VALUE!</v>
      </c>
      <c r="DA50" s="715" t="e">
        <f aca="false">IF(DA44="","",-DA46+DA47+DA48)</f>
        <v>#VALUE!</v>
      </c>
      <c r="DB50" s="715" t="e">
        <f aca="false">IF(DB44="","",-DB46+DB47+DB48)</f>
        <v>#VALUE!</v>
      </c>
      <c r="DC50" s="715" t="e">
        <f aca="false">IF(DC44="","",-DC46+DC47+DC48)</f>
        <v>#VALUE!</v>
      </c>
      <c r="DD50" s="715" t="e">
        <f aca="false">IF(DD44="","",-DD46+DD47+DD48)</f>
        <v>#VALUE!</v>
      </c>
      <c r="DE50" s="715" t="e">
        <f aca="false">IF(DE44="","",-DE46+DE47+DE48)</f>
        <v>#VALUE!</v>
      </c>
      <c r="DF50" s="715" t="e">
        <f aca="false">IF(DF44="","",-DF46+DF47+DF48)</f>
        <v>#VALUE!</v>
      </c>
      <c r="DG50" s="715" t="e">
        <f aca="false">IF(DG44="","",-DG46+DG47+DG48)</f>
        <v>#VALUE!</v>
      </c>
      <c r="DH50" s="715" t="e">
        <f aca="false">IF(DH44="","",-DH46+DH47+DH48)</f>
        <v>#VALUE!</v>
      </c>
      <c r="DI50" s="715" t="e">
        <f aca="false">IF(DI44="","",-DI46+DI47+DI48)</f>
        <v>#VALUE!</v>
      </c>
      <c r="DJ50" s="715" t="e">
        <f aca="false">IF(DJ44="","",-DJ46+DJ47+DJ48)</f>
        <v>#VALUE!</v>
      </c>
      <c r="DK50" s="716" t="e">
        <f aca="false">IF(DK44="","",-DK46+DK47+DK48)</f>
        <v>#VALUE!</v>
      </c>
      <c r="DL50" s="715" t="e">
        <f aca="false">IF(DL44="","",-DL46+DL47+DL48)</f>
        <v>#VALUE!</v>
      </c>
      <c r="DM50" s="715" t="e">
        <f aca="false">IF(DM44="","",-DM46+DM47+DM48)</f>
        <v>#VALUE!</v>
      </c>
      <c r="DN50" s="715" t="e">
        <f aca="false">IF(DN44="","",-DN46+DN47+DN48)</f>
        <v>#VALUE!</v>
      </c>
      <c r="DO50" s="715" t="e">
        <f aca="false">IF(DO44="","",-DO46+DO47+DO48)</f>
        <v>#VALUE!</v>
      </c>
      <c r="DP50" s="715" t="e">
        <f aca="false">IF(DP44="","",-DP46+DP47+DP48)</f>
        <v>#VALUE!</v>
      </c>
      <c r="DQ50" s="715" t="e">
        <f aca="false">IF(DQ44="","",-DQ46+DQ47+DQ48)</f>
        <v>#VALUE!</v>
      </c>
      <c r="DR50" s="715" t="e">
        <f aca="false">IF(DR44="","",-DR46+DR47+DR48)</f>
        <v>#VALUE!</v>
      </c>
      <c r="DS50" s="715" t="e">
        <f aca="false">IF(DS44="","",-DS46+DS47+DS48)</f>
        <v>#VALUE!</v>
      </c>
      <c r="DT50" s="715" t="e">
        <f aca="false">IF(DT44="","",-DT46+DT47+DT48)</f>
        <v>#VALUE!</v>
      </c>
      <c r="DU50" s="715" t="e">
        <f aca="false">IF(DU44="","",-DU46+DU47+DU48)</f>
        <v>#VALUE!</v>
      </c>
      <c r="DV50" s="717" t="e">
        <f aca="false">IF(DV44="","",-DV46+DV47+DV48)</f>
        <v>#VALUE!</v>
      </c>
    </row>
    <row r="51" s="683" customFormat="true" ht="13.5" hidden="false" customHeight="true" outlineLevel="0" collapsed="false">
      <c r="A51" s="236"/>
      <c r="B51" s="69" t="s">
        <v>650</v>
      </c>
      <c r="C51" s="242"/>
      <c r="D51" s="242"/>
      <c r="E51" s="242"/>
      <c r="F51" s="688" t="str">
        <f aca="false">IF(F44="","",F48)</f>
        <v/>
      </c>
      <c r="G51" s="689" t="e">
        <f aca="false">IF(G44="","",G48)</f>
        <v>#VALUE!</v>
      </c>
      <c r="H51" s="688" t="e">
        <f aca="false">IF(H44="","",H48)</f>
        <v>#VALUE!</v>
      </c>
      <c r="I51" s="688" t="e">
        <f aca="false">IF(I44="","",I48)</f>
        <v>#VALUE!</v>
      </c>
      <c r="J51" s="688" t="e">
        <f aca="false">IF(J44="","",J48)</f>
        <v>#VALUE!</v>
      </c>
      <c r="K51" s="688" t="e">
        <f aca="false">IF(K44="","",K48)</f>
        <v>#VALUE!</v>
      </c>
      <c r="L51" s="688" t="e">
        <f aca="false">IF(L44="","",L48)</f>
        <v>#VALUE!</v>
      </c>
      <c r="M51" s="688" t="e">
        <f aca="false">IF(M44="","",M48)</f>
        <v>#VALUE!</v>
      </c>
      <c r="N51" s="688" t="e">
        <f aca="false">IF(N44="","",N48)</f>
        <v>#VALUE!</v>
      </c>
      <c r="O51" s="688" t="e">
        <f aca="false">IF(O44="","",O48)</f>
        <v>#VALUE!</v>
      </c>
      <c r="P51" s="688" t="e">
        <f aca="false">IF(P44="","",P48)</f>
        <v>#VALUE!</v>
      </c>
      <c r="Q51" s="688" t="e">
        <f aca="false">IF(Q44="","",Q48)</f>
        <v>#VALUE!</v>
      </c>
      <c r="R51" s="688" t="e">
        <f aca="false">IF(R44="","",R48)</f>
        <v>#VALUE!</v>
      </c>
      <c r="S51" s="689" t="e">
        <f aca="false">IF(S44="","",S48)</f>
        <v>#VALUE!</v>
      </c>
      <c r="T51" s="688" t="e">
        <f aca="false">IF(T44="","",T48)</f>
        <v>#VALUE!</v>
      </c>
      <c r="U51" s="688" t="e">
        <f aca="false">IF(U44="","",U48)</f>
        <v>#VALUE!</v>
      </c>
      <c r="V51" s="688" t="e">
        <f aca="false">IF(V44="","",V48)</f>
        <v>#VALUE!</v>
      </c>
      <c r="W51" s="688" t="e">
        <f aca="false">IF(W44="","",W48)</f>
        <v>#VALUE!</v>
      </c>
      <c r="X51" s="688" t="e">
        <f aca="false">IF(X44="","",X48)</f>
        <v>#VALUE!</v>
      </c>
      <c r="Y51" s="688" t="e">
        <f aca="false">IF(Y44="","",Y48)</f>
        <v>#VALUE!</v>
      </c>
      <c r="Z51" s="688" t="e">
        <f aca="false">IF(Z44="","",Z48)</f>
        <v>#VALUE!</v>
      </c>
      <c r="AA51" s="688" t="e">
        <f aca="false">IF(AA44="","",AA48)</f>
        <v>#VALUE!</v>
      </c>
      <c r="AB51" s="688" t="e">
        <f aca="false">IF(AB44="","",AB48)</f>
        <v>#VALUE!</v>
      </c>
      <c r="AC51" s="688" t="e">
        <f aca="false">IF(AC44="","",AC48)</f>
        <v>#VALUE!</v>
      </c>
      <c r="AD51" s="688" t="e">
        <f aca="false">IF(AD44="","",AD48)</f>
        <v>#VALUE!</v>
      </c>
      <c r="AE51" s="689" t="e">
        <f aca="false">IF(AE44="","",AE48)</f>
        <v>#VALUE!</v>
      </c>
      <c r="AF51" s="688" t="e">
        <f aca="false">IF(AF44="","",AF48)</f>
        <v>#VALUE!</v>
      </c>
      <c r="AG51" s="688" t="e">
        <f aca="false">IF(AG44="","",AG48)</f>
        <v>#VALUE!</v>
      </c>
      <c r="AH51" s="688" t="e">
        <f aca="false">IF(AH44="","",AH48)</f>
        <v>#VALUE!</v>
      </c>
      <c r="AI51" s="688" t="e">
        <f aca="false">IF(AI44="","",AI48)</f>
        <v>#VALUE!</v>
      </c>
      <c r="AJ51" s="688" t="e">
        <f aca="false">IF(AJ44="","",AJ48)</f>
        <v>#VALUE!</v>
      </c>
      <c r="AK51" s="688" t="e">
        <f aca="false">IF(AK44="","",AK48)</f>
        <v>#VALUE!</v>
      </c>
      <c r="AL51" s="688" t="e">
        <f aca="false">IF(AL44="","",AL48)</f>
        <v>#VALUE!</v>
      </c>
      <c r="AM51" s="688" t="e">
        <f aca="false">IF(AM44="","",AM48)</f>
        <v>#VALUE!</v>
      </c>
      <c r="AN51" s="688" t="e">
        <f aca="false">IF(AN44="","",AN48)</f>
        <v>#VALUE!</v>
      </c>
      <c r="AO51" s="688" t="e">
        <f aca="false">IF(AO44="","",AO48)</f>
        <v>#VALUE!</v>
      </c>
      <c r="AP51" s="688" t="e">
        <f aca="false">IF(AP44="","",AP48)</f>
        <v>#VALUE!</v>
      </c>
      <c r="AQ51" s="689" t="e">
        <f aca="false">IF(AQ44="","",AQ48)</f>
        <v>#VALUE!</v>
      </c>
      <c r="AR51" s="688" t="e">
        <f aca="false">IF(AR44="","",AR48)</f>
        <v>#VALUE!</v>
      </c>
      <c r="AS51" s="688" t="e">
        <f aca="false">IF(AS44="","",AS48)</f>
        <v>#VALUE!</v>
      </c>
      <c r="AT51" s="688" t="e">
        <f aca="false">IF(AT44="","",AT48)</f>
        <v>#VALUE!</v>
      </c>
      <c r="AU51" s="688" t="e">
        <f aca="false">IF(AU44="","",AU48)</f>
        <v>#VALUE!</v>
      </c>
      <c r="AV51" s="688" t="e">
        <f aca="false">IF(AV44="","",AV48)</f>
        <v>#VALUE!</v>
      </c>
      <c r="AW51" s="688" t="e">
        <f aca="false">IF(AW44="","",AW48)</f>
        <v>#VALUE!</v>
      </c>
      <c r="AX51" s="688" t="e">
        <f aca="false">IF(AX44="","",AX48)</f>
        <v>#VALUE!</v>
      </c>
      <c r="AY51" s="688" t="e">
        <f aca="false">IF(AY44="","",AY48)</f>
        <v>#VALUE!</v>
      </c>
      <c r="AZ51" s="688" t="e">
        <f aca="false">IF(AZ44="","",AZ48)</f>
        <v>#VALUE!</v>
      </c>
      <c r="BA51" s="688" t="e">
        <f aca="false">IF(BA44="","",BA48)</f>
        <v>#VALUE!</v>
      </c>
      <c r="BB51" s="688" t="e">
        <f aca="false">IF(BB44="","",BB48)</f>
        <v>#VALUE!</v>
      </c>
      <c r="BC51" s="689" t="e">
        <f aca="false">IF(BC44="","",BC48)</f>
        <v>#VALUE!</v>
      </c>
      <c r="BD51" s="688" t="e">
        <f aca="false">IF(BD44="","",BD48)</f>
        <v>#VALUE!</v>
      </c>
      <c r="BE51" s="688" t="e">
        <f aca="false">IF(BE44="","",BE48)</f>
        <v>#VALUE!</v>
      </c>
      <c r="BF51" s="688" t="e">
        <f aca="false">IF(BF44="","",BF48)</f>
        <v>#VALUE!</v>
      </c>
      <c r="BG51" s="688" t="e">
        <f aca="false">IF(BG44="","",BG48)</f>
        <v>#VALUE!</v>
      </c>
      <c r="BH51" s="688" t="e">
        <f aca="false">IF(BH44="","",BH48)</f>
        <v>#VALUE!</v>
      </c>
      <c r="BI51" s="688" t="e">
        <f aca="false">IF(BI44="","",BI48)</f>
        <v>#VALUE!</v>
      </c>
      <c r="BJ51" s="688" t="e">
        <f aca="false">IF(BJ44="","",BJ48)</f>
        <v>#VALUE!</v>
      </c>
      <c r="BK51" s="688" t="e">
        <f aca="false">IF(BK44="","",BK48)</f>
        <v>#VALUE!</v>
      </c>
      <c r="BL51" s="688" t="e">
        <f aca="false">IF(BL44="","",BL48)</f>
        <v>#VALUE!</v>
      </c>
      <c r="BM51" s="688" t="e">
        <f aca="false">IF(BM44="","",BM48)</f>
        <v>#VALUE!</v>
      </c>
      <c r="BN51" s="688" t="e">
        <f aca="false">IF(BN44="","",BN48)</f>
        <v>#VALUE!</v>
      </c>
      <c r="BO51" s="689" t="e">
        <f aca="false">IF(BO44="","",BO48)</f>
        <v>#VALUE!</v>
      </c>
      <c r="BP51" s="688" t="e">
        <f aca="false">IF(BP44="","",BP48)</f>
        <v>#VALUE!</v>
      </c>
      <c r="BQ51" s="688" t="e">
        <f aca="false">IF(BQ44="","",BQ48)</f>
        <v>#VALUE!</v>
      </c>
      <c r="BR51" s="688" t="e">
        <f aca="false">IF(BR44="","",BR48)</f>
        <v>#VALUE!</v>
      </c>
      <c r="BS51" s="688" t="e">
        <f aca="false">IF(BS44="","",BS48)</f>
        <v>#VALUE!</v>
      </c>
      <c r="BT51" s="688" t="e">
        <f aca="false">IF(BT44="","",BT48)</f>
        <v>#VALUE!</v>
      </c>
      <c r="BU51" s="688" t="e">
        <f aca="false">IF(BU44="","",BU48)</f>
        <v>#VALUE!</v>
      </c>
      <c r="BV51" s="688" t="e">
        <f aca="false">IF(BV44="","",BV48)</f>
        <v>#VALUE!</v>
      </c>
      <c r="BW51" s="688" t="e">
        <f aca="false">IF(BW44="","",BW48)</f>
        <v>#VALUE!</v>
      </c>
      <c r="BX51" s="688" t="e">
        <f aca="false">IF(BX44="","",BX48)</f>
        <v>#VALUE!</v>
      </c>
      <c r="BY51" s="688" t="e">
        <f aca="false">IF(BY44="","",BY48)</f>
        <v>#VALUE!</v>
      </c>
      <c r="BZ51" s="688" t="e">
        <f aca="false">IF(BZ44="","",BZ48)</f>
        <v>#VALUE!</v>
      </c>
      <c r="CA51" s="689" t="e">
        <f aca="false">IF(CA44="","",CA48)</f>
        <v>#VALUE!</v>
      </c>
      <c r="CB51" s="688" t="e">
        <f aca="false">IF(CB44="","",CB48)</f>
        <v>#VALUE!</v>
      </c>
      <c r="CC51" s="688" t="e">
        <f aca="false">IF(CC44="","",CC48)</f>
        <v>#VALUE!</v>
      </c>
      <c r="CD51" s="688" t="e">
        <f aca="false">IF(CD44="","",CD48)</f>
        <v>#VALUE!</v>
      </c>
      <c r="CE51" s="688" t="e">
        <f aca="false">IF(CE44="","",CE48)</f>
        <v>#VALUE!</v>
      </c>
      <c r="CF51" s="688" t="e">
        <f aca="false">IF(CF44="","",CF48)</f>
        <v>#VALUE!</v>
      </c>
      <c r="CG51" s="688" t="e">
        <f aca="false">IF(CG44="","",CG48)</f>
        <v>#VALUE!</v>
      </c>
      <c r="CH51" s="688" t="e">
        <f aca="false">IF(CH44="","",CH48)</f>
        <v>#VALUE!</v>
      </c>
      <c r="CI51" s="688" t="e">
        <f aca="false">IF(CI44="","",CI48)</f>
        <v>#VALUE!</v>
      </c>
      <c r="CJ51" s="688" t="e">
        <f aca="false">IF(CJ44="","",CJ48)</f>
        <v>#VALUE!</v>
      </c>
      <c r="CK51" s="688" t="e">
        <f aca="false">IF(CK44="","",CK48)</f>
        <v>#VALUE!</v>
      </c>
      <c r="CL51" s="688" t="e">
        <f aca="false">IF(CL44="","",CL48)</f>
        <v>#VALUE!</v>
      </c>
      <c r="CM51" s="689" t="e">
        <f aca="false">IF(CM44="","",CM48)</f>
        <v>#VALUE!</v>
      </c>
      <c r="CN51" s="688" t="e">
        <f aca="false">IF(CN44="","",CN48)</f>
        <v>#VALUE!</v>
      </c>
      <c r="CO51" s="688" t="e">
        <f aca="false">IF(CO44="","",CO48)</f>
        <v>#VALUE!</v>
      </c>
      <c r="CP51" s="688" t="e">
        <f aca="false">IF(CP44="","",CP48)</f>
        <v>#VALUE!</v>
      </c>
      <c r="CQ51" s="688" t="e">
        <f aca="false">IF(CQ44="","",CQ48)</f>
        <v>#VALUE!</v>
      </c>
      <c r="CR51" s="688" t="e">
        <f aca="false">IF(CR44="","",CR48)</f>
        <v>#VALUE!</v>
      </c>
      <c r="CS51" s="688" t="e">
        <f aca="false">IF(CS44="","",CS48)</f>
        <v>#VALUE!</v>
      </c>
      <c r="CT51" s="688" t="e">
        <f aca="false">IF(CT44="","",CT48)</f>
        <v>#VALUE!</v>
      </c>
      <c r="CU51" s="688" t="e">
        <f aca="false">IF(CU44="","",CU48)</f>
        <v>#VALUE!</v>
      </c>
      <c r="CV51" s="688" t="e">
        <f aca="false">IF(CV44="","",CV48)</f>
        <v>#VALUE!</v>
      </c>
      <c r="CW51" s="688" t="e">
        <f aca="false">IF(CW44="","",CW48)</f>
        <v>#VALUE!</v>
      </c>
      <c r="CX51" s="688" t="e">
        <f aca="false">IF(CX44="","",CX48)</f>
        <v>#VALUE!</v>
      </c>
      <c r="CY51" s="689" t="e">
        <f aca="false">IF(CY44="","",CY48)</f>
        <v>#VALUE!</v>
      </c>
      <c r="CZ51" s="688" t="e">
        <f aca="false">IF(CZ44="","",CZ48)</f>
        <v>#VALUE!</v>
      </c>
      <c r="DA51" s="688" t="e">
        <f aca="false">IF(DA44="","",DA48)</f>
        <v>#VALUE!</v>
      </c>
      <c r="DB51" s="688" t="e">
        <f aca="false">IF(DB44="","",DB48)</f>
        <v>#VALUE!</v>
      </c>
      <c r="DC51" s="688" t="e">
        <f aca="false">IF(DC44="","",DC48)</f>
        <v>#VALUE!</v>
      </c>
      <c r="DD51" s="688" t="e">
        <f aca="false">IF(DD44="","",DD48)</f>
        <v>#VALUE!</v>
      </c>
      <c r="DE51" s="688" t="e">
        <f aca="false">IF(DE44="","",DE48)</f>
        <v>#VALUE!</v>
      </c>
      <c r="DF51" s="688" t="e">
        <f aca="false">IF(DF44="","",DF48)</f>
        <v>#VALUE!</v>
      </c>
      <c r="DG51" s="688" t="e">
        <f aca="false">IF(DG44="","",DG48)</f>
        <v>#VALUE!</v>
      </c>
      <c r="DH51" s="688" t="e">
        <f aca="false">IF(DH44="","",DH48)</f>
        <v>#VALUE!</v>
      </c>
      <c r="DI51" s="688" t="e">
        <f aca="false">IF(DI44="","",DI48)</f>
        <v>#VALUE!</v>
      </c>
      <c r="DJ51" s="688" t="e">
        <f aca="false">IF(DJ44="","",DJ48)</f>
        <v>#VALUE!</v>
      </c>
      <c r="DK51" s="689" t="e">
        <f aca="false">IF(DK44="","",DK48)</f>
        <v>#VALUE!</v>
      </c>
      <c r="DL51" s="688" t="e">
        <f aca="false">IF(DL44="","",DL48)</f>
        <v>#VALUE!</v>
      </c>
      <c r="DM51" s="688" t="e">
        <f aca="false">IF(DM44="","",DM48)</f>
        <v>#VALUE!</v>
      </c>
      <c r="DN51" s="688" t="e">
        <f aca="false">IF(DN44="","",DN48)</f>
        <v>#VALUE!</v>
      </c>
      <c r="DO51" s="688" t="e">
        <f aca="false">IF(DO44="","",DO48)</f>
        <v>#VALUE!</v>
      </c>
      <c r="DP51" s="688" t="e">
        <f aca="false">IF(DP44="","",DP48)</f>
        <v>#VALUE!</v>
      </c>
      <c r="DQ51" s="688" t="e">
        <f aca="false">IF(DQ44="","",DQ48)</f>
        <v>#VALUE!</v>
      </c>
      <c r="DR51" s="688" t="e">
        <f aca="false">IF(DR44="","",DR48)</f>
        <v>#VALUE!</v>
      </c>
      <c r="DS51" s="688" t="e">
        <f aca="false">IF(DS44="","",DS48)</f>
        <v>#VALUE!</v>
      </c>
      <c r="DT51" s="688" t="e">
        <f aca="false">IF(DT44="","",DT48)</f>
        <v>#VALUE!</v>
      </c>
      <c r="DU51" s="688" t="e">
        <f aca="false">IF(DU44="","",DU48)</f>
        <v>#VALUE!</v>
      </c>
      <c r="DV51" s="690" t="e">
        <f aca="false">IF(DV44="","",DV48)</f>
        <v>#VALUE!</v>
      </c>
    </row>
    <row r="52" s="683" customFormat="true" ht="13.5" hidden="false" customHeight="true" outlineLevel="0" collapsed="false">
      <c r="A52" s="236"/>
      <c r="B52" s="69" t="s">
        <v>651</v>
      </c>
      <c r="C52" s="242"/>
      <c r="D52" s="242"/>
      <c r="E52" s="665"/>
      <c r="F52" s="688" t="str">
        <f aca="false">IF(F44="","",F51/'Executive Summary'!$T$21*'Executive Summary'!$S$21)</f>
        <v/>
      </c>
      <c r="G52" s="689" t="e">
        <f aca="false">IF(G44="","",G51/'Executive Summary'!$T$21*'Executive Summary'!$S$21)</f>
        <v>#VALUE!</v>
      </c>
      <c r="H52" s="688" t="e">
        <f aca="false">IF(H44="","",H51/'Executive Summary'!$T$21*'Executive Summary'!$S$21)</f>
        <v>#VALUE!</v>
      </c>
      <c r="I52" s="688" t="e">
        <f aca="false">IF(I44="","",I51/'Executive Summary'!$T$21*'Executive Summary'!$S$21)</f>
        <v>#VALUE!</v>
      </c>
      <c r="J52" s="688" t="e">
        <f aca="false">IF(J44="","",J51/'Executive Summary'!$T$21*'Executive Summary'!$S$21)</f>
        <v>#VALUE!</v>
      </c>
      <c r="K52" s="688" t="e">
        <f aca="false">IF(K44="","",K51/'Executive Summary'!$T$21*'Executive Summary'!$S$21)</f>
        <v>#VALUE!</v>
      </c>
      <c r="L52" s="688" t="e">
        <f aca="false">IF(L44="","",L51/'Executive Summary'!$T$21*'Executive Summary'!$S$21)</f>
        <v>#VALUE!</v>
      </c>
      <c r="M52" s="688" t="e">
        <f aca="false">IF(M44="","",M51/'Executive Summary'!$T$21*'Executive Summary'!$S$21)</f>
        <v>#VALUE!</v>
      </c>
      <c r="N52" s="688" t="e">
        <f aca="false">IF(N44="","",N51/'Executive Summary'!$T$21*'Executive Summary'!$S$21)</f>
        <v>#VALUE!</v>
      </c>
      <c r="O52" s="688" t="e">
        <f aca="false">IF(O44="","",O51/'Executive Summary'!$T$21*'Executive Summary'!$S$21)</f>
        <v>#VALUE!</v>
      </c>
      <c r="P52" s="688" t="e">
        <f aca="false">IF(P44="","",P51/'Executive Summary'!$T$21*'Executive Summary'!$S$21)</f>
        <v>#VALUE!</v>
      </c>
      <c r="Q52" s="688" t="e">
        <f aca="false">IF(Q44="","",Q51/'Executive Summary'!$T$21*'Executive Summary'!$S$21)</f>
        <v>#VALUE!</v>
      </c>
      <c r="R52" s="688" t="e">
        <f aca="false">IF(R44="","",R51/'Executive Summary'!$T$21*'Executive Summary'!$S$21)</f>
        <v>#VALUE!</v>
      </c>
      <c r="S52" s="689" t="e">
        <f aca="false">IF(S44="","",S51/'Executive Summary'!$T$21*'Executive Summary'!$S$21)</f>
        <v>#VALUE!</v>
      </c>
      <c r="T52" s="688" t="e">
        <f aca="false">IF(T44="","",T51/'Executive Summary'!$T$21*'Executive Summary'!$S$21)</f>
        <v>#VALUE!</v>
      </c>
      <c r="U52" s="688" t="e">
        <f aca="false">IF(U44="","",U51/'Executive Summary'!$T$21*'Executive Summary'!$S$21)</f>
        <v>#VALUE!</v>
      </c>
      <c r="V52" s="688" t="e">
        <f aca="false">IF(V44="","",V51/'Executive Summary'!$T$21*'Executive Summary'!$S$21)</f>
        <v>#VALUE!</v>
      </c>
      <c r="W52" s="688" t="e">
        <f aca="false">IF(W44="","",W51/'Executive Summary'!$T$21*'Executive Summary'!$S$21)</f>
        <v>#VALUE!</v>
      </c>
      <c r="X52" s="688" t="e">
        <f aca="false">IF(X44="","",X51/'Executive Summary'!$T$21*'Executive Summary'!$S$21)</f>
        <v>#VALUE!</v>
      </c>
      <c r="Y52" s="688" t="e">
        <f aca="false">IF(Y44="","",Y51/'Executive Summary'!$T$21*'Executive Summary'!$S$21)</f>
        <v>#VALUE!</v>
      </c>
      <c r="Z52" s="688" t="e">
        <f aca="false">IF(Z44="","",Z51/'Executive Summary'!$T$21*'Executive Summary'!$S$21)</f>
        <v>#VALUE!</v>
      </c>
      <c r="AA52" s="688" t="e">
        <f aca="false">IF(AA44="","",AA51/'Executive Summary'!$T$21*'Executive Summary'!$S$21)</f>
        <v>#VALUE!</v>
      </c>
      <c r="AB52" s="688" t="e">
        <f aca="false">IF(AB44="","",AB51/'Executive Summary'!$T$21*'Executive Summary'!$S$21)</f>
        <v>#VALUE!</v>
      </c>
      <c r="AC52" s="688" t="e">
        <f aca="false">IF(AC44="","",AC51/'Executive Summary'!$T$21*'Executive Summary'!$S$21)</f>
        <v>#VALUE!</v>
      </c>
      <c r="AD52" s="688" t="e">
        <f aca="false">IF(AD44="","",AD51/'Executive Summary'!$T$21*'Executive Summary'!$S$21)</f>
        <v>#VALUE!</v>
      </c>
      <c r="AE52" s="689" t="e">
        <f aca="false">IF(AE44="","",AE51/'Executive Summary'!$T$21*'Executive Summary'!$S$21)</f>
        <v>#VALUE!</v>
      </c>
      <c r="AF52" s="688" t="e">
        <f aca="false">IF(AF44="","",AF51/'Executive Summary'!$T$21*'Executive Summary'!$S$21)</f>
        <v>#VALUE!</v>
      </c>
      <c r="AG52" s="688" t="e">
        <f aca="false">IF(AG44="","",AG51/'Executive Summary'!$T$21*'Executive Summary'!$S$21)</f>
        <v>#VALUE!</v>
      </c>
      <c r="AH52" s="688" t="e">
        <f aca="false">IF(AH44="","",AH51/'Executive Summary'!$T$21*'Executive Summary'!$S$21)</f>
        <v>#VALUE!</v>
      </c>
      <c r="AI52" s="688" t="e">
        <f aca="false">IF(AI44="","",AI51/'Executive Summary'!$T$21*'Executive Summary'!$S$21)</f>
        <v>#VALUE!</v>
      </c>
      <c r="AJ52" s="688" t="e">
        <f aca="false">IF(AJ44="","",AJ51/'Executive Summary'!$T$21*'Executive Summary'!$S$21)</f>
        <v>#VALUE!</v>
      </c>
      <c r="AK52" s="688" t="e">
        <f aca="false">IF(AK44="","",AK51/'Executive Summary'!$T$21*'Executive Summary'!$S$21)</f>
        <v>#VALUE!</v>
      </c>
      <c r="AL52" s="688" t="e">
        <f aca="false">IF(AL44="","",AL51/'Executive Summary'!$T$21*'Executive Summary'!$S$21)</f>
        <v>#VALUE!</v>
      </c>
      <c r="AM52" s="688" t="e">
        <f aca="false">IF(AM44="","",AM51/'Executive Summary'!$T$21*'Executive Summary'!$S$21)</f>
        <v>#VALUE!</v>
      </c>
      <c r="AN52" s="688" t="e">
        <f aca="false">IF(AN44="","",AN51/'Executive Summary'!$T$21*'Executive Summary'!$S$21)</f>
        <v>#VALUE!</v>
      </c>
      <c r="AO52" s="688" t="e">
        <f aca="false">IF(AO44="","",AO51/'Executive Summary'!$T$21*'Executive Summary'!$S$21)</f>
        <v>#VALUE!</v>
      </c>
      <c r="AP52" s="688" t="e">
        <f aca="false">IF(AP44="","",AP51/'Executive Summary'!$T$21*'Executive Summary'!$S$21)</f>
        <v>#VALUE!</v>
      </c>
      <c r="AQ52" s="689" t="e">
        <f aca="false">IF(AQ44="","",AQ51/'Executive Summary'!$T$21*'Executive Summary'!$S$21)</f>
        <v>#VALUE!</v>
      </c>
      <c r="AR52" s="688" t="e">
        <f aca="false">IF(AR44="","",AR51/'Executive Summary'!$T$21*'Executive Summary'!$S$21)</f>
        <v>#VALUE!</v>
      </c>
      <c r="AS52" s="688" t="e">
        <f aca="false">IF(AS44="","",AS51/'Executive Summary'!$T$21*'Executive Summary'!$S$21)</f>
        <v>#VALUE!</v>
      </c>
      <c r="AT52" s="688" t="e">
        <f aca="false">IF(AT44="","",AT51/'Executive Summary'!$T$21*'Executive Summary'!$S$21)</f>
        <v>#VALUE!</v>
      </c>
      <c r="AU52" s="688" t="e">
        <f aca="false">IF(AU44="","",AU51/'Executive Summary'!$T$21*'Executive Summary'!$S$21)</f>
        <v>#VALUE!</v>
      </c>
      <c r="AV52" s="688" t="e">
        <f aca="false">IF(AV44="","",AV51/'Executive Summary'!$T$21*'Executive Summary'!$S$21)</f>
        <v>#VALUE!</v>
      </c>
      <c r="AW52" s="688" t="e">
        <f aca="false">IF(AW44="","",AW51/'Executive Summary'!$T$21*'Executive Summary'!$S$21)</f>
        <v>#VALUE!</v>
      </c>
      <c r="AX52" s="688" t="e">
        <f aca="false">IF(AX44="","",AX51/'Executive Summary'!$T$21*'Executive Summary'!$S$21)</f>
        <v>#VALUE!</v>
      </c>
      <c r="AY52" s="688" t="e">
        <f aca="false">IF(AY44="","",AY51/'Executive Summary'!$T$21*'Executive Summary'!$S$21)</f>
        <v>#VALUE!</v>
      </c>
      <c r="AZ52" s="688" t="e">
        <f aca="false">IF(AZ44="","",AZ51/'Executive Summary'!$T$21*'Executive Summary'!$S$21)</f>
        <v>#VALUE!</v>
      </c>
      <c r="BA52" s="688" t="e">
        <f aca="false">IF(BA44="","",BA51/'Executive Summary'!$T$21*'Executive Summary'!$S$21)</f>
        <v>#VALUE!</v>
      </c>
      <c r="BB52" s="688" t="e">
        <f aca="false">IF(BB44="","",BB51/'Executive Summary'!$T$21*'Executive Summary'!$S$21)</f>
        <v>#VALUE!</v>
      </c>
      <c r="BC52" s="689" t="e">
        <f aca="false">IF(BC44="","",BC51/'Executive Summary'!$T$21*'Executive Summary'!$S$21)</f>
        <v>#VALUE!</v>
      </c>
      <c r="BD52" s="688" t="e">
        <f aca="false">IF(BD44="","",BD51/'Executive Summary'!$T$21*'Executive Summary'!$S$21)</f>
        <v>#VALUE!</v>
      </c>
      <c r="BE52" s="688" t="e">
        <f aca="false">IF(BE44="","",BE51/'Executive Summary'!$T$21*'Executive Summary'!$S$21)</f>
        <v>#VALUE!</v>
      </c>
      <c r="BF52" s="688" t="e">
        <f aca="false">IF(BF44="","",BF51/'Executive Summary'!$T$21*'Executive Summary'!$S$21)</f>
        <v>#VALUE!</v>
      </c>
      <c r="BG52" s="688" t="e">
        <f aca="false">IF(BG44="","",BG51/'Executive Summary'!$T$21*'Executive Summary'!$S$21)</f>
        <v>#VALUE!</v>
      </c>
      <c r="BH52" s="688" t="e">
        <f aca="false">IF(BH44="","",BH51/'Executive Summary'!$T$21*'Executive Summary'!$S$21)</f>
        <v>#VALUE!</v>
      </c>
      <c r="BI52" s="688" t="e">
        <f aca="false">IF(BI44="","",BI51/'Executive Summary'!$T$21*'Executive Summary'!$S$21)</f>
        <v>#VALUE!</v>
      </c>
      <c r="BJ52" s="688" t="e">
        <f aca="false">IF(BJ44="","",BJ51/'Executive Summary'!$T$21*'Executive Summary'!$S$21)</f>
        <v>#VALUE!</v>
      </c>
      <c r="BK52" s="688" t="e">
        <f aca="false">IF(BK44="","",BK51/'Executive Summary'!$T$21*'Executive Summary'!$S$21)</f>
        <v>#VALUE!</v>
      </c>
      <c r="BL52" s="688" t="e">
        <f aca="false">IF(BL44="","",BL51/'Executive Summary'!$T$21*'Executive Summary'!$S$21)</f>
        <v>#VALUE!</v>
      </c>
      <c r="BM52" s="688" t="e">
        <f aca="false">IF(BM44="","",BM51/'Executive Summary'!$T$21*'Executive Summary'!$S$21)</f>
        <v>#VALUE!</v>
      </c>
      <c r="BN52" s="688" t="e">
        <f aca="false">IF(BN44="","",BN51/'Executive Summary'!$T$21*'Executive Summary'!$S$21)</f>
        <v>#VALUE!</v>
      </c>
      <c r="BO52" s="689" t="e">
        <f aca="false">IF(BO44="","",BO51/'Executive Summary'!$T$21*'Executive Summary'!$S$21)</f>
        <v>#VALUE!</v>
      </c>
      <c r="BP52" s="688" t="e">
        <f aca="false">IF(BP44="","",BP51/'Executive Summary'!$T$21*'Executive Summary'!$S$21)</f>
        <v>#VALUE!</v>
      </c>
      <c r="BQ52" s="688" t="e">
        <f aca="false">IF(BQ44="","",BQ51/'Executive Summary'!$T$21*'Executive Summary'!$S$21)</f>
        <v>#VALUE!</v>
      </c>
      <c r="BR52" s="688" t="e">
        <f aca="false">IF(BR44="","",BR51/'Executive Summary'!$T$21*'Executive Summary'!$S$21)</f>
        <v>#VALUE!</v>
      </c>
      <c r="BS52" s="688" t="e">
        <f aca="false">IF(BS44="","",BS51/'Executive Summary'!$T$21*'Executive Summary'!$S$21)</f>
        <v>#VALUE!</v>
      </c>
      <c r="BT52" s="688" t="e">
        <f aca="false">IF(BT44="","",BT51/'Executive Summary'!$T$21*'Executive Summary'!$S$21)</f>
        <v>#VALUE!</v>
      </c>
      <c r="BU52" s="688" t="e">
        <f aca="false">IF(BU44="","",BU51/'Executive Summary'!$T$21*'Executive Summary'!$S$21)</f>
        <v>#VALUE!</v>
      </c>
      <c r="BV52" s="688" t="e">
        <f aca="false">IF(BV44="","",BV51/'Executive Summary'!$T$21*'Executive Summary'!$S$21)</f>
        <v>#VALUE!</v>
      </c>
      <c r="BW52" s="688" t="e">
        <f aca="false">IF(BW44="","",BW51/'Executive Summary'!$T$21*'Executive Summary'!$S$21)</f>
        <v>#VALUE!</v>
      </c>
      <c r="BX52" s="688" t="e">
        <f aca="false">IF(BX44="","",BX51/'Executive Summary'!$T$21*'Executive Summary'!$S$21)</f>
        <v>#VALUE!</v>
      </c>
      <c r="BY52" s="688" t="e">
        <f aca="false">IF(BY44="","",BY51/'Executive Summary'!$T$21*'Executive Summary'!$S$21)</f>
        <v>#VALUE!</v>
      </c>
      <c r="BZ52" s="688" t="e">
        <f aca="false">IF(BZ44="","",BZ51/'Executive Summary'!$T$21*'Executive Summary'!$S$21)</f>
        <v>#VALUE!</v>
      </c>
      <c r="CA52" s="689" t="e">
        <f aca="false">IF(CA44="","",CA51/'Executive Summary'!$T$21*'Executive Summary'!$S$21)</f>
        <v>#VALUE!</v>
      </c>
      <c r="CB52" s="688" t="e">
        <f aca="false">IF(CB44="","",CB51/'Executive Summary'!$T$21*'Executive Summary'!$S$21)</f>
        <v>#VALUE!</v>
      </c>
      <c r="CC52" s="688" t="e">
        <f aca="false">IF(CC44="","",CC51/'Executive Summary'!$T$21*'Executive Summary'!$S$21)</f>
        <v>#VALUE!</v>
      </c>
      <c r="CD52" s="688" t="e">
        <f aca="false">IF(CD44="","",CD51/'Executive Summary'!$T$21*'Executive Summary'!$S$21)</f>
        <v>#VALUE!</v>
      </c>
      <c r="CE52" s="688" t="e">
        <f aca="false">IF(CE44="","",CE51/'Executive Summary'!$T$21*'Executive Summary'!$S$21)</f>
        <v>#VALUE!</v>
      </c>
      <c r="CF52" s="688" t="e">
        <f aca="false">IF(CF44="","",CF51/'Executive Summary'!$T$21*'Executive Summary'!$S$21)</f>
        <v>#VALUE!</v>
      </c>
      <c r="CG52" s="688" t="e">
        <f aca="false">IF(CG44="","",CG51/'Executive Summary'!$T$21*'Executive Summary'!$S$21)</f>
        <v>#VALUE!</v>
      </c>
      <c r="CH52" s="688" t="e">
        <f aca="false">IF(CH44="","",CH51/'Executive Summary'!$T$21*'Executive Summary'!$S$21)</f>
        <v>#VALUE!</v>
      </c>
      <c r="CI52" s="688" t="e">
        <f aca="false">IF(CI44="","",CI51/'Executive Summary'!$T$21*'Executive Summary'!$S$21)</f>
        <v>#VALUE!</v>
      </c>
      <c r="CJ52" s="688" t="e">
        <f aca="false">IF(CJ44="","",CJ51/'Executive Summary'!$T$21*'Executive Summary'!$S$21)</f>
        <v>#VALUE!</v>
      </c>
      <c r="CK52" s="688" t="e">
        <f aca="false">IF(CK44="","",CK51/'Executive Summary'!$T$21*'Executive Summary'!$S$21)</f>
        <v>#VALUE!</v>
      </c>
      <c r="CL52" s="688" t="e">
        <f aca="false">IF(CL44="","",CL51/'Executive Summary'!$T$21*'Executive Summary'!$S$21)</f>
        <v>#VALUE!</v>
      </c>
      <c r="CM52" s="689" t="e">
        <f aca="false">IF(CM44="","",CM51/'Executive Summary'!$T$21*'Executive Summary'!$S$21)</f>
        <v>#VALUE!</v>
      </c>
      <c r="CN52" s="688" t="e">
        <f aca="false">IF(CN44="","",CN51/'Executive Summary'!$T$21*'Executive Summary'!$S$21)</f>
        <v>#VALUE!</v>
      </c>
      <c r="CO52" s="688" t="e">
        <f aca="false">IF(CO44="","",CO51/'Executive Summary'!$T$21*'Executive Summary'!$S$21)</f>
        <v>#VALUE!</v>
      </c>
      <c r="CP52" s="688" t="e">
        <f aca="false">IF(CP44="","",CP51/'Executive Summary'!$T$21*'Executive Summary'!$S$21)</f>
        <v>#VALUE!</v>
      </c>
      <c r="CQ52" s="688" t="e">
        <f aca="false">IF(CQ44="","",CQ51/'Executive Summary'!$T$21*'Executive Summary'!$S$21)</f>
        <v>#VALUE!</v>
      </c>
      <c r="CR52" s="688" t="e">
        <f aca="false">IF(CR44="","",CR51/'Executive Summary'!$T$21*'Executive Summary'!$S$21)</f>
        <v>#VALUE!</v>
      </c>
      <c r="CS52" s="688" t="e">
        <f aca="false">IF(CS44="","",CS51/'Executive Summary'!$T$21*'Executive Summary'!$S$21)</f>
        <v>#VALUE!</v>
      </c>
      <c r="CT52" s="688" t="e">
        <f aca="false">IF(CT44="","",CT51/'Executive Summary'!$T$21*'Executive Summary'!$S$21)</f>
        <v>#VALUE!</v>
      </c>
      <c r="CU52" s="688" t="e">
        <f aca="false">IF(CU44="","",CU51/'Executive Summary'!$T$21*'Executive Summary'!$S$21)</f>
        <v>#VALUE!</v>
      </c>
      <c r="CV52" s="688" t="e">
        <f aca="false">IF(CV44="","",CV51/'Executive Summary'!$T$21*'Executive Summary'!$S$21)</f>
        <v>#VALUE!</v>
      </c>
      <c r="CW52" s="688" t="e">
        <f aca="false">IF(CW44="","",CW51/'Executive Summary'!$T$21*'Executive Summary'!$S$21)</f>
        <v>#VALUE!</v>
      </c>
      <c r="CX52" s="688" t="e">
        <f aca="false">IF(CX44="","",CX51/'Executive Summary'!$T$21*'Executive Summary'!$S$21)</f>
        <v>#VALUE!</v>
      </c>
      <c r="CY52" s="689" t="e">
        <f aca="false">IF(CY44="","",CY51/'Executive Summary'!$T$21*'Executive Summary'!$S$21)</f>
        <v>#VALUE!</v>
      </c>
      <c r="CZ52" s="688" t="e">
        <f aca="false">IF(CZ44="","",CZ51/'Executive Summary'!$T$21*'Executive Summary'!$S$21)</f>
        <v>#VALUE!</v>
      </c>
      <c r="DA52" s="688" t="e">
        <f aca="false">IF(DA44="","",DA51/'Executive Summary'!$T$21*'Executive Summary'!$S$21)</f>
        <v>#VALUE!</v>
      </c>
      <c r="DB52" s="688" t="e">
        <f aca="false">IF(DB44="","",DB51/'Executive Summary'!$T$21*'Executive Summary'!$S$21)</f>
        <v>#VALUE!</v>
      </c>
      <c r="DC52" s="688" t="e">
        <f aca="false">IF(DC44="","",DC51/'Executive Summary'!$T$21*'Executive Summary'!$S$21)</f>
        <v>#VALUE!</v>
      </c>
      <c r="DD52" s="688" t="e">
        <f aca="false">IF(DD44="","",DD51/'Executive Summary'!$T$21*'Executive Summary'!$S$21)</f>
        <v>#VALUE!</v>
      </c>
      <c r="DE52" s="688" t="e">
        <f aca="false">IF(DE44="","",DE51/'Executive Summary'!$T$21*'Executive Summary'!$S$21)</f>
        <v>#VALUE!</v>
      </c>
      <c r="DF52" s="688" t="e">
        <f aca="false">IF(DF44="","",DF51/'Executive Summary'!$T$21*'Executive Summary'!$S$21)</f>
        <v>#VALUE!</v>
      </c>
      <c r="DG52" s="688" t="e">
        <f aca="false">IF(DG44="","",DG51/'Executive Summary'!$T$21*'Executive Summary'!$S$21)</f>
        <v>#VALUE!</v>
      </c>
      <c r="DH52" s="688" t="e">
        <f aca="false">IF(DH44="","",DH51/'Executive Summary'!$T$21*'Executive Summary'!$S$21)</f>
        <v>#VALUE!</v>
      </c>
      <c r="DI52" s="688" t="e">
        <f aca="false">IF(DI44="","",DI51/'Executive Summary'!$T$21*'Executive Summary'!$S$21)</f>
        <v>#VALUE!</v>
      </c>
      <c r="DJ52" s="688" t="e">
        <f aca="false">IF(DJ44="","",DJ51/'Executive Summary'!$T$21*'Executive Summary'!$S$21)</f>
        <v>#VALUE!</v>
      </c>
      <c r="DK52" s="689" t="e">
        <f aca="false">IF(DK44="","",DK51/'Executive Summary'!$T$21*'Executive Summary'!$S$21)</f>
        <v>#VALUE!</v>
      </c>
      <c r="DL52" s="688" t="e">
        <f aca="false">IF(DL44="","",DL51/'Executive Summary'!$T$21*'Executive Summary'!$S$21)</f>
        <v>#VALUE!</v>
      </c>
      <c r="DM52" s="688" t="e">
        <f aca="false">IF(DM44="","",DM51/'Executive Summary'!$T$21*'Executive Summary'!$S$21)</f>
        <v>#VALUE!</v>
      </c>
      <c r="DN52" s="688" t="e">
        <f aca="false">IF(DN44="","",DN51/'Executive Summary'!$T$21*'Executive Summary'!$S$21)</f>
        <v>#VALUE!</v>
      </c>
      <c r="DO52" s="688" t="e">
        <f aca="false">IF(DO44="","",DO51/'Executive Summary'!$T$21*'Executive Summary'!$S$21)</f>
        <v>#VALUE!</v>
      </c>
      <c r="DP52" s="688" t="e">
        <f aca="false">IF(DP44="","",DP51/'Executive Summary'!$T$21*'Executive Summary'!$S$21)</f>
        <v>#VALUE!</v>
      </c>
      <c r="DQ52" s="688" t="e">
        <f aca="false">IF(DQ44="","",DQ51/'Executive Summary'!$T$21*'Executive Summary'!$S$21)</f>
        <v>#VALUE!</v>
      </c>
      <c r="DR52" s="688" t="e">
        <f aca="false">IF(DR44="","",DR51/'Executive Summary'!$T$21*'Executive Summary'!$S$21)</f>
        <v>#VALUE!</v>
      </c>
      <c r="DS52" s="688" t="e">
        <f aca="false">IF(DS44="","",DS51/'Executive Summary'!$T$21*'Executive Summary'!$S$21)</f>
        <v>#VALUE!</v>
      </c>
      <c r="DT52" s="688" t="e">
        <f aca="false">IF(DT44="","",DT51/'Executive Summary'!$T$21*'Executive Summary'!$S$21)</f>
        <v>#VALUE!</v>
      </c>
      <c r="DU52" s="688" t="e">
        <f aca="false">IF(DU44="","",DU51/'Executive Summary'!$T$21*'Executive Summary'!$S$21)</f>
        <v>#VALUE!</v>
      </c>
      <c r="DV52" s="690" t="e">
        <f aca="false">IF(DV44="","",DV51/'Executive Summary'!$T$21*'Executive Summary'!$S$21)</f>
        <v>#VALUE!</v>
      </c>
    </row>
    <row r="53" s="683" customFormat="true" ht="13.5" hidden="false" customHeight="true" outlineLevel="0" collapsed="false">
      <c r="A53" s="236"/>
      <c r="B53" s="69" t="str">
        <f aca="false">"Total Distributions ("&amp;B42&amp;")"</f>
        <v>Total Distributions (Hurdle 2)</v>
      </c>
      <c r="C53" s="242"/>
      <c r="D53" s="242"/>
      <c r="E53" s="242"/>
      <c r="F53" s="688" t="str">
        <f aca="false">IF(F44="","",F51+F52)</f>
        <v/>
      </c>
      <c r="G53" s="689" t="e">
        <f aca="false">IF(G44="","",G51+G52)</f>
        <v>#VALUE!</v>
      </c>
      <c r="H53" s="688" t="e">
        <f aca="false">IF(H44="","",H51+H52)</f>
        <v>#VALUE!</v>
      </c>
      <c r="I53" s="688" t="e">
        <f aca="false">IF(I44="","",I51+I52)</f>
        <v>#VALUE!</v>
      </c>
      <c r="J53" s="688" t="e">
        <f aca="false">IF(J44="","",J51+J52)</f>
        <v>#VALUE!</v>
      </c>
      <c r="K53" s="688" t="e">
        <f aca="false">IF(K44="","",K51+K52)</f>
        <v>#VALUE!</v>
      </c>
      <c r="L53" s="688" t="e">
        <f aca="false">IF(L44="","",L51+L52)</f>
        <v>#VALUE!</v>
      </c>
      <c r="M53" s="688" t="e">
        <f aca="false">IF(M44="","",M51+M52)</f>
        <v>#VALUE!</v>
      </c>
      <c r="N53" s="688" t="e">
        <f aca="false">IF(N44="","",N51+N52)</f>
        <v>#VALUE!</v>
      </c>
      <c r="O53" s="688" t="e">
        <f aca="false">IF(O44="","",O51+O52)</f>
        <v>#VALUE!</v>
      </c>
      <c r="P53" s="688" t="e">
        <f aca="false">IF(P44="","",P51+P52)</f>
        <v>#VALUE!</v>
      </c>
      <c r="Q53" s="688" t="e">
        <f aca="false">IF(Q44="","",Q51+Q52)</f>
        <v>#VALUE!</v>
      </c>
      <c r="R53" s="688" t="e">
        <f aca="false">IF(R44="","",R51+R52)</f>
        <v>#VALUE!</v>
      </c>
      <c r="S53" s="689" t="e">
        <f aca="false">IF(S44="","",S51+S52)</f>
        <v>#VALUE!</v>
      </c>
      <c r="T53" s="688" t="e">
        <f aca="false">IF(T44="","",T51+T52)</f>
        <v>#VALUE!</v>
      </c>
      <c r="U53" s="688" t="e">
        <f aca="false">IF(U44="","",U51+U52)</f>
        <v>#VALUE!</v>
      </c>
      <c r="V53" s="688" t="e">
        <f aca="false">IF(V44="","",V51+V52)</f>
        <v>#VALUE!</v>
      </c>
      <c r="W53" s="688" t="e">
        <f aca="false">IF(W44="","",W51+W52)</f>
        <v>#VALUE!</v>
      </c>
      <c r="X53" s="688" t="e">
        <f aca="false">IF(X44="","",X51+X52)</f>
        <v>#VALUE!</v>
      </c>
      <c r="Y53" s="688" t="e">
        <f aca="false">IF(Y44="","",Y51+Y52)</f>
        <v>#VALUE!</v>
      </c>
      <c r="Z53" s="688" t="e">
        <f aca="false">IF(Z44="","",Z51+Z52)</f>
        <v>#VALUE!</v>
      </c>
      <c r="AA53" s="688" t="e">
        <f aca="false">IF(AA44="","",AA51+AA52)</f>
        <v>#VALUE!</v>
      </c>
      <c r="AB53" s="688" t="e">
        <f aca="false">IF(AB44="","",AB51+AB52)</f>
        <v>#VALUE!</v>
      </c>
      <c r="AC53" s="688" t="e">
        <f aca="false">IF(AC44="","",AC51+AC52)</f>
        <v>#VALUE!</v>
      </c>
      <c r="AD53" s="688" t="e">
        <f aca="false">IF(AD44="","",AD51+AD52)</f>
        <v>#VALUE!</v>
      </c>
      <c r="AE53" s="689" t="e">
        <f aca="false">IF(AE44="","",AE51+AE52)</f>
        <v>#VALUE!</v>
      </c>
      <c r="AF53" s="688" t="e">
        <f aca="false">IF(AF44="","",AF51+AF52)</f>
        <v>#VALUE!</v>
      </c>
      <c r="AG53" s="688" t="e">
        <f aca="false">IF(AG44="","",AG51+AG52)</f>
        <v>#VALUE!</v>
      </c>
      <c r="AH53" s="688" t="e">
        <f aca="false">IF(AH44="","",AH51+AH52)</f>
        <v>#VALUE!</v>
      </c>
      <c r="AI53" s="688" t="e">
        <f aca="false">IF(AI44="","",AI51+AI52)</f>
        <v>#VALUE!</v>
      </c>
      <c r="AJ53" s="688" t="e">
        <f aca="false">IF(AJ44="","",AJ51+AJ52)</f>
        <v>#VALUE!</v>
      </c>
      <c r="AK53" s="688" t="e">
        <f aca="false">IF(AK44="","",AK51+AK52)</f>
        <v>#VALUE!</v>
      </c>
      <c r="AL53" s="688" t="e">
        <f aca="false">IF(AL44="","",AL51+AL52)</f>
        <v>#VALUE!</v>
      </c>
      <c r="AM53" s="688" t="e">
        <f aca="false">IF(AM44="","",AM51+AM52)</f>
        <v>#VALUE!</v>
      </c>
      <c r="AN53" s="688" t="e">
        <f aca="false">IF(AN44="","",AN51+AN52)</f>
        <v>#VALUE!</v>
      </c>
      <c r="AO53" s="688" t="e">
        <f aca="false">IF(AO44="","",AO51+AO52)</f>
        <v>#VALUE!</v>
      </c>
      <c r="AP53" s="688" t="e">
        <f aca="false">IF(AP44="","",AP51+AP52)</f>
        <v>#VALUE!</v>
      </c>
      <c r="AQ53" s="689" t="e">
        <f aca="false">IF(AQ44="","",AQ51+AQ52)</f>
        <v>#VALUE!</v>
      </c>
      <c r="AR53" s="688" t="e">
        <f aca="false">IF(AR44="","",AR51+AR52)</f>
        <v>#VALUE!</v>
      </c>
      <c r="AS53" s="688" t="e">
        <f aca="false">IF(AS44="","",AS51+AS52)</f>
        <v>#VALUE!</v>
      </c>
      <c r="AT53" s="688" t="e">
        <f aca="false">IF(AT44="","",AT51+AT52)</f>
        <v>#VALUE!</v>
      </c>
      <c r="AU53" s="688" t="e">
        <f aca="false">IF(AU44="","",AU51+AU52)</f>
        <v>#VALUE!</v>
      </c>
      <c r="AV53" s="688" t="e">
        <f aca="false">IF(AV44="","",AV51+AV52)</f>
        <v>#VALUE!</v>
      </c>
      <c r="AW53" s="688" t="e">
        <f aca="false">IF(AW44="","",AW51+AW52)</f>
        <v>#VALUE!</v>
      </c>
      <c r="AX53" s="688" t="e">
        <f aca="false">IF(AX44="","",AX51+AX52)</f>
        <v>#VALUE!</v>
      </c>
      <c r="AY53" s="688" t="e">
        <f aca="false">IF(AY44="","",AY51+AY52)</f>
        <v>#VALUE!</v>
      </c>
      <c r="AZ53" s="688" t="e">
        <f aca="false">IF(AZ44="","",AZ51+AZ52)</f>
        <v>#VALUE!</v>
      </c>
      <c r="BA53" s="688" t="e">
        <f aca="false">IF(BA44="","",BA51+BA52)</f>
        <v>#VALUE!</v>
      </c>
      <c r="BB53" s="688" t="e">
        <f aca="false">IF(BB44="","",BB51+BB52)</f>
        <v>#VALUE!</v>
      </c>
      <c r="BC53" s="689" t="e">
        <f aca="false">IF(BC44="","",BC51+BC52)</f>
        <v>#VALUE!</v>
      </c>
      <c r="BD53" s="688" t="e">
        <f aca="false">IF(BD44="","",BD51+BD52)</f>
        <v>#VALUE!</v>
      </c>
      <c r="BE53" s="688" t="e">
        <f aca="false">IF(BE44="","",BE51+BE52)</f>
        <v>#VALUE!</v>
      </c>
      <c r="BF53" s="688" t="e">
        <f aca="false">IF(BF44="","",BF51+BF52)</f>
        <v>#VALUE!</v>
      </c>
      <c r="BG53" s="688" t="e">
        <f aca="false">IF(BG44="","",BG51+BG52)</f>
        <v>#VALUE!</v>
      </c>
      <c r="BH53" s="688" t="e">
        <f aca="false">IF(BH44="","",BH51+BH52)</f>
        <v>#VALUE!</v>
      </c>
      <c r="BI53" s="688" t="e">
        <f aca="false">IF(BI44="","",BI51+BI52)</f>
        <v>#VALUE!</v>
      </c>
      <c r="BJ53" s="688" t="e">
        <f aca="false">IF(BJ44="","",BJ51+BJ52)</f>
        <v>#VALUE!</v>
      </c>
      <c r="BK53" s="688" t="e">
        <f aca="false">IF(BK44="","",BK51+BK52)</f>
        <v>#VALUE!</v>
      </c>
      <c r="BL53" s="688" t="e">
        <f aca="false">IF(BL44="","",BL51+BL52)</f>
        <v>#VALUE!</v>
      </c>
      <c r="BM53" s="688" t="e">
        <f aca="false">IF(BM44="","",BM51+BM52)</f>
        <v>#VALUE!</v>
      </c>
      <c r="BN53" s="688" t="e">
        <f aca="false">IF(BN44="","",BN51+BN52)</f>
        <v>#VALUE!</v>
      </c>
      <c r="BO53" s="689" t="e">
        <f aca="false">IF(BO44="","",BO51+BO52)</f>
        <v>#VALUE!</v>
      </c>
      <c r="BP53" s="688" t="e">
        <f aca="false">IF(BP44="","",BP51+BP52)</f>
        <v>#VALUE!</v>
      </c>
      <c r="BQ53" s="688" t="e">
        <f aca="false">IF(BQ44="","",BQ51+BQ52)</f>
        <v>#VALUE!</v>
      </c>
      <c r="BR53" s="688" t="e">
        <f aca="false">IF(BR44="","",BR51+BR52)</f>
        <v>#VALUE!</v>
      </c>
      <c r="BS53" s="688" t="e">
        <f aca="false">IF(BS44="","",BS51+BS52)</f>
        <v>#VALUE!</v>
      </c>
      <c r="BT53" s="688" t="e">
        <f aca="false">IF(BT44="","",BT51+BT52)</f>
        <v>#VALUE!</v>
      </c>
      <c r="BU53" s="688" t="e">
        <f aca="false">IF(BU44="","",BU51+BU52)</f>
        <v>#VALUE!</v>
      </c>
      <c r="BV53" s="688" t="e">
        <f aca="false">IF(BV44="","",BV51+BV52)</f>
        <v>#VALUE!</v>
      </c>
      <c r="BW53" s="688" t="e">
        <f aca="false">IF(BW44="","",BW51+BW52)</f>
        <v>#VALUE!</v>
      </c>
      <c r="BX53" s="688" t="e">
        <f aca="false">IF(BX44="","",BX51+BX52)</f>
        <v>#VALUE!</v>
      </c>
      <c r="BY53" s="688" t="e">
        <f aca="false">IF(BY44="","",BY51+BY52)</f>
        <v>#VALUE!</v>
      </c>
      <c r="BZ53" s="688" t="e">
        <f aca="false">IF(BZ44="","",BZ51+BZ52)</f>
        <v>#VALUE!</v>
      </c>
      <c r="CA53" s="689" t="e">
        <f aca="false">IF(CA44="","",CA51+CA52)</f>
        <v>#VALUE!</v>
      </c>
      <c r="CB53" s="688" t="e">
        <f aca="false">IF(CB44="","",CB51+CB52)</f>
        <v>#VALUE!</v>
      </c>
      <c r="CC53" s="688" t="e">
        <f aca="false">IF(CC44="","",CC51+CC52)</f>
        <v>#VALUE!</v>
      </c>
      <c r="CD53" s="688" t="e">
        <f aca="false">IF(CD44="","",CD51+CD52)</f>
        <v>#VALUE!</v>
      </c>
      <c r="CE53" s="688" t="e">
        <f aca="false">IF(CE44="","",CE51+CE52)</f>
        <v>#VALUE!</v>
      </c>
      <c r="CF53" s="688" t="e">
        <f aca="false">IF(CF44="","",CF51+CF52)</f>
        <v>#VALUE!</v>
      </c>
      <c r="CG53" s="688" t="e">
        <f aca="false">IF(CG44="","",CG51+CG52)</f>
        <v>#VALUE!</v>
      </c>
      <c r="CH53" s="688" t="e">
        <f aca="false">IF(CH44="","",CH51+CH52)</f>
        <v>#VALUE!</v>
      </c>
      <c r="CI53" s="688" t="e">
        <f aca="false">IF(CI44="","",CI51+CI52)</f>
        <v>#VALUE!</v>
      </c>
      <c r="CJ53" s="688" t="e">
        <f aca="false">IF(CJ44="","",CJ51+CJ52)</f>
        <v>#VALUE!</v>
      </c>
      <c r="CK53" s="688" t="e">
        <f aca="false">IF(CK44="","",CK51+CK52)</f>
        <v>#VALUE!</v>
      </c>
      <c r="CL53" s="688" t="e">
        <f aca="false">IF(CL44="","",CL51+CL52)</f>
        <v>#VALUE!</v>
      </c>
      <c r="CM53" s="689" t="e">
        <f aca="false">IF(CM44="","",CM51+CM52)</f>
        <v>#VALUE!</v>
      </c>
      <c r="CN53" s="688" t="e">
        <f aca="false">IF(CN44="","",CN51+CN52)</f>
        <v>#VALUE!</v>
      </c>
      <c r="CO53" s="688" t="e">
        <f aca="false">IF(CO44="","",CO51+CO52)</f>
        <v>#VALUE!</v>
      </c>
      <c r="CP53" s="688" t="e">
        <f aca="false">IF(CP44="","",CP51+CP52)</f>
        <v>#VALUE!</v>
      </c>
      <c r="CQ53" s="688" t="e">
        <f aca="false">IF(CQ44="","",CQ51+CQ52)</f>
        <v>#VALUE!</v>
      </c>
      <c r="CR53" s="688" t="e">
        <f aca="false">IF(CR44="","",CR51+CR52)</f>
        <v>#VALUE!</v>
      </c>
      <c r="CS53" s="688" t="e">
        <f aca="false">IF(CS44="","",CS51+CS52)</f>
        <v>#VALUE!</v>
      </c>
      <c r="CT53" s="688" t="e">
        <f aca="false">IF(CT44="","",CT51+CT52)</f>
        <v>#VALUE!</v>
      </c>
      <c r="CU53" s="688" t="e">
        <f aca="false">IF(CU44="","",CU51+CU52)</f>
        <v>#VALUE!</v>
      </c>
      <c r="CV53" s="688" t="e">
        <f aca="false">IF(CV44="","",CV51+CV52)</f>
        <v>#VALUE!</v>
      </c>
      <c r="CW53" s="688" t="e">
        <f aca="false">IF(CW44="","",CW51+CW52)</f>
        <v>#VALUE!</v>
      </c>
      <c r="CX53" s="688" t="e">
        <f aca="false">IF(CX44="","",CX51+CX52)</f>
        <v>#VALUE!</v>
      </c>
      <c r="CY53" s="689" t="e">
        <f aca="false">IF(CY44="","",CY51+CY52)</f>
        <v>#VALUE!</v>
      </c>
      <c r="CZ53" s="688" t="e">
        <f aca="false">IF(CZ44="","",CZ51+CZ52)</f>
        <v>#VALUE!</v>
      </c>
      <c r="DA53" s="688" t="e">
        <f aca="false">IF(DA44="","",DA51+DA52)</f>
        <v>#VALUE!</v>
      </c>
      <c r="DB53" s="688" t="e">
        <f aca="false">IF(DB44="","",DB51+DB52)</f>
        <v>#VALUE!</v>
      </c>
      <c r="DC53" s="688" t="e">
        <f aca="false">IF(DC44="","",DC51+DC52)</f>
        <v>#VALUE!</v>
      </c>
      <c r="DD53" s="688" t="e">
        <f aca="false">IF(DD44="","",DD51+DD52)</f>
        <v>#VALUE!</v>
      </c>
      <c r="DE53" s="688" t="e">
        <f aca="false">IF(DE44="","",DE51+DE52)</f>
        <v>#VALUE!</v>
      </c>
      <c r="DF53" s="688" t="e">
        <f aca="false">IF(DF44="","",DF51+DF52)</f>
        <v>#VALUE!</v>
      </c>
      <c r="DG53" s="688" t="e">
        <f aca="false">IF(DG44="","",DG51+DG52)</f>
        <v>#VALUE!</v>
      </c>
      <c r="DH53" s="688" t="e">
        <f aca="false">IF(DH44="","",DH51+DH52)</f>
        <v>#VALUE!</v>
      </c>
      <c r="DI53" s="688" t="e">
        <f aca="false">IF(DI44="","",DI51+DI52)</f>
        <v>#VALUE!</v>
      </c>
      <c r="DJ53" s="688" t="e">
        <f aca="false">IF(DJ44="","",DJ51+DJ52)</f>
        <v>#VALUE!</v>
      </c>
      <c r="DK53" s="689" t="e">
        <f aca="false">IF(DK44="","",DK51+DK52)</f>
        <v>#VALUE!</v>
      </c>
      <c r="DL53" s="688" t="e">
        <f aca="false">IF(DL44="","",DL51+DL52)</f>
        <v>#VALUE!</v>
      </c>
      <c r="DM53" s="688" t="e">
        <f aca="false">IF(DM44="","",DM51+DM52)</f>
        <v>#VALUE!</v>
      </c>
      <c r="DN53" s="688" t="e">
        <f aca="false">IF(DN44="","",DN51+DN52)</f>
        <v>#VALUE!</v>
      </c>
      <c r="DO53" s="688" t="e">
        <f aca="false">IF(DO44="","",DO51+DO52)</f>
        <v>#VALUE!</v>
      </c>
      <c r="DP53" s="688" t="e">
        <f aca="false">IF(DP44="","",DP51+DP52)</f>
        <v>#VALUE!</v>
      </c>
      <c r="DQ53" s="688" t="e">
        <f aca="false">IF(DQ44="","",DQ51+DQ52)</f>
        <v>#VALUE!</v>
      </c>
      <c r="DR53" s="688" t="e">
        <f aca="false">IF(DR44="","",DR51+DR52)</f>
        <v>#VALUE!</v>
      </c>
      <c r="DS53" s="688" t="e">
        <f aca="false">IF(DS44="","",DS51+DS52)</f>
        <v>#VALUE!</v>
      </c>
      <c r="DT53" s="688" t="e">
        <f aca="false">IF(DT44="","",DT51+DT52)</f>
        <v>#VALUE!</v>
      </c>
      <c r="DU53" s="688" t="e">
        <f aca="false">IF(DU44="","",DU51+DU52)</f>
        <v>#VALUE!</v>
      </c>
      <c r="DV53" s="690" t="e">
        <f aca="false">IF(DV44="","",DV51+DV52)</f>
        <v>#VALUE!</v>
      </c>
    </row>
    <row r="54" s="683" customFormat="true" ht="13.5" hidden="false" customHeight="true" outlineLevel="0" collapsed="false">
      <c r="A54" s="236"/>
      <c r="B54" s="95" t="s">
        <v>652</v>
      </c>
      <c r="C54" s="268"/>
      <c r="D54" s="268"/>
      <c r="E54" s="268"/>
      <c r="F54" s="696" t="str">
        <f aca="false">IF(F44="","",MAX(F$6-F39-F53,0))</f>
        <v/>
      </c>
      <c r="G54" s="697" t="e">
        <f aca="false">IF(G44="","",MAX(G$6-G39-G53,0))</f>
        <v>#VALUE!</v>
      </c>
      <c r="H54" s="696" t="e">
        <f aca="false">IF(H44="","",MAX(H$6-H39-H53,0))</f>
        <v>#VALUE!</v>
      </c>
      <c r="I54" s="696" t="e">
        <f aca="false">IF(I44="","",MAX(I$6-I39-I53,0))</f>
        <v>#VALUE!</v>
      </c>
      <c r="J54" s="696" t="e">
        <f aca="false">IF(J44="","",MAX(J$6-J39-J53,0))</f>
        <v>#VALUE!</v>
      </c>
      <c r="K54" s="696" t="e">
        <f aca="false">IF(K44="","",MAX(K$6-K39-K53,0))</f>
        <v>#VALUE!</v>
      </c>
      <c r="L54" s="696" t="e">
        <f aca="false">IF(L44="","",MAX(L$6-L39-L53,0))</f>
        <v>#VALUE!</v>
      </c>
      <c r="M54" s="696" t="e">
        <f aca="false">IF(M44="","",MAX(M$6-M39-M53,0))</f>
        <v>#VALUE!</v>
      </c>
      <c r="N54" s="696" t="e">
        <f aca="false">IF(N44="","",MAX(N$6-N39-N53,0))</f>
        <v>#VALUE!</v>
      </c>
      <c r="O54" s="696" t="e">
        <f aca="false">IF(O44="","",MAX(O$6-O39-O53,0))</f>
        <v>#VALUE!</v>
      </c>
      <c r="P54" s="696" t="e">
        <f aca="false">IF(P44="","",MAX(P$6-P39-P53,0))</f>
        <v>#VALUE!</v>
      </c>
      <c r="Q54" s="696" t="e">
        <f aca="false">IF(Q44="","",MAX(Q$6-Q39-Q53,0))</f>
        <v>#VALUE!</v>
      </c>
      <c r="R54" s="696" t="e">
        <f aca="false">IF(R44="","",MAX(R$6-R39-R53,0))</f>
        <v>#VALUE!</v>
      </c>
      <c r="S54" s="697" t="e">
        <f aca="false">IF(S44="","",MAX(S$6-S39-S53,0))</f>
        <v>#VALUE!</v>
      </c>
      <c r="T54" s="696" t="e">
        <f aca="false">IF(T44="","",MAX(T$6-T39-T53,0))</f>
        <v>#VALUE!</v>
      </c>
      <c r="U54" s="696" t="e">
        <f aca="false">IF(U44="","",MAX(U$6-U39-U53,0))</f>
        <v>#VALUE!</v>
      </c>
      <c r="V54" s="696" t="e">
        <f aca="false">IF(V44="","",MAX(V$6-V39-V53,0))</f>
        <v>#VALUE!</v>
      </c>
      <c r="W54" s="696" t="e">
        <f aca="false">IF(W44="","",MAX(W$6-W39-W53,0))</f>
        <v>#VALUE!</v>
      </c>
      <c r="X54" s="696" t="e">
        <f aca="false">IF(X44="","",MAX(X$6-X39-X53,0))</f>
        <v>#VALUE!</v>
      </c>
      <c r="Y54" s="696" t="e">
        <f aca="false">IF(Y44="","",MAX(Y$6-Y39-Y53,0))</f>
        <v>#VALUE!</v>
      </c>
      <c r="Z54" s="696" t="e">
        <f aca="false">IF(Z44="","",MAX(Z$6-Z39-Z53,0))</f>
        <v>#VALUE!</v>
      </c>
      <c r="AA54" s="696" t="e">
        <f aca="false">IF(AA44="","",MAX(AA$6-AA39-AA53,0))</f>
        <v>#VALUE!</v>
      </c>
      <c r="AB54" s="696" t="e">
        <f aca="false">IF(AB44="","",MAX(AB$6-AB39-AB53,0))</f>
        <v>#VALUE!</v>
      </c>
      <c r="AC54" s="696" t="e">
        <f aca="false">IF(AC44="","",MAX(AC$6-AC39-AC53,0))</f>
        <v>#VALUE!</v>
      </c>
      <c r="AD54" s="696" t="e">
        <f aca="false">IF(AD44="","",MAX(AD$6-AD39-AD53,0))</f>
        <v>#VALUE!</v>
      </c>
      <c r="AE54" s="697" t="e">
        <f aca="false">IF(AE44="","",MAX(AE$6-AE39-AE53,0))</f>
        <v>#VALUE!</v>
      </c>
      <c r="AF54" s="696" t="e">
        <f aca="false">IF(AF44="","",MAX(AF$6-AF39-AF53,0))</f>
        <v>#VALUE!</v>
      </c>
      <c r="AG54" s="696" t="e">
        <f aca="false">IF(AG44="","",MAX(AG$6-AG39-AG53,0))</f>
        <v>#VALUE!</v>
      </c>
      <c r="AH54" s="696" t="e">
        <f aca="false">IF(AH44="","",MAX(AH$6-AH39-AH53,0))</f>
        <v>#VALUE!</v>
      </c>
      <c r="AI54" s="696" t="e">
        <f aca="false">IF(AI44="","",MAX(AI$6-AI39-AI53,0))</f>
        <v>#VALUE!</v>
      </c>
      <c r="AJ54" s="696" t="e">
        <f aca="false">IF(AJ44="","",MAX(AJ$6-AJ39-AJ53,0))</f>
        <v>#VALUE!</v>
      </c>
      <c r="AK54" s="696" t="e">
        <f aca="false">IF(AK44="","",MAX(AK$6-AK39-AK53,0))</f>
        <v>#VALUE!</v>
      </c>
      <c r="AL54" s="696" t="e">
        <f aca="false">IF(AL44="","",MAX(AL$6-AL39-AL53,0))</f>
        <v>#VALUE!</v>
      </c>
      <c r="AM54" s="696" t="e">
        <f aca="false">IF(AM44="","",MAX(AM$6-AM39-AM53,0))</f>
        <v>#VALUE!</v>
      </c>
      <c r="AN54" s="696" t="e">
        <f aca="false">IF(AN44="","",MAX(AN$6-AN39-AN53,0))</f>
        <v>#VALUE!</v>
      </c>
      <c r="AO54" s="696" t="e">
        <f aca="false">IF(AO44="","",MAX(AO$6-AO39-AO53,0))</f>
        <v>#VALUE!</v>
      </c>
      <c r="AP54" s="696" t="e">
        <f aca="false">IF(AP44="","",MAX(AP$6-AP39-AP53,0))</f>
        <v>#VALUE!</v>
      </c>
      <c r="AQ54" s="697" t="e">
        <f aca="false">IF(AQ44="","",MAX(AQ$6-AQ39-AQ53,0))</f>
        <v>#VALUE!</v>
      </c>
      <c r="AR54" s="696" t="e">
        <f aca="false">IF(AR44="","",MAX(AR$6-AR39-AR53,0))</f>
        <v>#VALUE!</v>
      </c>
      <c r="AS54" s="696" t="e">
        <f aca="false">IF(AS44="","",MAX(AS$6-AS39-AS53,0))</f>
        <v>#VALUE!</v>
      </c>
      <c r="AT54" s="696" t="e">
        <f aca="false">IF(AT44="","",MAX(AT$6-AT39-AT53,0))</f>
        <v>#VALUE!</v>
      </c>
      <c r="AU54" s="696" t="e">
        <f aca="false">IF(AU44="","",MAX(AU$6-AU39-AU53,0))</f>
        <v>#VALUE!</v>
      </c>
      <c r="AV54" s="696" t="e">
        <f aca="false">IF(AV44="","",MAX(AV$6-AV39-AV53,0))</f>
        <v>#VALUE!</v>
      </c>
      <c r="AW54" s="696" t="e">
        <f aca="false">IF(AW44="","",MAX(AW$6-AW39-AW53,0))</f>
        <v>#VALUE!</v>
      </c>
      <c r="AX54" s="696" t="e">
        <f aca="false">IF(AX44="","",MAX(AX$6-AX39-AX53,0))</f>
        <v>#VALUE!</v>
      </c>
      <c r="AY54" s="696" t="e">
        <f aca="false">IF(AY44="","",MAX(AY$6-AY39-AY53,0))</f>
        <v>#VALUE!</v>
      </c>
      <c r="AZ54" s="696" t="e">
        <f aca="false">IF(AZ44="","",MAX(AZ$6-AZ39-AZ53,0))</f>
        <v>#VALUE!</v>
      </c>
      <c r="BA54" s="696" t="e">
        <f aca="false">IF(BA44="","",MAX(BA$6-BA39-BA53,0))</f>
        <v>#VALUE!</v>
      </c>
      <c r="BB54" s="696" t="e">
        <f aca="false">IF(BB44="","",MAX(BB$6-BB39-BB53,0))</f>
        <v>#VALUE!</v>
      </c>
      <c r="BC54" s="697" t="e">
        <f aca="false">IF(BC44="","",MAX(BC$6-BC39-BC53,0))</f>
        <v>#VALUE!</v>
      </c>
      <c r="BD54" s="696" t="e">
        <f aca="false">IF(BD44="","",MAX(BD$6-BD39-BD53,0))</f>
        <v>#VALUE!</v>
      </c>
      <c r="BE54" s="696" t="e">
        <f aca="false">IF(BE44="","",MAX(BE$6-BE39-BE53,0))</f>
        <v>#VALUE!</v>
      </c>
      <c r="BF54" s="696" t="e">
        <f aca="false">IF(BF44="","",MAX(BF$6-BF39-BF53,0))</f>
        <v>#VALUE!</v>
      </c>
      <c r="BG54" s="696" t="e">
        <f aca="false">IF(BG44="","",MAX(BG$6-BG39-BG53,0))</f>
        <v>#VALUE!</v>
      </c>
      <c r="BH54" s="696" t="e">
        <f aca="false">IF(BH44="","",MAX(BH$6-BH39-BH53,0))</f>
        <v>#VALUE!</v>
      </c>
      <c r="BI54" s="696" t="e">
        <f aca="false">IF(BI44="","",MAX(BI$6-BI39-BI53,0))</f>
        <v>#VALUE!</v>
      </c>
      <c r="BJ54" s="696" t="e">
        <f aca="false">IF(BJ44="","",MAX(BJ$6-BJ39-BJ53,0))</f>
        <v>#VALUE!</v>
      </c>
      <c r="BK54" s="696" t="e">
        <f aca="false">IF(BK44="","",MAX(BK$6-BK39-BK53,0))</f>
        <v>#VALUE!</v>
      </c>
      <c r="BL54" s="696" t="e">
        <f aca="false">IF(BL44="","",MAX(BL$6-BL39-BL53,0))</f>
        <v>#VALUE!</v>
      </c>
      <c r="BM54" s="696" t="e">
        <f aca="false">IF(BM44="","",MAX(BM$6-BM39-BM53,0))</f>
        <v>#VALUE!</v>
      </c>
      <c r="BN54" s="696" t="e">
        <f aca="false">IF(BN44="","",MAX(BN$6-BN39-BN53,0))</f>
        <v>#VALUE!</v>
      </c>
      <c r="BO54" s="697" t="e">
        <f aca="false">IF(BO44="","",MAX(BO$6-BO39-BO53,0))</f>
        <v>#VALUE!</v>
      </c>
      <c r="BP54" s="696" t="e">
        <f aca="false">IF(BP44="","",MAX(BP$6-BP39-BP53,0))</f>
        <v>#VALUE!</v>
      </c>
      <c r="BQ54" s="696" t="e">
        <f aca="false">IF(BQ44="","",MAX(BQ$6-BQ39-BQ53,0))</f>
        <v>#VALUE!</v>
      </c>
      <c r="BR54" s="696" t="e">
        <f aca="false">IF(BR44="","",MAX(BR$6-BR39-BR53,0))</f>
        <v>#VALUE!</v>
      </c>
      <c r="BS54" s="696" t="e">
        <f aca="false">IF(BS44="","",MAX(BS$6-BS39-BS53,0))</f>
        <v>#VALUE!</v>
      </c>
      <c r="BT54" s="696" t="e">
        <f aca="false">IF(BT44="","",MAX(BT$6-BT39-BT53,0))</f>
        <v>#VALUE!</v>
      </c>
      <c r="BU54" s="696" t="e">
        <f aca="false">IF(BU44="","",MAX(BU$6-BU39-BU53,0))</f>
        <v>#VALUE!</v>
      </c>
      <c r="BV54" s="696" t="e">
        <f aca="false">IF(BV44="","",MAX(BV$6-BV39-BV53,0))</f>
        <v>#VALUE!</v>
      </c>
      <c r="BW54" s="696" t="e">
        <f aca="false">IF(BW44="","",MAX(BW$6-BW39-BW53,0))</f>
        <v>#VALUE!</v>
      </c>
      <c r="BX54" s="696" t="e">
        <f aca="false">IF(BX44="","",MAX(BX$6-BX39-BX53,0))</f>
        <v>#VALUE!</v>
      </c>
      <c r="BY54" s="696" t="e">
        <f aca="false">IF(BY44="","",MAX(BY$6-BY39-BY53,0))</f>
        <v>#VALUE!</v>
      </c>
      <c r="BZ54" s="696" t="e">
        <f aca="false">IF(BZ44="","",MAX(BZ$6-BZ39-BZ53,0))</f>
        <v>#VALUE!</v>
      </c>
      <c r="CA54" s="697" t="e">
        <f aca="false">IF(CA44="","",MAX(CA$6-CA39-CA53,0))</f>
        <v>#VALUE!</v>
      </c>
      <c r="CB54" s="696" t="e">
        <f aca="false">IF(CB44="","",MAX(CB$6-CB39-CB53,0))</f>
        <v>#VALUE!</v>
      </c>
      <c r="CC54" s="696" t="e">
        <f aca="false">IF(CC44="","",MAX(CC$6-CC39-CC53,0))</f>
        <v>#VALUE!</v>
      </c>
      <c r="CD54" s="696" t="e">
        <f aca="false">IF(CD44="","",MAX(CD$6-CD39-CD53,0))</f>
        <v>#VALUE!</v>
      </c>
      <c r="CE54" s="696" t="e">
        <f aca="false">IF(CE44="","",MAX(CE$6-CE39-CE53,0))</f>
        <v>#VALUE!</v>
      </c>
      <c r="CF54" s="696" t="e">
        <f aca="false">IF(CF44="","",MAX(CF$6-CF39-CF53,0))</f>
        <v>#VALUE!</v>
      </c>
      <c r="CG54" s="696" t="e">
        <f aca="false">IF(CG44="","",MAX(CG$6-CG39-CG53,0))</f>
        <v>#VALUE!</v>
      </c>
      <c r="CH54" s="696" t="e">
        <f aca="false">IF(CH44="","",MAX(CH$6-CH39-CH53,0))</f>
        <v>#VALUE!</v>
      </c>
      <c r="CI54" s="696" t="e">
        <f aca="false">IF(CI44="","",MAX(CI$6-CI39-CI53,0))</f>
        <v>#VALUE!</v>
      </c>
      <c r="CJ54" s="696" t="e">
        <f aca="false">IF(CJ44="","",MAX(CJ$6-CJ39-CJ53,0))</f>
        <v>#VALUE!</v>
      </c>
      <c r="CK54" s="696" t="e">
        <f aca="false">IF(CK44="","",MAX(CK$6-CK39-CK53,0))</f>
        <v>#VALUE!</v>
      </c>
      <c r="CL54" s="696" t="e">
        <f aca="false">IF(CL44="","",MAX(CL$6-CL39-CL53,0))</f>
        <v>#VALUE!</v>
      </c>
      <c r="CM54" s="697" t="e">
        <f aca="false">IF(CM44="","",MAX(CM$6-CM39-CM53,0))</f>
        <v>#VALUE!</v>
      </c>
      <c r="CN54" s="696" t="e">
        <f aca="false">IF(CN44="","",MAX(CN$6-CN39-CN53,0))</f>
        <v>#VALUE!</v>
      </c>
      <c r="CO54" s="696" t="e">
        <f aca="false">IF(CO44="","",MAX(CO$6-CO39-CO53,0))</f>
        <v>#VALUE!</v>
      </c>
      <c r="CP54" s="696" t="e">
        <f aca="false">IF(CP44="","",MAX(CP$6-CP39-CP53,0))</f>
        <v>#VALUE!</v>
      </c>
      <c r="CQ54" s="696" t="e">
        <f aca="false">IF(CQ44="","",MAX(CQ$6-CQ39-CQ53,0))</f>
        <v>#VALUE!</v>
      </c>
      <c r="CR54" s="696" t="e">
        <f aca="false">IF(CR44="","",MAX(CR$6-CR39-CR53,0))</f>
        <v>#VALUE!</v>
      </c>
      <c r="CS54" s="696" t="e">
        <f aca="false">IF(CS44="","",MAX(CS$6-CS39-CS53,0))</f>
        <v>#VALUE!</v>
      </c>
      <c r="CT54" s="696" t="e">
        <f aca="false">IF(CT44="","",MAX(CT$6-CT39-CT53,0))</f>
        <v>#VALUE!</v>
      </c>
      <c r="CU54" s="696" t="e">
        <f aca="false">IF(CU44="","",MAX(CU$6-CU39-CU53,0))</f>
        <v>#VALUE!</v>
      </c>
      <c r="CV54" s="696" t="e">
        <f aca="false">IF(CV44="","",MAX(CV$6-CV39-CV53,0))</f>
        <v>#VALUE!</v>
      </c>
      <c r="CW54" s="696" t="e">
        <f aca="false">IF(CW44="","",MAX(CW$6-CW39-CW53,0))</f>
        <v>#VALUE!</v>
      </c>
      <c r="CX54" s="696" t="e">
        <f aca="false">IF(CX44="","",MAX(CX$6-CX39-CX53,0))</f>
        <v>#VALUE!</v>
      </c>
      <c r="CY54" s="697" t="e">
        <f aca="false">IF(CY44="","",MAX(CY$6-CY39-CY53,0))</f>
        <v>#VALUE!</v>
      </c>
      <c r="CZ54" s="696" t="e">
        <f aca="false">IF(CZ44="","",MAX(CZ$6-CZ39-CZ53,0))</f>
        <v>#VALUE!</v>
      </c>
      <c r="DA54" s="696" t="e">
        <f aca="false">IF(DA44="","",MAX(DA$6-DA39-DA53,0))</f>
        <v>#VALUE!</v>
      </c>
      <c r="DB54" s="696" t="e">
        <f aca="false">IF(DB44="","",MAX(DB$6-DB39-DB53,0))</f>
        <v>#VALUE!</v>
      </c>
      <c r="DC54" s="696" t="e">
        <f aca="false">IF(DC44="","",MAX(DC$6-DC39-DC53,0))</f>
        <v>#VALUE!</v>
      </c>
      <c r="DD54" s="696" t="e">
        <f aca="false">IF(DD44="","",MAX(DD$6-DD39-DD53,0))</f>
        <v>#VALUE!</v>
      </c>
      <c r="DE54" s="696" t="e">
        <f aca="false">IF(DE44="","",MAX(DE$6-DE39-DE53,0))</f>
        <v>#VALUE!</v>
      </c>
      <c r="DF54" s="696" t="e">
        <f aca="false">IF(DF44="","",MAX(DF$6-DF39-DF53,0))</f>
        <v>#VALUE!</v>
      </c>
      <c r="DG54" s="696" t="e">
        <f aca="false">IF(DG44="","",MAX(DG$6-DG39-DG53,0))</f>
        <v>#VALUE!</v>
      </c>
      <c r="DH54" s="696" t="e">
        <f aca="false">IF(DH44="","",MAX(DH$6-DH39-DH53,0))</f>
        <v>#VALUE!</v>
      </c>
      <c r="DI54" s="696" t="e">
        <f aca="false">IF(DI44="","",MAX(DI$6-DI39-DI53,0))</f>
        <v>#VALUE!</v>
      </c>
      <c r="DJ54" s="696" t="e">
        <f aca="false">IF(DJ44="","",MAX(DJ$6-DJ39-DJ53,0))</f>
        <v>#VALUE!</v>
      </c>
      <c r="DK54" s="697" t="e">
        <f aca="false">IF(DK44="","",MAX(DK$6-DK39-DK53,0))</f>
        <v>#VALUE!</v>
      </c>
      <c r="DL54" s="696" t="e">
        <f aca="false">IF(DL44="","",MAX(DL$6-DL39-DL53,0))</f>
        <v>#VALUE!</v>
      </c>
      <c r="DM54" s="696" t="e">
        <f aca="false">IF(DM44="","",MAX(DM$6-DM39-DM53,0))</f>
        <v>#VALUE!</v>
      </c>
      <c r="DN54" s="696" t="e">
        <f aca="false">IF(DN44="","",MAX(DN$6-DN39-DN53,0))</f>
        <v>#VALUE!</v>
      </c>
      <c r="DO54" s="696" t="e">
        <f aca="false">IF(DO44="","",MAX(DO$6-DO39-DO53,0))</f>
        <v>#VALUE!</v>
      </c>
      <c r="DP54" s="696" t="e">
        <f aca="false">IF(DP44="","",MAX(DP$6-DP39-DP53,0))</f>
        <v>#VALUE!</v>
      </c>
      <c r="DQ54" s="696" t="e">
        <f aca="false">IF(DQ44="","",MAX(DQ$6-DQ39-DQ53,0))</f>
        <v>#VALUE!</v>
      </c>
      <c r="DR54" s="696" t="e">
        <f aca="false">IF(DR44="","",MAX(DR$6-DR39-DR53,0))</f>
        <v>#VALUE!</v>
      </c>
      <c r="DS54" s="696" t="e">
        <f aca="false">IF(DS44="","",MAX(DS$6-DS39-DS53,0))</f>
        <v>#VALUE!</v>
      </c>
      <c r="DT54" s="696" t="e">
        <f aca="false">IF(DT44="","",MAX(DT$6-DT39-DT53,0))</f>
        <v>#VALUE!</v>
      </c>
      <c r="DU54" s="696" t="e">
        <f aca="false">IF(DU44="","",MAX(DU$6-DU39-DU53,0))</f>
        <v>#VALUE!</v>
      </c>
      <c r="DV54" s="698" t="e">
        <f aca="false">IF(DV44="","",MAX(DV$6-DV39-DV53,0))</f>
        <v>#VALUE!</v>
      </c>
    </row>
    <row r="55" s="683" customFormat="true" ht="13.5" hidden="false" customHeight="true" outlineLevel="0" collapsed="false">
      <c r="A55" s="236"/>
      <c r="B55" s="69"/>
      <c r="C55" s="242"/>
      <c r="D55" s="242"/>
      <c r="E55" s="242"/>
      <c r="F55" s="688"/>
      <c r="G55" s="689"/>
      <c r="H55" s="688"/>
      <c r="I55" s="688"/>
      <c r="J55" s="688"/>
      <c r="K55" s="688"/>
      <c r="L55" s="688"/>
      <c r="M55" s="688"/>
      <c r="N55" s="688"/>
      <c r="O55" s="688"/>
      <c r="P55" s="688"/>
      <c r="Q55" s="688"/>
      <c r="R55" s="688"/>
      <c r="S55" s="689"/>
      <c r="T55" s="688"/>
      <c r="U55" s="688"/>
      <c r="V55" s="688"/>
      <c r="W55" s="688"/>
      <c r="X55" s="688"/>
      <c r="Y55" s="688"/>
      <c r="Z55" s="688"/>
      <c r="AA55" s="688"/>
      <c r="AB55" s="688"/>
      <c r="AC55" s="688"/>
      <c r="AD55" s="688"/>
      <c r="AE55" s="689"/>
      <c r="AF55" s="688"/>
      <c r="AG55" s="688"/>
      <c r="AH55" s="688"/>
      <c r="AI55" s="688"/>
      <c r="AJ55" s="688"/>
      <c r="AK55" s="688"/>
      <c r="AL55" s="688"/>
      <c r="AM55" s="688"/>
      <c r="AN55" s="688"/>
      <c r="AO55" s="688"/>
      <c r="AP55" s="688"/>
      <c r="AQ55" s="689"/>
      <c r="AR55" s="688"/>
      <c r="AS55" s="688"/>
      <c r="AT55" s="688"/>
      <c r="AU55" s="688"/>
      <c r="AV55" s="688"/>
      <c r="AW55" s="688"/>
      <c r="AX55" s="688"/>
      <c r="AY55" s="688"/>
      <c r="AZ55" s="688"/>
      <c r="BA55" s="688"/>
      <c r="BB55" s="688"/>
      <c r="BC55" s="689"/>
      <c r="BD55" s="688"/>
      <c r="BE55" s="688"/>
      <c r="BF55" s="688"/>
      <c r="BG55" s="688"/>
      <c r="BH55" s="688"/>
      <c r="BI55" s="688"/>
      <c r="BJ55" s="688"/>
      <c r="BK55" s="688"/>
      <c r="BL55" s="688"/>
      <c r="BM55" s="688"/>
      <c r="BN55" s="688"/>
      <c r="BO55" s="689"/>
      <c r="BP55" s="688"/>
      <c r="BQ55" s="688"/>
      <c r="BR55" s="688"/>
      <c r="BS55" s="688"/>
      <c r="BT55" s="688"/>
      <c r="BU55" s="688"/>
      <c r="BV55" s="688"/>
      <c r="BW55" s="688"/>
      <c r="BX55" s="688"/>
      <c r="BY55" s="688"/>
      <c r="BZ55" s="688"/>
      <c r="CA55" s="689"/>
      <c r="CB55" s="688"/>
      <c r="CC55" s="688"/>
      <c r="CD55" s="688"/>
      <c r="CE55" s="688"/>
      <c r="CF55" s="688"/>
      <c r="CG55" s="688"/>
      <c r="CH55" s="688"/>
      <c r="CI55" s="688"/>
      <c r="CJ55" s="688"/>
      <c r="CK55" s="688"/>
      <c r="CL55" s="688"/>
      <c r="CM55" s="689"/>
      <c r="CN55" s="688"/>
      <c r="CO55" s="688"/>
      <c r="CP55" s="688"/>
      <c r="CQ55" s="688"/>
      <c r="CR55" s="688"/>
      <c r="CS55" s="688"/>
      <c r="CT55" s="688"/>
      <c r="CU55" s="688"/>
      <c r="CV55" s="688"/>
      <c r="CW55" s="688"/>
      <c r="CX55" s="688"/>
      <c r="CY55" s="689"/>
      <c r="CZ55" s="688"/>
      <c r="DA55" s="688"/>
      <c r="DB55" s="688"/>
      <c r="DC55" s="688"/>
      <c r="DD55" s="688"/>
      <c r="DE55" s="688"/>
      <c r="DF55" s="688"/>
      <c r="DG55" s="688"/>
      <c r="DH55" s="688"/>
      <c r="DI55" s="688"/>
      <c r="DJ55" s="688"/>
      <c r="DK55" s="689"/>
      <c r="DL55" s="688"/>
      <c r="DM55" s="688"/>
      <c r="DN55" s="688"/>
      <c r="DO55" s="688"/>
      <c r="DP55" s="688"/>
      <c r="DQ55" s="688"/>
      <c r="DR55" s="688"/>
      <c r="DS55" s="688"/>
      <c r="DT55" s="688"/>
      <c r="DU55" s="688"/>
      <c r="DV55" s="690"/>
    </row>
    <row r="56" s="683" customFormat="true" ht="13.5" hidden="false" customHeight="true" outlineLevel="0" collapsed="false">
      <c r="A56" s="236"/>
      <c r="B56" s="21" t="s">
        <v>99</v>
      </c>
      <c r="C56" s="239"/>
      <c r="D56" s="239"/>
      <c r="E56" s="239"/>
      <c r="F56" s="680"/>
      <c r="G56" s="681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1"/>
      <c r="T56" s="680"/>
      <c r="U56" s="680"/>
      <c r="V56" s="680"/>
      <c r="W56" s="680"/>
      <c r="X56" s="680"/>
      <c r="Y56" s="680"/>
      <c r="Z56" s="680"/>
      <c r="AA56" s="680"/>
      <c r="AB56" s="680"/>
      <c r="AC56" s="680"/>
      <c r="AD56" s="680"/>
      <c r="AE56" s="681"/>
      <c r="AF56" s="680"/>
      <c r="AG56" s="680"/>
      <c r="AH56" s="680"/>
      <c r="AI56" s="680"/>
      <c r="AJ56" s="680"/>
      <c r="AK56" s="680"/>
      <c r="AL56" s="680"/>
      <c r="AM56" s="680"/>
      <c r="AN56" s="680"/>
      <c r="AO56" s="680"/>
      <c r="AP56" s="680"/>
      <c r="AQ56" s="681"/>
      <c r="AR56" s="680"/>
      <c r="AS56" s="680"/>
      <c r="AT56" s="680"/>
      <c r="AU56" s="680"/>
      <c r="AV56" s="680"/>
      <c r="AW56" s="680"/>
      <c r="AX56" s="680"/>
      <c r="AY56" s="680"/>
      <c r="AZ56" s="680"/>
      <c r="BA56" s="680"/>
      <c r="BB56" s="680"/>
      <c r="BC56" s="681"/>
      <c r="BD56" s="680"/>
      <c r="BE56" s="680"/>
      <c r="BF56" s="680"/>
      <c r="BG56" s="680"/>
      <c r="BH56" s="680"/>
      <c r="BI56" s="680"/>
      <c r="BJ56" s="680"/>
      <c r="BK56" s="680"/>
      <c r="BL56" s="680"/>
      <c r="BM56" s="680"/>
      <c r="BN56" s="680"/>
      <c r="BO56" s="681"/>
      <c r="BP56" s="680"/>
      <c r="BQ56" s="680"/>
      <c r="BR56" s="680"/>
      <c r="BS56" s="680"/>
      <c r="BT56" s="680"/>
      <c r="BU56" s="680"/>
      <c r="BV56" s="680"/>
      <c r="BW56" s="680"/>
      <c r="BX56" s="680"/>
      <c r="BY56" s="680"/>
      <c r="BZ56" s="680"/>
      <c r="CA56" s="681"/>
      <c r="CB56" s="680"/>
      <c r="CC56" s="680"/>
      <c r="CD56" s="680"/>
      <c r="CE56" s="680"/>
      <c r="CF56" s="680"/>
      <c r="CG56" s="680"/>
      <c r="CH56" s="680"/>
      <c r="CI56" s="680"/>
      <c r="CJ56" s="680"/>
      <c r="CK56" s="680"/>
      <c r="CL56" s="680"/>
      <c r="CM56" s="681"/>
      <c r="CN56" s="680"/>
      <c r="CO56" s="680"/>
      <c r="CP56" s="680"/>
      <c r="CQ56" s="680"/>
      <c r="CR56" s="680"/>
      <c r="CS56" s="680"/>
      <c r="CT56" s="680"/>
      <c r="CU56" s="680"/>
      <c r="CV56" s="680"/>
      <c r="CW56" s="680"/>
      <c r="CX56" s="680"/>
      <c r="CY56" s="681"/>
      <c r="CZ56" s="680"/>
      <c r="DA56" s="680"/>
      <c r="DB56" s="680"/>
      <c r="DC56" s="680"/>
      <c r="DD56" s="680"/>
      <c r="DE56" s="680"/>
      <c r="DF56" s="680"/>
      <c r="DG56" s="680"/>
      <c r="DH56" s="680"/>
      <c r="DI56" s="680"/>
      <c r="DJ56" s="680"/>
      <c r="DK56" s="681"/>
      <c r="DL56" s="680"/>
      <c r="DM56" s="680"/>
      <c r="DN56" s="680"/>
      <c r="DO56" s="680"/>
      <c r="DP56" s="680"/>
      <c r="DQ56" s="680"/>
      <c r="DR56" s="680"/>
      <c r="DS56" s="680"/>
      <c r="DT56" s="680"/>
      <c r="DU56" s="680"/>
      <c r="DV56" s="682"/>
    </row>
    <row r="57" s="683" customFormat="true" ht="13.5" hidden="false" customHeight="true" outlineLevel="0" collapsed="false">
      <c r="A57" s="236"/>
      <c r="B57" s="95" t="s">
        <v>644</v>
      </c>
      <c r="C57" s="709" t="n">
        <f aca="false">'Executive Summary'!P22</f>
        <v>0.12</v>
      </c>
      <c r="D57" s="268"/>
      <c r="E57" s="268"/>
      <c r="F57" s="696"/>
      <c r="G57" s="697"/>
      <c r="H57" s="696"/>
      <c r="I57" s="696"/>
      <c r="J57" s="696"/>
      <c r="K57" s="696"/>
      <c r="L57" s="696"/>
      <c r="M57" s="696"/>
      <c r="N57" s="696"/>
      <c r="O57" s="696"/>
      <c r="P57" s="696"/>
      <c r="Q57" s="696"/>
      <c r="R57" s="696"/>
      <c r="S57" s="697"/>
      <c r="T57" s="696"/>
      <c r="U57" s="696"/>
      <c r="V57" s="696"/>
      <c r="W57" s="696"/>
      <c r="X57" s="696"/>
      <c r="Y57" s="696"/>
      <c r="Z57" s="696"/>
      <c r="AA57" s="696"/>
      <c r="AB57" s="696"/>
      <c r="AC57" s="696"/>
      <c r="AD57" s="696"/>
      <c r="AE57" s="697"/>
      <c r="AF57" s="696"/>
      <c r="AG57" s="696"/>
      <c r="AH57" s="696"/>
      <c r="AI57" s="696"/>
      <c r="AJ57" s="696"/>
      <c r="AK57" s="696"/>
      <c r="AL57" s="696"/>
      <c r="AM57" s="696"/>
      <c r="AN57" s="696"/>
      <c r="AO57" s="696"/>
      <c r="AP57" s="696"/>
      <c r="AQ57" s="697"/>
      <c r="AR57" s="696"/>
      <c r="AS57" s="696"/>
      <c r="AT57" s="696"/>
      <c r="AU57" s="696"/>
      <c r="AV57" s="696"/>
      <c r="AW57" s="696"/>
      <c r="AX57" s="696"/>
      <c r="AY57" s="696"/>
      <c r="AZ57" s="696"/>
      <c r="BA57" s="696"/>
      <c r="BB57" s="696"/>
      <c r="BC57" s="697"/>
      <c r="BD57" s="696"/>
      <c r="BE57" s="696"/>
      <c r="BF57" s="696"/>
      <c r="BG57" s="696"/>
      <c r="BH57" s="696"/>
      <c r="BI57" s="696"/>
      <c r="BJ57" s="696"/>
      <c r="BK57" s="696"/>
      <c r="BL57" s="696"/>
      <c r="BM57" s="696"/>
      <c r="BN57" s="696"/>
      <c r="BO57" s="697"/>
      <c r="BP57" s="696"/>
      <c r="BQ57" s="696"/>
      <c r="BR57" s="696"/>
      <c r="BS57" s="696"/>
      <c r="BT57" s="696"/>
      <c r="BU57" s="696"/>
      <c r="BV57" s="696"/>
      <c r="BW57" s="696"/>
      <c r="BX57" s="696"/>
      <c r="BY57" s="696"/>
      <c r="BZ57" s="696"/>
      <c r="CA57" s="697"/>
      <c r="CB57" s="696"/>
      <c r="CC57" s="696"/>
      <c r="CD57" s="696"/>
      <c r="CE57" s="696"/>
      <c r="CF57" s="696"/>
      <c r="CG57" s="696"/>
      <c r="CH57" s="696"/>
      <c r="CI57" s="696"/>
      <c r="CJ57" s="696"/>
      <c r="CK57" s="696"/>
      <c r="CL57" s="696"/>
      <c r="CM57" s="697"/>
      <c r="CN57" s="696"/>
      <c r="CO57" s="696"/>
      <c r="CP57" s="696"/>
      <c r="CQ57" s="696"/>
      <c r="CR57" s="696"/>
      <c r="CS57" s="696"/>
      <c r="CT57" s="696"/>
      <c r="CU57" s="696"/>
      <c r="CV57" s="696"/>
      <c r="CW57" s="696"/>
      <c r="CX57" s="696"/>
      <c r="CY57" s="697"/>
      <c r="CZ57" s="696"/>
      <c r="DA57" s="696"/>
      <c r="DB57" s="696"/>
      <c r="DC57" s="696"/>
      <c r="DD57" s="696"/>
      <c r="DE57" s="696"/>
      <c r="DF57" s="696"/>
      <c r="DG57" s="696"/>
      <c r="DH57" s="696"/>
      <c r="DI57" s="696"/>
      <c r="DJ57" s="696"/>
      <c r="DK57" s="697"/>
      <c r="DL57" s="696"/>
      <c r="DM57" s="696"/>
      <c r="DN57" s="696"/>
      <c r="DO57" s="696"/>
      <c r="DP57" s="696"/>
      <c r="DQ57" s="696"/>
      <c r="DR57" s="696"/>
      <c r="DS57" s="696"/>
      <c r="DT57" s="696"/>
      <c r="DU57" s="696"/>
      <c r="DV57" s="698"/>
    </row>
    <row r="58" s="683" customFormat="true" ht="13.5" hidden="false" customHeight="true" outlineLevel="0" collapsed="false">
      <c r="A58" s="236"/>
      <c r="B58" s="69" t="s">
        <v>645</v>
      </c>
      <c r="C58" s="242"/>
      <c r="D58" s="242"/>
      <c r="E58" s="242"/>
      <c r="F58" s="688" t="str">
        <f aca="false">IF(F38="","",E63)</f>
        <v/>
      </c>
      <c r="G58" s="689" t="e">
        <f aca="false">IF(G38="","",F63)</f>
        <v>#VALUE!</v>
      </c>
      <c r="H58" s="688" t="e">
        <f aca="false">IF(H38="","",G63)</f>
        <v>#VALUE!</v>
      </c>
      <c r="I58" s="688" t="e">
        <f aca="false">IF(I38="","",H63)</f>
        <v>#VALUE!</v>
      </c>
      <c r="J58" s="688" t="e">
        <f aca="false">IF(J38="","",I63)</f>
        <v>#VALUE!</v>
      </c>
      <c r="K58" s="688" t="e">
        <f aca="false">IF(K38="","",J63)</f>
        <v>#VALUE!</v>
      </c>
      <c r="L58" s="688" t="e">
        <f aca="false">IF(L38="","",K63)</f>
        <v>#VALUE!</v>
      </c>
      <c r="M58" s="688" t="e">
        <f aca="false">IF(M38="","",L63)</f>
        <v>#VALUE!</v>
      </c>
      <c r="N58" s="688" t="e">
        <f aca="false">IF(N38="","",M63)</f>
        <v>#VALUE!</v>
      </c>
      <c r="O58" s="688" t="e">
        <f aca="false">IF(O38="","",N63)</f>
        <v>#VALUE!</v>
      </c>
      <c r="P58" s="688" t="e">
        <f aca="false">IF(P38="","",O63)</f>
        <v>#VALUE!</v>
      </c>
      <c r="Q58" s="688" t="e">
        <f aca="false">IF(Q38="","",P63)</f>
        <v>#VALUE!</v>
      </c>
      <c r="R58" s="688" t="e">
        <f aca="false">IF(R38="","",Q63)</f>
        <v>#VALUE!</v>
      </c>
      <c r="S58" s="689" t="e">
        <f aca="false">IF(S38="","",R63)</f>
        <v>#VALUE!</v>
      </c>
      <c r="T58" s="688" t="e">
        <f aca="false">IF(T38="","",S63)</f>
        <v>#VALUE!</v>
      </c>
      <c r="U58" s="688" t="e">
        <f aca="false">IF(U38="","",T63)</f>
        <v>#VALUE!</v>
      </c>
      <c r="V58" s="688" t="e">
        <f aca="false">IF(V38="","",U63)</f>
        <v>#VALUE!</v>
      </c>
      <c r="W58" s="688" t="e">
        <f aca="false">IF(W38="","",V63)</f>
        <v>#VALUE!</v>
      </c>
      <c r="X58" s="688" t="e">
        <f aca="false">IF(X38="","",W63)</f>
        <v>#VALUE!</v>
      </c>
      <c r="Y58" s="688" t="e">
        <f aca="false">IF(Y38="","",X63)</f>
        <v>#VALUE!</v>
      </c>
      <c r="Z58" s="688" t="e">
        <f aca="false">IF(Z38="","",Y63)</f>
        <v>#VALUE!</v>
      </c>
      <c r="AA58" s="688" t="e">
        <f aca="false">IF(AA38="","",Z63)</f>
        <v>#VALUE!</v>
      </c>
      <c r="AB58" s="688" t="e">
        <f aca="false">IF(AB38="","",AA63)</f>
        <v>#VALUE!</v>
      </c>
      <c r="AC58" s="688" t="e">
        <f aca="false">IF(AC38="","",AB63)</f>
        <v>#VALUE!</v>
      </c>
      <c r="AD58" s="688" t="e">
        <f aca="false">IF(AD38="","",AC63)</f>
        <v>#VALUE!</v>
      </c>
      <c r="AE58" s="689" t="e">
        <f aca="false">IF(AE38="","",AD63)</f>
        <v>#VALUE!</v>
      </c>
      <c r="AF58" s="688" t="e">
        <f aca="false">IF(AF38="","",AE63)</f>
        <v>#VALUE!</v>
      </c>
      <c r="AG58" s="688" t="e">
        <f aca="false">IF(AG38="","",AF63)</f>
        <v>#VALUE!</v>
      </c>
      <c r="AH58" s="688" t="e">
        <f aca="false">IF(AH38="","",AG63)</f>
        <v>#VALUE!</v>
      </c>
      <c r="AI58" s="688" t="e">
        <f aca="false">IF(AI38="","",AH63)</f>
        <v>#VALUE!</v>
      </c>
      <c r="AJ58" s="688" t="e">
        <f aca="false">IF(AJ38="","",AI63)</f>
        <v>#VALUE!</v>
      </c>
      <c r="AK58" s="688" t="e">
        <f aca="false">IF(AK38="","",AJ63)</f>
        <v>#VALUE!</v>
      </c>
      <c r="AL58" s="688" t="e">
        <f aca="false">IF(AL38="","",AK63)</f>
        <v>#VALUE!</v>
      </c>
      <c r="AM58" s="688" t="e">
        <f aca="false">IF(AM38="","",AL63)</f>
        <v>#VALUE!</v>
      </c>
      <c r="AN58" s="688" t="e">
        <f aca="false">IF(AN38="","",AM63)</f>
        <v>#VALUE!</v>
      </c>
      <c r="AO58" s="688" t="e">
        <f aca="false">IF(AO38="","",AN63)</f>
        <v>#VALUE!</v>
      </c>
      <c r="AP58" s="688" t="e">
        <f aca="false">IF(AP38="","",AO63)</f>
        <v>#VALUE!</v>
      </c>
      <c r="AQ58" s="689" t="e">
        <f aca="false">IF(AQ38="","",AP63)</f>
        <v>#VALUE!</v>
      </c>
      <c r="AR58" s="688" t="e">
        <f aca="false">IF(AR38="","",AQ63)</f>
        <v>#VALUE!</v>
      </c>
      <c r="AS58" s="688" t="e">
        <f aca="false">IF(AS38="","",AR63)</f>
        <v>#VALUE!</v>
      </c>
      <c r="AT58" s="688" t="e">
        <f aca="false">IF(AT38="","",AS63)</f>
        <v>#VALUE!</v>
      </c>
      <c r="AU58" s="688" t="e">
        <f aca="false">IF(AU38="","",AT63)</f>
        <v>#VALUE!</v>
      </c>
      <c r="AV58" s="688" t="e">
        <f aca="false">IF(AV38="","",AU63)</f>
        <v>#VALUE!</v>
      </c>
      <c r="AW58" s="688" t="e">
        <f aca="false">IF(AW38="","",AV63)</f>
        <v>#VALUE!</v>
      </c>
      <c r="AX58" s="688" t="e">
        <f aca="false">IF(AX38="","",AW63)</f>
        <v>#VALUE!</v>
      </c>
      <c r="AY58" s="688" t="e">
        <f aca="false">IF(AY38="","",AX63)</f>
        <v>#VALUE!</v>
      </c>
      <c r="AZ58" s="688" t="e">
        <f aca="false">IF(AZ38="","",AY63)</f>
        <v>#VALUE!</v>
      </c>
      <c r="BA58" s="688" t="e">
        <f aca="false">IF(BA38="","",AZ63)</f>
        <v>#VALUE!</v>
      </c>
      <c r="BB58" s="688" t="e">
        <f aca="false">IF(BB38="","",BA63)</f>
        <v>#VALUE!</v>
      </c>
      <c r="BC58" s="689" t="e">
        <f aca="false">IF(BC38="","",BB63)</f>
        <v>#VALUE!</v>
      </c>
      <c r="BD58" s="688" t="e">
        <f aca="false">IF(BD38="","",BC63)</f>
        <v>#VALUE!</v>
      </c>
      <c r="BE58" s="688" t="e">
        <f aca="false">IF(BE38="","",BD63)</f>
        <v>#VALUE!</v>
      </c>
      <c r="BF58" s="688" t="e">
        <f aca="false">IF(BF38="","",BE63)</f>
        <v>#VALUE!</v>
      </c>
      <c r="BG58" s="688" t="e">
        <f aca="false">IF(BG38="","",BF63)</f>
        <v>#VALUE!</v>
      </c>
      <c r="BH58" s="688" t="e">
        <f aca="false">IF(BH38="","",BG63)</f>
        <v>#VALUE!</v>
      </c>
      <c r="BI58" s="688" t="e">
        <f aca="false">IF(BI38="","",BH63)</f>
        <v>#VALUE!</v>
      </c>
      <c r="BJ58" s="688" t="e">
        <f aca="false">IF(BJ38="","",BI63)</f>
        <v>#VALUE!</v>
      </c>
      <c r="BK58" s="688" t="e">
        <f aca="false">IF(BK38="","",BJ63)</f>
        <v>#VALUE!</v>
      </c>
      <c r="BL58" s="688" t="e">
        <f aca="false">IF(BL38="","",BK63)</f>
        <v>#VALUE!</v>
      </c>
      <c r="BM58" s="688" t="e">
        <f aca="false">IF(BM38="","",BL63)</f>
        <v>#VALUE!</v>
      </c>
      <c r="BN58" s="688" t="e">
        <f aca="false">IF(BN38="","",BM63)</f>
        <v>#VALUE!</v>
      </c>
      <c r="BO58" s="689" t="e">
        <f aca="false">IF(BO38="","",BN63)</f>
        <v>#VALUE!</v>
      </c>
      <c r="BP58" s="688" t="e">
        <f aca="false">IF(BP38="","",BO63)</f>
        <v>#VALUE!</v>
      </c>
      <c r="BQ58" s="688" t="e">
        <f aca="false">IF(BQ38="","",BP63)</f>
        <v>#VALUE!</v>
      </c>
      <c r="BR58" s="688" t="e">
        <f aca="false">IF(BR38="","",BQ63)</f>
        <v>#VALUE!</v>
      </c>
      <c r="BS58" s="688" t="e">
        <f aca="false">IF(BS38="","",BR63)</f>
        <v>#VALUE!</v>
      </c>
      <c r="BT58" s="688" t="e">
        <f aca="false">IF(BT38="","",BS63)</f>
        <v>#VALUE!</v>
      </c>
      <c r="BU58" s="688" t="e">
        <f aca="false">IF(BU38="","",BT63)</f>
        <v>#VALUE!</v>
      </c>
      <c r="BV58" s="688" t="e">
        <f aca="false">IF(BV38="","",BU63)</f>
        <v>#VALUE!</v>
      </c>
      <c r="BW58" s="688" t="e">
        <f aca="false">IF(BW38="","",BV63)</f>
        <v>#VALUE!</v>
      </c>
      <c r="BX58" s="688" t="e">
        <f aca="false">IF(BX38="","",BW63)</f>
        <v>#VALUE!</v>
      </c>
      <c r="BY58" s="688" t="e">
        <f aca="false">IF(BY38="","",BX63)</f>
        <v>#VALUE!</v>
      </c>
      <c r="BZ58" s="688" t="e">
        <f aca="false">IF(BZ38="","",BY63)</f>
        <v>#VALUE!</v>
      </c>
      <c r="CA58" s="689" t="e">
        <f aca="false">IF(CA38="","",BZ63)</f>
        <v>#VALUE!</v>
      </c>
      <c r="CB58" s="688" t="e">
        <f aca="false">IF(CB38="","",CA63)</f>
        <v>#VALUE!</v>
      </c>
      <c r="CC58" s="688" t="e">
        <f aca="false">IF(CC38="","",CB63)</f>
        <v>#VALUE!</v>
      </c>
      <c r="CD58" s="688" t="e">
        <f aca="false">IF(CD38="","",CC63)</f>
        <v>#VALUE!</v>
      </c>
      <c r="CE58" s="688" t="e">
        <f aca="false">IF(CE38="","",CD63)</f>
        <v>#VALUE!</v>
      </c>
      <c r="CF58" s="688" t="e">
        <f aca="false">IF(CF38="","",CE63)</f>
        <v>#VALUE!</v>
      </c>
      <c r="CG58" s="688" t="e">
        <f aca="false">IF(CG38="","",CF63)</f>
        <v>#VALUE!</v>
      </c>
      <c r="CH58" s="688" t="e">
        <f aca="false">IF(CH38="","",CG63)</f>
        <v>#VALUE!</v>
      </c>
      <c r="CI58" s="688" t="e">
        <f aca="false">IF(CI38="","",CH63)</f>
        <v>#VALUE!</v>
      </c>
      <c r="CJ58" s="688" t="e">
        <f aca="false">IF(CJ38="","",CI63)</f>
        <v>#VALUE!</v>
      </c>
      <c r="CK58" s="688" t="e">
        <f aca="false">IF(CK38="","",CJ63)</f>
        <v>#VALUE!</v>
      </c>
      <c r="CL58" s="688" t="e">
        <f aca="false">IF(CL38="","",CK63)</f>
        <v>#VALUE!</v>
      </c>
      <c r="CM58" s="689" t="e">
        <f aca="false">IF(CM38="","",CL63)</f>
        <v>#VALUE!</v>
      </c>
      <c r="CN58" s="688" t="e">
        <f aca="false">IF(CN38="","",CM63)</f>
        <v>#VALUE!</v>
      </c>
      <c r="CO58" s="688" t="e">
        <f aca="false">IF(CO38="","",CN63)</f>
        <v>#VALUE!</v>
      </c>
      <c r="CP58" s="688" t="e">
        <f aca="false">IF(CP38="","",CO63)</f>
        <v>#VALUE!</v>
      </c>
      <c r="CQ58" s="688" t="e">
        <f aca="false">IF(CQ38="","",CP63)</f>
        <v>#VALUE!</v>
      </c>
      <c r="CR58" s="688" t="e">
        <f aca="false">IF(CR38="","",CQ63)</f>
        <v>#VALUE!</v>
      </c>
      <c r="CS58" s="688" t="e">
        <f aca="false">IF(CS38="","",CR63)</f>
        <v>#VALUE!</v>
      </c>
      <c r="CT58" s="688" t="e">
        <f aca="false">IF(CT38="","",CS63)</f>
        <v>#VALUE!</v>
      </c>
      <c r="CU58" s="688" t="e">
        <f aca="false">IF(CU38="","",CT63)</f>
        <v>#VALUE!</v>
      </c>
      <c r="CV58" s="688" t="e">
        <f aca="false">IF(CV38="","",CU63)</f>
        <v>#VALUE!</v>
      </c>
      <c r="CW58" s="688" t="e">
        <f aca="false">IF(CW38="","",CV63)</f>
        <v>#VALUE!</v>
      </c>
      <c r="CX58" s="688" t="e">
        <f aca="false">IF(CX38="","",CW63)</f>
        <v>#VALUE!</v>
      </c>
      <c r="CY58" s="689" t="e">
        <f aca="false">IF(CY38="","",CX63)</f>
        <v>#VALUE!</v>
      </c>
      <c r="CZ58" s="688" t="e">
        <f aca="false">IF(CZ38="","",CY63)</f>
        <v>#VALUE!</v>
      </c>
      <c r="DA58" s="688" t="e">
        <f aca="false">IF(DA38="","",CZ63)</f>
        <v>#VALUE!</v>
      </c>
      <c r="DB58" s="688" t="e">
        <f aca="false">IF(DB38="","",DA63)</f>
        <v>#VALUE!</v>
      </c>
      <c r="DC58" s="688" t="e">
        <f aca="false">IF(DC38="","",DB63)</f>
        <v>#VALUE!</v>
      </c>
      <c r="DD58" s="688" t="e">
        <f aca="false">IF(DD38="","",DC63)</f>
        <v>#VALUE!</v>
      </c>
      <c r="DE58" s="688" t="e">
        <f aca="false">IF(DE38="","",DD63)</f>
        <v>#VALUE!</v>
      </c>
      <c r="DF58" s="688" t="e">
        <f aca="false">IF(DF38="","",DE63)</f>
        <v>#VALUE!</v>
      </c>
      <c r="DG58" s="688" t="e">
        <f aca="false">IF(DG38="","",DF63)</f>
        <v>#VALUE!</v>
      </c>
      <c r="DH58" s="688" t="e">
        <f aca="false">IF(DH38="","",DG63)</f>
        <v>#VALUE!</v>
      </c>
      <c r="DI58" s="688" t="e">
        <f aca="false">IF(DI38="","",DH63)</f>
        <v>#VALUE!</v>
      </c>
      <c r="DJ58" s="688" t="e">
        <f aca="false">IF(DJ38="","",DI63)</f>
        <v>#VALUE!</v>
      </c>
      <c r="DK58" s="689" t="e">
        <f aca="false">IF(DK38="","",DJ63)</f>
        <v>#VALUE!</v>
      </c>
      <c r="DL58" s="688" t="e">
        <f aca="false">IF(DL38="","",DK63)</f>
        <v>#VALUE!</v>
      </c>
      <c r="DM58" s="688" t="e">
        <f aca="false">IF(DM38="","",DL63)</f>
        <v>#VALUE!</v>
      </c>
      <c r="DN58" s="688" t="e">
        <f aca="false">IF(DN38="","",DM63)</f>
        <v>#VALUE!</v>
      </c>
      <c r="DO58" s="688" t="e">
        <f aca="false">IF(DO38="","",DN63)</f>
        <v>#VALUE!</v>
      </c>
      <c r="DP58" s="688" t="e">
        <f aca="false">IF(DP38="","",DO63)</f>
        <v>#VALUE!</v>
      </c>
      <c r="DQ58" s="688" t="e">
        <f aca="false">IF(DQ38="","",DP63)</f>
        <v>#VALUE!</v>
      </c>
      <c r="DR58" s="688" t="e">
        <f aca="false">IF(DR38="","",DQ63)</f>
        <v>#VALUE!</v>
      </c>
      <c r="DS58" s="688" t="e">
        <f aca="false">IF(DS38="","",DR63)</f>
        <v>#VALUE!</v>
      </c>
      <c r="DT58" s="688" t="e">
        <f aca="false">IF(DT38="","",DS63)</f>
        <v>#VALUE!</v>
      </c>
      <c r="DU58" s="688" t="e">
        <f aca="false">IF(DU38="","",DT63)</f>
        <v>#VALUE!</v>
      </c>
      <c r="DV58" s="690" t="e">
        <f aca="false">IF(DV38="","",DU63)</f>
        <v>#VALUE!</v>
      </c>
    </row>
    <row r="59" s="683" customFormat="true" ht="13.5" hidden="false" customHeight="true" outlineLevel="0" collapsed="false">
      <c r="A59" s="236"/>
      <c r="B59" s="69" t="s">
        <v>646</v>
      </c>
      <c r="C59" s="242"/>
      <c r="D59" s="242"/>
      <c r="E59" s="242"/>
      <c r="F59" s="688" t="str">
        <f aca="false">IF(F58="","",F58*$C57)</f>
        <v/>
      </c>
      <c r="G59" s="689" t="e">
        <f aca="false">IF(G58="","",G58*((1+$C57)^(1/12)-1))</f>
        <v>#VALUE!</v>
      </c>
      <c r="H59" s="688" t="e">
        <f aca="false">IF(H58="","",H58*((1+$C57)^(1/12)-1))</f>
        <v>#VALUE!</v>
      </c>
      <c r="I59" s="688" t="e">
        <f aca="false">IF(I58="","",I58*((1+$C57)^(1/12)-1))</f>
        <v>#VALUE!</v>
      </c>
      <c r="J59" s="688" t="e">
        <f aca="false">IF(J58="","",J58*((1+$C57)^(1/12)-1))</f>
        <v>#VALUE!</v>
      </c>
      <c r="K59" s="688" t="e">
        <f aca="false">IF(K58="","",K58*((1+$C57)^(1/12)-1))</f>
        <v>#VALUE!</v>
      </c>
      <c r="L59" s="688" t="e">
        <f aca="false">IF(L58="","",L58*((1+$C57)^(1/12)-1))</f>
        <v>#VALUE!</v>
      </c>
      <c r="M59" s="688" t="e">
        <f aca="false">IF(M58="","",M58*((1+$C57)^(1/12)-1))</f>
        <v>#VALUE!</v>
      </c>
      <c r="N59" s="688" t="e">
        <f aca="false">IF(N58="","",N58*((1+$C57)^(1/12)-1))</f>
        <v>#VALUE!</v>
      </c>
      <c r="O59" s="688" t="e">
        <f aca="false">IF(O58="","",O58*((1+$C57)^(1/12)-1))</f>
        <v>#VALUE!</v>
      </c>
      <c r="P59" s="688" t="e">
        <f aca="false">IF(P58="","",P58*((1+$C57)^(1/12)-1))</f>
        <v>#VALUE!</v>
      </c>
      <c r="Q59" s="688" t="e">
        <f aca="false">IF(Q58="","",Q58*((1+$C57)^(1/12)-1))</f>
        <v>#VALUE!</v>
      </c>
      <c r="R59" s="688" t="e">
        <f aca="false">IF(R58="","",R58*((1+$C57)^(1/12)-1))</f>
        <v>#VALUE!</v>
      </c>
      <c r="S59" s="689" t="e">
        <f aca="false">IF(S58="","",S58*((1+$C57)^(1/12)-1))</f>
        <v>#VALUE!</v>
      </c>
      <c r="T59" s="688" t="e">
        <f aca="false">IF(T58="","",T58*((1+$C57)^(1/12)-1))</f>
        <v>#VALUE!</v>
      </c>
      <c r="U59" s="688" t="e">
        <f aca="false">IF(U58="","",U58*((1+$C57)^(1/12)-1))</f>
        <v>#VALUE!</v>
      </c>
      <c r="V59" s="688" t="e">
        <f aca="false">IF(V58="","",V58*((1+$C57)^(1/12)-1))</f>
        <v>#VALUE!</v>
      </c>
      <c r="W59" s="688" t="e">
        <f aca="false">IF(W58="","",W58*((1+$C57)^(1/12)-1))</f>
        <v>#VALUE!</v>
      </c>
      <c r="X59" s="688" t="e">
        <f aca="false">IF(X58="","",X58*((1+$C57)^(1/12)-1))</f>
        <v>#VALUE!</v>
      </c>
      <c r="Y59" s="688" t="e">
        <f aca="false">IF(Y58="","",Y58*((1+$C57)^(1/12)-1))</f>
        <v>#VALUE!</v>
      </c>
      <c r="Z59" s="688" t="e">
        <f aca="false">IF(Z58="","",Z58*((1+$C57)^(1/12)-1))</f>
        <v>#VALUE!</v>
      </c>
      <c r="AA59" s="688" t="e">
        <f aca="false">IF(AA58="","",AA58*((1+$C57)^(1/12)-1))</f>
        <v>#VALUE!</v>
      </c>
      <c r="AB59" s="688" t="e">
        <f aca="false">IF(AB58="","",AB58*((1+$C57)^(1/12)-1))</f>
        <v>#VALUE!</v>
      </c>
      <c r="AC59" s="688" t="e">
        <f aca="false">IF(AC58="","",AC58*((1+$C57)^(1/12)-1))</f>
        <v>#VALUE!</v>
      </c>
      <c r="AD59" s="688" t="e">
        <f aca="false">IF(AD58="","",AD58*((1+$C57)^(1/12)-1))</f>
        <v>#VALUE!</v>
      </c>
      <c r="AE59" s="689" t="e">
        <f aca="false">IF(AE58="","",AE58*((1+$C57)^(1/12)-1))</f>
        <v>#VALUE!</v>
      </c>
      <c r="AF59" s="688" t="e">
        <f aca="false">IF(AF58="","",AF58*((1+$C57)^(1/12)-1))</f>
        <v>#VALUE!</v>
      </c>
      <c r="AG59" s="688" t="e">
        <f aca="false">IF(AG58="","",AG58*((1+$C57)^(1/12)-1))</f>
        <v>#VALUE!</v>
      </c>
      <c r="AH59" s="688" t="e">
        <f aca="false">IF(AH58="","",AH58*((1+$C57)^(1/12)-1))</f>
        <v>#VALUE!</v>
      </c>
      <c r="AI59" s="688" t="e">
        <f aca="false">IF(AI58="","",AI58*((1+$C57)^(1/12)-1))</f>
        <v>#VALUE!</v>
      </c>
      <c r="AJ59" s="688" t="e">
        <f aca="false">IF(AJ58="","",AJ58*((1+$C57)^(1/12)-1))</f>
        <v>#VALUE!</v>
      </c>
      <c r="AK59" s="688" t="e">
        <f aca="false">IF(AK58="","",AK58*((1+$C57)^(1/12)-1))</f>
        <v>#VALUE!</v>
      </c>
      <c r="AL59" s="688" t="e">
        <f aca="false">IF(AL58="","",AL58*((1+$C57)^(1/12)-1))</f>
        <v>#VALUE!</v>
      </c>
      <c r="AM59" s="688" t="e">
        <f aca="false">IF(AM58="","",AM58*((1+$C57)^(1/12)-1))</f>
        <v>#VALUE!</v>
      </c>
      <c r="AN59" s="688" t="e">
        <f aca="false">IF(AN58="","",AN58*((1+$C57)^(1/12)-1))</f>
        <v>#VALUE!</v>
      </c>
      <c r="AO59" s="688" t="e">
        <f aca="false">IF(AO58="","",AO58*((1+$C57)^(1/12)-1))</f>
        <v>#VALUE!</v>
      </c>
      <c r="AP59" s="688" t="e">
        <f aca="false">IF(AP58="","",AP58*((1+$C57)^(1/12)-1))</f>
        <v>#VALUE!</v>
      </c>
      <c r="AQ59" s="689" t="e">
        <f aca="false">IF(AQ58="","",AQ58*((1+$C57)^(1/12)-1))</f>
        <v>#VALUE!</v>
      </c>
      <c r="AR59" s="688" t="e">
        <f aca="false">IF(AR58="","",AR58*((1+$C57)^(1/12)-1))</f>
        <v>#VALUE!</v>
      </c>
      <c r="AS59" s="688" t="e">
        <f aca="false">IF(AS58="","",AS58*((1+$C57)^(1/12)-1))</f>
        <v>#VALUE!</v>
      </c>
      <c r="AT59" s="688" t="e">
        <f aca="false">IF(AT58="","",AT58*((1+$C57)^(1/12)-1))</f>
        <v>#VALUE!</v>
      </c>
      <c r="AU59" s="688" t="e">
        <f aca="false">IF(AU58="","",AU58*((1+$C57)^(1/12)-1))</f>
        <v>#VALUE!</v>
      </c>
      <c r="AV59" s="688" t="e">
        <f aca="false">IF(AV58="","",AV58*((1+$C57)^(1/12)-1))</f>
        <v>#VALUE!</v>
      </c>
      <c r="AW59" s="688" t="e">
        <f aca="false">IF(AW58="","",AW58*((1+$C57)^(1/12)-1))</f>
        <v>#VALUE!</v>
      </c>
      <c r="AX59" s="688" t="e">
        <f aca="false">IF(AX58="","",AX58*((1+$C57)^(1/12)-1))</f>
        <v>#VALUE!</v>
      </c>
      <c r="AY59" s="688" t="e">
        <f aca="false">IF(AY58="","",AY58*((1+$C57)^(1/12)-1))</f>
        <v>#VALUE!</v>
      </c>
      <c r="AZ59" s="688" t="e">
        <f aca="false">IF(AZ58="","",AZ58*((1+$C57)^(1/12)-1))</f>
        <v>#VALUE!</v>
      </c>
      <c r="BA59" s="688" t="e">
        <f aca="false">IF(BA58="","",BA58*((1+$C57)^(1/12)-1))</f>
        <v>#VALUE!</v>
      </c>
      <c r="BB59" s="688" t="e">
        <f aca="false">IF(BB58="","",BB58*((1+$C57)^(1/12)-1))</f>
        <v>#VALUE!</v>
      </c>
      <c r="BC59" s="689" t="e">
        <f aca="false">IF(BC58="","",BC58*((1+$C57)^(1/12)-1))</f>
        <v>#VALUE!</v>
      </c>
      <c r="BD59" s="688" t="e">
        <f aca="false">IF(BD58="","",BD58*((1+$C57)^(1/12)-1))</f>
        <v>#VALUE!</v>
      </c>
      <c r="BE59" s="688" t="e">
        <f aca="false">IF(BE58="","",BE58*((1+$C57)^(1/12)-1))</f>
        <v>#VALUE!</v>
      </c>
      <c r="BF59" s="688" t="e">
        <f aca="false">IF(BF58="","",BF58*((1+$C57)^(1/12)-1))</f>
        <v>#VALUE!</v>
      </c>
      <c r="BG59" s="688" t="e">
        <f aca="false">IF(BG58="","",BG58*((1+$C57)^(1/12)-1))</f>
        <v>#VALUE!</v>
      </c>
      <c r="BH59" s="688" t="e">
        <f aca="false">IF(BH58="","",BH58*((1+$C57)^(1/12)-1))</f>
        <v>#VALUE!</v>
      </c>
      <c r="BI59" s="688" t="e">
        <f aca="false">IF(BI58="","",BI58*((1+$C57)^(1/12)-1))</f>
        <v>#VALUE!</v>
      </c>
      <c r="BJ59" s="688" t="e">
        <f aca="false">IF(BJ58="","",BJ58*((1+$C57)^(1/12)-1))</f>
        <v>#VALUE!</v>
      </c>
      <c r="BK59" s="688" t="e">
        <f aca="false">IF(BK58="","",BK58*((1+$C57)^(1/12)-1))</f>
        <v>#VALUE!</v>
      </c>
      <c r="BL59" s="688" t="e">
        <f aca="false">IF(BL58="","",BL58*((1+$C57)^(1/12)-1))</f>
        <v>#VALUE!</v>
      </c>
      <c r="BM59" s="688" t="e">
        <f aca="false">IF(BM58="","",BM58*((1+$C57)^(1/12)-1))</f>
        <v>#VALUE!</v>
      </c>
      <c r="BN59" s="688" t="e">
        <f aca="false">IF(BN58="","",BN58*((1+$C57)^(1/12)-1))</f>
        <v>#VALUE!</v>
      </c>
      <c r="BO59" s="689" t="e">
        <f aca="false">IF(BO58="","",BO58*((1+$C57)^(1/12)-1))</f>
        <v>#VALUE!</v>
      </c>
      <c r="BP59" s="688" t="e">
        <f aca="false">IF(BP58="","",BP58*((1+$C57)^(1/12)-1))</f>
        <v>#VALUE!</v>
      </c>
      <c r="BQ59" s="688" t="e">
        <f aca="false">IF(BQ58="","",BQ58*((1+$C57)^(1/12)-1))</f>
        <v>#VALUE!</v>
      </c>
      <c r="BR59" s="688" t="e">
        <f aca="false">IF(BR58="","",BR58*((1+$C57)^(1/12)-1))</f>
        <v>#VALUE!</v>
      </c>
      <c r="BS59" s="688" t="e">
        <f aca="false">IF(BS58="","",BS58*((1+$C57)^(1/12)-1))</f>
        <v>#VALUE!</v>
      </c>
      <c r="BT59" s="688" t="e">
        <f aca="false">IF(BT58="","",BT58*((1+$C57)^(1/12)-1))</f>
        <v>#VALUE!</v>
      </c>
      <c r="BU59" s="688" t="e">
        <f aca="false">IF(BU58="","",BU58*((1+$C57)^(1/12)-1))</f>
        <v>#VALUE!</v>
      </c>
      <c r="BV59" s="688" t="e">
        <f aca="false">IF(BV58="","",BV58*((1+$C57)^(1/12)-1))</f>
        <v>#VALUE!</v>
      </c>
      <c r="BW59" s="688" t="e">
        <f aca="false">IF(BW58="","",BW58*((1+$C57)^(1/12)-1))</f>
        <v>#VALUE!</v>
      </c>
      <c r="BX59" s="688" t="e">
        <f aca="false">IF(BX58="","",BX58*((1+$C57)^(1/12)-1))</f>
        <v>#VALUE!</v>
      </c>
      <c r="BY59" s="688" t="e">
        <f aca="false">IF(BY58="","",BY58*((1+$C57)^(1/12)-1))</f>
        <v>#VALUE!</v>
      </c>
      <c r="BZ59" s="688" t="e">
        <f aca="false">IF(BZ58="","",BZ58*((1+$C57)^(1/12)-1))</f>
        <v>#VALUE!</v>
      </c>
      <c r="CA59" s="689" t="e">
        <f aca="false">IF(CA58="","",CA58*((1+$C57)^(1/12)-1))</f>
        <v>#VALUE!</v>
      </c>
      <c r="CB59" s="688" t="e">
        <f aca="false">IF(CB58="","",CB58*((1+$C57)^(1/12)-1))</f>
        <v>#VALUE!</v>
      </c>
      <c r="CC59" s="688" t="e">
        <f aca="false">IF(CC58="","",CC58*((1+$C57)^(1/12)-1))</f>
        <v>#VALUE!</v>
      </c>
      <c r="CD59" s="688" t="e">
        <f aca="false">IF(CD58="","",CD58*((1+$C57)^(1/12)-1))</f>
        <v>#VALUE!</v>
      </c>
      <c r="CE59" s="688" t="e">
        <f aca="false">IF(CE58="","",CE58*((1+$C57)^(1/12)-1))</f>
        <v>#VALUE!</v>
      </c>
      <c r="CF59" s="688" t="e">
        <f aca="false">IF(CF58="","",CF58*((1+$C57)^(1/12)-1))</f>
        <v>#VALUE!</v>
      </c>
      <c r="CG59" s="688" t="e">
        <f aca="false">IF(CG58="","",CG58*((1+$C57)^(1/12)-1))</f>
        <v>#VALUE!</v>
      </c>
      <c r="CH59" s="688" t="e">
        <f aca="false">IF(CH58="","",CH58*((1+$C57)^(1/12)-1))</f>
        <v>#VALUE!</v>
      </c>
      <c r="CI59" s="688" t="e">
        <f aca="false">IF(CI58="","",CI58*((1+$C57)^(1/12)-1))</f>
        <v>#VALUE!</v>
      </c>
      <c r="CJ59" s="688" t="e">
        <f aca="false">IF(CJ58="","",CJ58*((1+$C57)^(1/12)-1))</f>
        <v>#VALUE!</v>
      </c>
      <c r="CK59" s="688" t="e">
        <f aca="false">IF(CK58="","",CK58*((1+$C57)^(1/12)-1))</f>
        <v>#VALUE!</v>
      </c>
      <c r="CL59" s="688" t="e">
        <f aca="false">IF(CL58="","",CL58*((1+$C57)^(1/12)-1))</f>
        <v>#VALUE!</v>
      </c>
      <c r="CM59" s="689" t="e">
        <f aca="false">IF(CM58="","",CM58*((1+$C57)^(1/12)-1))</f>
        <v>#VALUE!</v>
      </c>
      <c r="CN59" s="688" t="e">
        <f aca="false">IF(CN58="","",CN58*((1+$C57)^(1/12)-1))</f>
        <v>#VALUE!</v>
      </c>
      <c r="CO59" s="688" t="e">
        <f aca="false">IF(CO58="","",CO58*((1+$C57)^(1/12)-1))</f>
        <v>#VALUE!</v>
      </c>
      <c r="CP59" s="688" t="e">
        <f aca="false">IF(CP58="","",CP58*((1+$C57)^(1/12)-1))</f>
        <v>#VALUE!</v>
      </c>
      <c r="CQ59" s="688" t="e">
        <f aca="false">IF(CQ58="","",CQ58*((1+$C57)^(1/12)-1))</f>
        <v>#VALUE!</v>
      </c>
      <c r="CR59" s="688" t="e">
        <f aca="false">IF(CR58="","",CR58*((1+$C57)^(1/12)-1))</f>
        <v>#VALUE!</v>
      </c>
      <c r="CS59" s="688" t="e">
        <f aca="false">IF(CS58="","",CS58*((1+$C57)^(1/12)-1))</f>
        <v>#VALUE!</v>
      </c>
      <c r="CT59" s="688" t="e">
        <f aca="false">IF(CT58="","",CT58*((1+$C57)^(1/12)-1))</f>
        <v>#VALUE!</v>
      </c>
      <c r="CU59" s="688" t="e">
        <f aca="false">IF(CU58="","",CU58*((1+$C57)^(1/12)-1))</f>
        <v>#VALUE!</v>
      </c>
      <c r="CV59" s="688" t="e">
        <f aca="false">IF(CV58="","",CV58*((1+$C57)^(1/12)-1))</f>
        <v>#VALUE!</v>
      </c>
      <c r="CW59" s="688" t="e">
        <f aca="false">IF(CW58="","",CW58*((1+$C57)^(1/12)-1))</f>
        <v>#VALUE!</v>
      </c>
      <c r="CX59" s="688" t="e">
        <f aca="false">IF(CX58="","",CX58*((1+$C57)^(1/12)-1))</f>
        <v>#VALUE!</v>
      </c>
      <c r="CY59" s="689" t="e">
        <f aca="false">IF(CY58="","",CY58*((1+$C57)^(1/12)-1))</f>
        <v>#VALUE!</v>
      </c>
      <c r="CZ59" s="688" t="e">
        <f aca="false">IF(CZ58="","",CZ58*((1+$C57)^(1/12)-1))</f>
        <v>#VALUE!</v>
      </c>
      <c r="DA59" s="688" t="e">
        <f aca="false">IF(DA58="","",DA58*((1+$C57)^(1/12)-1))</f>
        <v>#VALUE!</v>
      </c>
      <c r="DB59" s="688" t="e">
        <f aca="false">IF(DB58="","",DB58*((1+$C57)^(1/12)-1))</f>
        <v>#VALUE!</v>
      </c>
      <c r="DC59" s="688" t="e">
        <f aca="false">IF(DC58="","",DC58*((1+$C57)^(1/12)-1))</f>
        <v>#VALUE!</v>
      </c>
      <c r="DD59" s="688" t="e">
        <f aca="false">IF(DD58="","",DD58*((1+$C57)^(1/12)-1))</f>
        <v>#VALUE!</v>
      </c>
      <c r="DE59" s="688" t="e">
        <f aca="false">IF(DE58="","",DE58*((1+$C57)^(1/12)-1))</f>
        <v>#VALUE!</v>
      </c>
      <c r="DF59" s="688" t="e">
        <f aca="false">IF(DF58="","",DF58*((1+$C57)^(1/12)-1))</f>
        <v>#VALUE!</v>
      </c>
      <c r="DG59" s="688" t="e">
        <f aca="false">IF(DG58="","",DG58*((1+$C57)^(1/12)-1))</f>
        <v>#VALUE!</v>
      </c>
      <c r="DH59" s="688" t="e">
        <f aca="false">IF(DH58="","",DH58*((1+$C57)^(1/12)-1))</f>
        <v>#VALUE!</v>
      </c>
      <c r="DI59" s="688" t="e">
        <f aca="false">IF(DI58="","",DI58*((1+$C57)^(1/12)-1))</f>
        <v>#VALUE!</v>
      </c>
      <c r="DJ59" s="688" t="e">
        <f aca="false">IF(DJ58="","",DJ58*((1+$C57)^(1/12)-1))</f>
        <v>#VALUE!</v>
      </c>
      <c r="DK59" s="689" t="e">
        <f aca="false">IF(DK58="","",DK58*((1+$C57)^(1/12)-1))</f>
        <v>#VALUE!</v>
      </c>
      <c r="DL59" s="688" t="e">
        <f aca="false">IF(DL58="","",DL58*((1+$C57)^(1/12)-1))</f>
        <v>#VALUE!</v>
      </c>
      <c r="DM59" s="688" t="e">
        <f aca="false">IF(DM58="","",DM58*((1+$C57)^(1/12)-1))</f>
        <v>#VALUE!</v>
      </c>
      <c r="DN59" s="688" t="e">
        <f aca="false">IF(DN58="","",DN58*((1+$C57)^(1/12)-1))</f>
        <v>#VALUE!</v>
      </c>
      <c r="DO59" s="688" t="e">
        <f aca="false">IF(DO58="","",DO58*((1+$C57)^(1/12)-1))</f>
        <v>#VALUE!</v>
      </c>
      <c r="DP59" s="688" t="e">
        <f aca="false">IF(DP58="","",DP58*((1+$C57)^(1/12)-1))</f>
        <v>#VALUE!</v>
      </c>
      <c r="DQ59" s="688" t="e">
        <f aca="false">IF(DQ58="","",DQ58*((1+$C57)^(1/12)-1))</f>
        <v>#VALUE!</v>
      </c>
      <c r="DR59" s="688" t="e">
        <f aca="false">IF(DR58="","",DR58*((1+$C57)^(1/12)-1))</f>
        <v>#VALUE!</v>
      </c>
      <c r="DS59" s="688" t="e">
        <f aca="false">IF(DS58="","",DS58*((1+$C57)^(1/12)-1))</f>
        <v>#VALUE!</v>
      </c>
      <c r="DT59" s="688" t="e">
        <f aca="false">IF(DT58="","",DT58*((1+$C57)^(1/12)-1))</f>
        <v>#VALUE!</v>
      </c>
      <c r="DU59" s="688" t="e">
        <f aca="false">IF(DU58="","",DU58*((1+$C57)^(1/12)-1))</f>
        <v>#VALUE!</v>
      </c>
      <c r="DV59" s="690" t="e">
        <f aca="false">IF(DV58="","",DV58*((1+$C57)^(1/12)-1))</f>
        <v>#VALUE!</v>
      </c>
    </row>
    <row r="60" s="683" customFormat="true" ht="13.5" hidden="false" customHeight="true" outlineLevel="0" collapsed="false">
      <c r="A60" s="236"/>
      <c r="B60" s="69" t="s">
        <v>647</v>
      </c>
      <c r="C60" s="242"/>
      <c r="D60" s="242"/>
      <c r="E60" s="242"/>
      <c r="F60" s="688" t="str">
        <f aca="false">IF(F58="","",-MIN(0,F$6*'Executive Summary'!$O$5))</f>
        <v/>
      </c>
      <c r="G60" s="689" t="e">
        <f aca="false">IF(G58="","",-MIN(0,G$6*'Executive Summary'!$O$5))</f>
        <v>#VALUE!</v>
      </c>
      <c r="H60" s="688" t="e">
        <f aca="false">IF(H58="","",-MIN(0,H$6*'Executive Summary'!$O$5))</f>
        <v>#VALUE!</v>
      </c>
      <c r="I60" s="688" t="e">
        <f aca="false">IF(I58="","",-MIN(0,I$6*'Executive Summary'!$O$5))</f>
        <v>#VALUE!</v>
      </c>
      <c r="J60" s="688" t="e">
        <f aca="false">IF(J58="","",-MIN(0,J$6*'Executive Summary'!$O$5))</f>
        <v>#VALUE!</v>
      </c>
      <c r="K60" s="688" t="e">
        <f aca="false">IF(K58="","",-MIN(0,K$6*'Executive Summary'!$O$5))</f>
        <v>#VALUE!</v>
      </c>
      <c r="L60" s="688" t="e">
        <f aca="false">IF(L58="","",-MIN(0,L$6*'Executive Summary'!$O$5))</f>
        <v>#VALUE!</v>
      </c>
      <c r="M60" s="688" t="e">
        <f aca="false">IF(M58="","",-MIN(0,M$6*'Executive Summary'!$O$5))</f>
        <v>#VALUE!</v>
      </c>
      <c r="N60" s="688" t="e">
        <f aca="false">IF(N58="","",-MIN(0,N$6*'Executive Summary'!$O$5))</f>
        <v>#VALUE!</v>
      </c>
      <c r="O60" s="688" t="e">
        <f aca="false">IF(O58="","",-MIN(0,O$6*'Executive Summary'!$O$5))</f>
        <v>#VALUE!</v>
      </c>
      <c r="P60" s="688" t="e">
        <f aca="false">IF(P58="","",-MIN(0,P$6*'Executive Summary'!$O$5))</f>
        <v>#VALUE!</v>
      </c>
      <c r="Q60" s="688" t="e">
        <f aca="false">IF(Q58="","",-MIN(0,Q$6*'Executive Summary'!$O$5))</f>
        <v>#VALUE!</v>
      </c>
      <c r="R60" s="688" t="e">
        <f aca="false">IF(R58="","",-MIN(0,R$6*'Executive Summary'!$O$5))</f>
        <v>#VALUE!</v>
      </c>
      <c r="S60" s="689" t="e">
        <f aca="false">IF(S58="","",-MIN(0,S$6*'Executive Summary'!$O$5))</f>
        <v>#VALUE!</v>
      </c>
      <c r="T60" s="688" t="e">
        <f aca="false">IF(T58="","",-MIN(0,T$6*'Executive Summary'!$O$5))</f>
        <v>#VALUE!</v>
      </c>
      <c r="U60" s="688" t="e">
        <f aca="false">IF(U58="","",-MIN(0,U$6*'Executive Summary'!$O$5))</f>
        <v>#VALUE!</v>
      </c>
      <c r="V60" s="688" t="e">
        <f aca="false">IF(V58="","",-MIN(0,V$6*'Executive Summary'!$O$5))</f>
        <v>#VALUE!</v>
      </c>
      <c r="W60" s="688" t="e">
        <f aca="false">IF(W58="","",-MIN(0,W$6*'Executive Summary'!$O$5))</f>
        <v>#VALUE!</v>
      </c>
      <c r="X60" s="688" t="e">
        <f aca="false">IF(X58="","",-MIN(0,X$6*'Executive Summary'!$O$5))</f>
        <v>#VALUE!</v>
      </c>
      <c r="Y60" s="688" t="e">
        <f aca="false">IF(Y58="","",-MIN(0,Y$6*'Executive Summary'!$O$5))</f>
        <v>#VALUE!</v>
      </c>
      <c r="Z60" s="688" t="e">
        <f aca="false">IF(Z58="","",-MIN(0,Z$6*'Executive Summary'!$O$5))</f>
        <v>#VALUE!</v>
      </c>
      <c r="AA60" s="688" t="e">
        <f aca="false">IF(AA58="","",-MIN(0,AA$6*'Executive Summary'!$O$5))</f>
        <v>#VALUE!</v>
      </c>
      <c r="AB60" s="688" t="e">
        <f aca="false">IF(AB58="","",-MIN(0,AB$6*'Executive Summary'!$O$5))</f>
        <v>#VALUE!</v>
      </c>
      <c r="AC60" s="688" t="e">
        <f aca="false">IF(AC58="","",-MIN(0,AC$6*'Executive Summary'!$O$5))</f>
        <v>#VALUE!</v>
      </c>
      <c r="AD60" s="688" t="e">
        <f aca="false">IF(AD58="","",-MIN(0,AD$6*'Executive Summary'!$O$5))</f>
        <v>#VALUE!</v>
      </c>
      <c r="AE60" s="689" t="e">
        <f aca="false">IF(AE58="","",-MIN(0,AE$6*'Executive Summary'!$O$5))</f>
        <v>#VALUE!</v>
      </c>
      <c r="AF60" s="688" t="e">
        <f aca="false">IF(AF58="","",-MIN(0,AF$6*'Executive Summary'!$O$5))</f>
        <v>#VALUE!</v>
      </c>
      <c r="AG60" s="688" t="e">
        <f aca="false">IF(AG58="","",-MIN(0,AG$6*'Executive Summary'!$O$5))</f>
        <v>#VALUE!</v>
      </c>
      <c r="AH60" s="688" t="e">
        <f aca="false">IF(AH58="","",-MIN(0,AH$6*'Executive Summary'!$O$5))</f>
        <v>#VALUE!</v>
      </c>
      <c r="AI60" s="688" t="e">
        <f aca="false">IF(AI58="","",-MIN(0,AI$6*'Executive Summary'!$O$5))</f>
        <v>#VALUE!</v>
      </c>
      <c r="AJ60" s="688" t="e">
        <f aca="false">IF(AJ58="","",-MIN(0,AJ$6*'Executive Summary'!$O$5))</f>
        <v>#VALUE!</v>
      </c>
      <c r="AK60" s="688" t="e">
        <f aca="false">IF(AK58="","",-MIN(0,AK$6*'Executive Summary'!$O$5))</f>
        <v>#VALUE!</v>
      </c>
      <c r="AL60" s="688" t="e">
        <f aca="false">IF(AL58="","",-MIN(0,AL$6*'Executive Summary'!$O$5))</f>
        <v>#VALUE!</v>
      </c>
      <c r="AM60" s="688" t="e">
        <f aca="false">IF(AM58="","",-MIN(0,AM$6*'Executive Summary'!$O$5))</f>
        <v>#VALUE!</v>
      </c>
      <c r="AN60" s="688" t="e">
        <f aca="false">IF(AN58="","",-MIN(0,AN$6*'Executive Summary'!$O$5))</f>
        <v>#VALUE!</v>
      </c>
      <c r="AO60" s="688" t="e">
        <f aca="false">IF(AO58="","",-MIN(0,AO$6*'Executive Summary'!$O$5))</f>
        <v>#VALUE!</v>
      </c>
      <c r="AP60" s="688" t="e">
        <f aca="false">IF(AP58="","",-MIN(0,AP$6*'Executive Summary'!$O$5))</f>
        <v>#VALUE!</v>
      </c>
      <c r="AQ60" s="689" t="e">
        <f aca="false">IF(AQ58="","",-MIN(0,AQ$6*'Executive Summary'!$O$5))</f>
        <v>#VALUE!</v>
      </c>
      <c r="AR60" s="688" t="e">
        <f aca="false">IF(AR58="","",-MIN(0,AR$6*'Executive Summary'!$O$5))</f>
        <v>#VALUE!</v>
      </c>
      <c r="AS60" s="688" t="e">
        <f aca="false">IF(AS58="","",-MIN(0,AS$6*'Executive Summary'!$O$5))</f>
        <v>#VALUE!</v>
      </c>
      <c r="AT60" s="688" t="e">
        <f aca="false">IF(AT58="","",-MIN(0,AT$6*'Executive Summary'!$O$5))</f>
        <v>#VALUE!</v>
      </c>
      <c r="AU60" s="688" t="e">
        <f aca="false">IF(AU58="","",-MIN(0,AU$6*'Executive Summary'!$O$5))</f>
        <v>#VALUE!</v>
      </c>
      <c r="AV60" s="688" t="e">
        <f aca="false">IF(AV58="","",-MIN(0,AV$6*'Executive Summary'!$O$5))</f>
        <v>#VALUE!</v>
      </c>
      <c r="AW60" s="688" t="e">
        <f aca="false">IF(AW58="","",-MIN(0,AW$6*'Executive Summary'!$O$5))</f>
        <v>#VALUE!</v>
      </c>
      <c r="AX60" s="688" t="e">
        <f aca="false">IF(AX58="","",-MIN(0,AX$6*'Executive Summary'!$O$5))</f>
        <v>#VALUE!</v>
      </c>
      <c r="AY60" s="688" t="e">
        <f aca="false">IF(AY58="","",-MIN(0,AY$6*'Executive Summary'!$O$5))</f>
        <v>#VALUE!</v>
      </c>
      <c r="AZ60" s="688" t="e">
        <f aca="false">IF(AZ58="","",-MIN(0,AZ$6*'Executive Summary'!$O$5))</f>
        <v>#VALUE!</v>
      </c>
      <c r="BA60" s="688" t="e">
        <f aca="false">IF(BA58="","",-MIN(0,BA$6*'Executive Summary'!$O$5))</f>
        <v>#VALUE!</v>
      </c>
      <c r="BB60" s="688" t="e">
        <f aca="false">IF(BB58="","",-MIN(0,BB$6*'Executive Summary'!$O$5))</f>
        <v>#VALUE!</v>
      </c>
      <c r="BC60" s="689" t="e">
        <f aca="false">IF(BC58="","",-MIN(0,BC$6*'Executive Summary'!$O$5))</f>
        <v>#VALUE!</v>
      </c>
      <c r="BD60" s="688" t="e">
        <f aca="false">IF(BD58="","",-MIN(0,BD$6*'Executive Summary'!$O$5))</f>
        <v>#VALUE!</v>
      </c>
      <c r="BE60" s="688" t="e">
        <f aca="false">IF(BE58="","",-MIN(0,BE$6*'Executive Summary'!$O$5))</f>
        <v>#VALUE!</v>
      </c>
      <c r="BF60" s="688" t="e">
        <f aca="false">IF(BF58="","",-MIN(0,BF$6*'Executive Summary'!$O$5))</f>
        <v>#VALUE!</v>
      </c>
      <c r="BG60" s="688" t="e">
        <f aca="false">IF(BG58="","",-MIN(0,BG$6*'Executive Summary'!$O$5))</f>
        <v>#VALUE!</v>
      </c>
      <c r="BH60" s="688" t="e">
        <f aca="false">IF(BH58="","",-MIN(0,BH$6*'Executive Summary'!$O$5))</f>
        <v>#VALUE!</v>
      </c>
      <c r="BI60" s="688" t="e">
        <f aca="false">IF(BI58="","",-MIN(0,BI$6*'Executive Summary'!$O$5))</f>
        <v>#VALUE!</v>
      </c>
      <c r="BJ60" s="688" t="e">
        <f aca="false">IF(BJ58="","",-MIN(0,BJ$6*'Executive Summary'!$O$5))</f>
        <v>#VALUE!</v>
      </c>
      <c r="BK60" s="688" t="e">
        <f aca="false">IF(BK58="","",-MIN(0,BK$6*'Executive Summary'!$O$5))</f>
        <v>#VALUE!</v>
      </c>
      <c r="BL60" s="688" t="e">
        <f aca="false">IF(BL58="","",-MIN(0,BL$6*'Executive Summary'!$O$5))</f>
        <v>#VALUE!</v>
      </c>
      <c r="BM60" s="688" t="e">
        <f aca="false">IF(BM58="","",-MIN(0,BM$6*'Executive Summary'!$O$5))</f>
        <v>#VALUE!</v>
      </c>
      <c r="BN60" s="688" t="e">
        <f aca="false">IF(BN58="","",-MIN(0,BN$6*'Executive Summary'!$O$5))</f>
        <v>#VALUE!</v>
      </c>
      <c r="BO60" s="689" t="e">
        <f aca="false">IF(BO58="","",-MIN(0,BO$6*'Executive Summary'!$O$5))</f>
        <v>#VALUE!</v>
      </c>
      <c r="BP60" s="688" t="e">
        <f aca="false">IF(BP58="","",-MIN(0,BP$6*'Executive Summary'!$O$5))</f>
        <v>#VALUE!</v>
      </c>
      <c r="BQ60" s="688" t="e">
        <f aca="false">IF(BQ58="","",-MIN(0,BQ$6*'Executive Summary'!$O$5))</f>
        <v>#VALUE!</v>
      </c>
      <c r="BR60" s="688" t="e">
        <f aca="false">IF(BR58="","",-MIN(0,BR$6*'Executive Summary'!$O$5))</f>
        <v>#VALUE!</v>
      </c>
      <c r="BS60" s="688" t="e">
        <f aca="false">IF(BS58="","",-MIN(0,BS$6*'Executive Summary'!$O$5))</f>
        <v>#VALUE!</v>
      </c>
      <c r="BT60" s="688" t="e">
        <f aca="false">IF(BT58="","",-MIN(0,BT$6*'Executive Summary'!$O$5))</f>
        <v>#VALUE!</v>
      </c>
      <c r="BU60" s="688" t="e">
        <f aca="false">IF(BU58="","",-MIN(0,BU$6*'Executive Summary'!$O$5))</f>
        <v>#VALUE!</v>
      </c>
      <c r="BV60" s="688" t="e">
        <f aca="false">IF(BV58="","",-MIN(0,BV$6*'Executive Summary'!$O$5))</f>
        <v>#VALUE!</v>
      </c>
      <c r="BW60" s="688" t="e">
        <f aca="false">IF(BW58="","",-MIN(0,BW$6*'Executive Summary'!$O$5))</f>
        <v>#VALUE!</v>
      </c>
      <c r="BX60" s="688" t="e">
        <f aca="false">IF(BX58="","",-MIN(0,BX$6*'Executive Summary'!$O$5))</f>
        <v>#VALUE!</v>
      </c>
      <c r="BY60" s="688" t="e">
        <f aca="false">IF(BY58="","",-MIN(0,BY$6*'Executive Summary'!$O$5))</f>
        <v>#VALUE!</v>
      </c>
      <c r="BZ60" s="688" t="e">
        <f aca="false">IF(BZ58="","",-MIN(0,BZ$6*'Executive Summary'!$O$5))</f>
        <v>#VALUE!</v>
      </c>
      <c r="CA60" s="689" t="e">
        <f aca="false">IF(CA58="","",-MIN(0,CA$6*'Executive Summary'!$O$5))</f>
        <v>#VALUE!</v>
      </c>
      <c r="CB60" s="688" t="e">
        <f aca="false">IF(CB58="","",-MIN(0,CB$6*'Executive Summary'!$O$5))</f>
        <v>#VALUE!</v>
      </c>
      <c r="CC60" s="688" t="e">
        <f aca="false">IF(CC58="","",-MIN(0,CC$6*'Executive Summary'!$O$5))</f>
        <v>#VALUE!</v>
      </c>
      <c r="CD60" s="688" t="e">
        <f aca="false">IF(CD58="","",-MIN(0,CD$6*'Executive Summary'!$O$5))</f>
        <v>#VALUE!</v>
      </c>
      <c r="CE60" s="688" t="e">
        <f aca="false">IF(CE58="","",-MIN(0,CE$6*'Executive Summary'!$O$5))</f>
        <v>#VALUE!</v>
      </c>
      <c r="CF60" s="688" t="e">
        <f aca="false">IF(CF58="","",-MIN(0,CF$6*'Executive Summary'!$O$5))</f>
        <v>#VALUE!</v>
      </c>
      <c r="CG60" s="688" t="e">
        <f aca="false">IF(CG58="","",-MIN(0,CG$6*'Executive Summary'!$O$5))</f>
        <v>#VALUE!</v>
      </c>
      <c r="CH60" s="688" t="e">
        <f aca="false">IF(CH58="","",-MIN(0,CH$6*'Executive Summary'!$O$5))</f>
        <v>#VALUE!</v>
      </c>
      <c r="CI60" s="688" t="e">
        <f aca="false">IF(CI58="","",-MIN(0,CI$6*'Executive Summary'!$O$5))</f>
        <v>#VALUE!</v>
      </c>
      <c r="CJ60" s="688" t="e">
        <f aca="false">IF(CJ58="","",-MIN(0,CJ$6*'Executive Summary'!$O$5))</f>
        <v>#VALUE!</v>
      </c>
      <c r="CK60" s="688" t="e">
        <f aca="false">IF(CK58="","",-MIN(0,CK$6*'Executive Summary'!$O$5))</f>
        <v>#VALUE!</v>
      </c>
      <c r="CL60" s="688" t="e">
        <f aca="false">IF(CL58="","",-MIN(0,CL$6*'Executive Summary'!$O$5))</f>
        <v>#VALUE!</v>
      </c>
      <c r="CM60" s="689" t="e">
        <f aca="false">IF(CM58="","",-MIN(0,CM$6*'Executive Summary'!$O$5))</f>
        <v>#VALUE!</v>
      </c>
      <c r="CN60" s="688" t="e">
        <f aca="false">IF(CN58="","",-MIN(0,CN$6*'Executive Summary'!$O$5))</f>
        <v>#VALUE!</v>
      </c>
      <c r="CO60" s="688" t="e">
        <f aca="false">IF(CO58="","",-MIN(0,CO$6*'Executive Summary'!$O$5))</f>
        <v>#VALUE!</v>
      </c>
      <c r="CP60" s="688" t="e">
        <f aca="false">IF(CP58="","",-MIN(0,CP$6*'Executive Summary'!$O$5))</f>
        <v>#VALUE!</v>
      </c>
      <c r="CQ60" s="688" t="e">
        <f aca="false">IF(CQ58="","",-MIN(0,CQ$6*'Executive Summary'!$O$5))</f>
        <v>#VALUE!</v>
      </c>
      <c r="CR60" s="688" t="e">
        <f aca="false">IF(CR58="","",-MIN(0,CR$6*'Executive Summary'!$O$5))</f>
        <v>#VALUE!</v>
      </c>
      <c r="CS60" s="688" t="e">
        <f aca="false">IF(CS58="","",-MIN(0,CS$6*'Executive Summary'!$O$5))</f>
        <v>#VALUE!</v>
      </c>
      <c r="CT60" s="688" t="e">
        <f aca="false">IF(CT58="","",-MIN(0,CT$6*'Executive Summary'!$O$5))</f>
        <v>#VALUE!</v>
      </c>
      <c r="CU60" s="688" t="e">
        <f aca="false">IF(CU58="","",-MIN(0,CU$6*'Executive Summary'!$O$5))</f>
        <v>#VALUE!</v>
      </c>
      <c r="CV60" s="688" t="e">
        <f aca="false">IF(CV58="","",-MIN(0,CV$6*'Executive Summary'!$O$5))</f>
        <v>#VALUE!</v>
      </c>
      <c r="CW60" s="688" t="e">
        <f aca="false">IF(CW58="","",-MIN(0,CW$6*'Executive Summary'!$O$5))</f>
        <v>#VALUE!</v>
      </c>
      <c r="CX60" s="688" t="e">
        <f aca="false">IF(CX58="","",-MIN(0,CX$6*'Executive Summary'!$O$5))</f>
        <v>#VALUE!</v>
      </c>
      <c r="CY60" s="689" t="e">
        <f aca="false">IF(CY58="","",-MIN(0,CY$6*'Executive Summary'!$O$5))</f>
        <v>#VALUE!</v>
      </c>
      <c r="CZ60" s="688" t="e">
        <f aca="false">IF(CZ58="","",-MIN(0,CZ$6*'Executive Summary'!$O$5))</f>
        <v>#VALUE!</v>
      </c>
      <c r="DA60" s="688" t="e">
        <f aca="false">IF(DA58="","",-MIN(0,DA$6*'Executive Summary'!$O$5))</f>
        <v>#VALUE!</v>
      </c>
      <c r="DB60" s="688" t="e">
        <f aca="false">IF(DB58="","",-MIN(0,DB$6*'Executive Summary'!$O$5))</f>
        <v>#VALUE!</v>
      </c>
      <c r="DC60" s="688" t="e">
        <f aca="false">IF(DC58="","",-MIN(0,DC$6*'Executive Summary'!$O$5))</f>
        <v>#VALUE!</v>
      </c>
      <c r="DD60" s="688" t="e">
        <f aca="false">IF(DD58="","",-MIN(0,DD$6*'Executive Summary'!$O$5))</f>
        <v>#VALUE!</v>
      </c>
      <c r="DE60" s="688" t="e">
        <f aca="false">IF(DE58="","",-MIN(0,DE$6*'Executive Summary'!$O$5))</f>
        <v>#VALUE!</v>
      </c>
      <c r="DF60" s="688" t="e">
        <f aca="false">IF(DF58="","",-MIN(0,DF$6*'Executive Summary'!$O$5))</f>
        <v>#VALUE!</v>
      </c>
      <c r="DG60" s="688" t="e">
        <f aca="false">IF(DG58="","",-MIN(0,DG$6*'Executive Summary'!$O$5))</f>
        <v>#VALUE!</v>
      </c>
      <c r="DH60" s="688" t="e">
        <f aca="false">IF(DH58="","",-MIN(0,DH$6*'Executive Summary'!$O$5))</f>
        <v>#VALUE!</v>
      </c>
      <c r="DI60" s="688" t="e">
        <f aca="false">IF(DI58="","",-MIN(0,DI$6*'Executive Summary'!$O$5))</f>
        <v>#VALUE!</v>
      </c>
      <c r="DJ60" s="688" t="e">
        <f aca="false">IF(DJ58="","",-MIN(0,DJ$6*'Executive Summary'!$O$5))</f>
        <v>#VALUE!</v>
      </c>
      <c r="DK60" s="689" t="e">
        <f aca="false">IF(DK58="","",-MIN(0,DK$6*'Executive Summary'!$O$5))</f>
        <v>#VALUE!</v>
      </c>
      <c r="DL60" s="688" t="e">
        <f aca="false">IF(DL58="","",-MIN(0,DL$6*'Executive Summary'!$O$5))</f>
        <v>#VALUE!</v>
      </c>
      <c r="DM60" s="688" t="e">
        <f aca="false">IF(DM58="","",-MIN(0,DM$6*'Executive Summary'!$O$5))</f>
        <v>#VALUE!</v>
      </c>
      <c r="DN60" s="688" t="e">
        <f aca="false">IF(DN58="","",-MIN(0,DN$6*'Executive Summary'!$O$5))</f>
        <v>#VALUE!</v>
      </c>
      <c r="DO60" s="688" t="e">
        <f aca="false">IF(DO58="","",-MIN(0,DO$6*'Executive Summary'!$O$5))</f>
        <v>#VALUE!</v>
      </c>
      <c r="DP60" s="688" t="e">
        <f aca="false">IF(DP58="","",-MIN(0,DP$6*'Executive Summary'!$O$5))</f>
        <v>#VALUE!</v>
      </c>
      <c r="DQ60" s="688" t="e">
        <f aca="false">IF(DQ58="","",-MIN(0,DQ$6*'Executive Summary'!$O$5))</f>
        <v>#VALUE!</v>
      </c>
      <c r="DR60" s="688" t="e">
        <f aca="false">IF(DR58="","",-MIN(0,DR$6*'Executive Summary'!$O$5))</f>
        <v>#VALUE!</v>
      </c>
      <c r="DS60" s="688" t="e">
        <f aca="false">IF(DS58="","",-MIN(0,DS$6*'Executive Summary'!$O$5))</f>
        <v>#VALUE!</v>
      </c>
      <c r="DT60" s="688" t="e">
        <f aca="false">IF(DT58="","",-MIN(0,DT$6*'Executive Summary'!$O$5))</f>
        <v>#VALUE!</v>
      </c>
      <c r="DU60" s="688" t="e">
        <f aca="false">IF(DU58="","",-MIN(0,DU$6*'Executive Summary'!$O$5))</f>
        <v>#VALUE!</v>
      </c>
      <c r="DV60" s="690" t="e">
        <f aca="false">IF(DV58="","",-MIN(0,DV$6*'Executive Summary'!$O$5))</f>
        <v>#VALUE!</v>
      </c>
    </row>
    <row r="61" s="683" customFormat="true" ht="13.5" hidden="false" customHeight="true" outlineLevel="0" collapsed="false">
      <c r="A61" s="236"/>
      <c r="B61" s="69" t="s">
        <v>653</v>
      </c>
      <c r="C61" s="242"/>
      <c r="D61" s="242"/>
      <c r="E61" s="242"/>
      <c r="F61" s="688" t="str">
        <f aca="false">IF(F58="","",F51+F37)</f>
        <v/>
      </c>
      <c r="G61" s="689" t="e">
        <f aca="false">IF(G58="","",G51+G37)</f>
        <v>#VALUE!</v>
      </c>
      <c r="H61" s="688" t="e">
        <f aca="false">IF(H58="","",H51+H37)</f>
        <v>#VALUE!</v>
      </c>
      <c r="I61" s="688" t="e">
        <f aca="false">IF(I58="","",I51+I37)</f>
        <v>#VALUE!</v>
      </c>
      <c r="J61" s="688" t="e">
        <f aca="false">IF(J58="","",J51+J37)</f>
        <v>#VALUE!</v>
      </c>
      <c r="K61" s="688" t="e">
        <f aca="false">IF(K58="","",K51+K37)</f>
        <v>#VALUE!</v>
      </c>
      <c r="L61" s="688" t="e">
        <f aca="false">IF(L58="","",L51+L37)</f>
        <v>#VALUE!</v>
      </c>
      <c r="M61" s="688" t="e">
        <f aca="false">IF(M58="","",M51+M37)</f>
        <v>#VALUE!</v>
      </c>
      <c r="N61" s="688" t="e">
        <f aca="false">IF(N58="","",N51+N37)</f>
        <v>#VALUE!</v>
      </c>
      <c r="O61" s="688" t="e">
        <f aca="false">IF(O58="","",O51+O37)</f>
        <v>#VALUE!</v>
      </c>
      <c r="P61" s="688" t="e">
        <f aca="false">IF(P58="","",P51+P37)</f>
        <v>#VALUE!</v>
      </c>
      <c r="Q61" s="688" t="e">
        <f aca="false">IF(Q58="","",Q51+Q37)</f>
        <v>#VALUE!</v>
      </c>
      <c r="R61" s="688" t="e">
        <f aca="false">IF(R58="","",R51+R37)</f>
        <v>#VALUE!</v>
      </c>
      <c r="S61" s="689" t="e">
        <f aca="false">IF(S58="","",S51+S37)</f>
        <v>#VALUE!</v>
      </c>
      <c r="T61" s="688" t="e">
        <f aca="false">IF(T58="","",T51+T37)</f>
        <v>#VALUE!</v>
      </c>
      <c r="U61" s="688" t="e">
        <f aca="false">IF(U58="","",U51+U37)</f>
        <v>#VALUE!</v>
      </c>
      <c r="V61" s="688" t="e">
        <f aca="false">IF(V58="","",V51+V37)</f>
        <v>#VALUE!</v>
      </c>
      <c r="W61" s="688" t="e">
        <f aca="false">IF(W58="","",W51+W37)</f>
        <v>#VALUE!</v>
      </c>
      <c r="X61" s="688" t="e">
        <f aca="false">IF(X58="","",X51+X37)</f>
        <v>#VALUE!</v>
      </c>
      <c r="Y61" s="688" t="e">
        <f aca="false">IF(Y58="","",Y51+Y37)</f>
        <v>#VALUE!</v>
      </c>
      <c r="Z61" s="688" t="e">
        <f aca="false">IF(Z58="","",Z51+Z37)</f>
        <v>#VALUE!</v>
      </c>
      <c r="AA61" s="688" t="e">
        <f aca="false">IF(AA58="","",AA51+AA37)</f>
        <v>#VALUE!</v>
      </c>
      <c r="AB61" s="688" t="e">
        <f aca="false">IF(AB58="","",AB51+AB37)</f>
        <v>#VALUE!</v>
      </c>
      <c r="AC61" s="688" t="e">
        <f aca="false">IF(AC58="","",AC51+AC37)</f>
        <v>#VALUE!</v>
      </c>
      <c r="AD61" s="688" t="e">
        <f aca="false">IF(AD58="","",AD51+AD37)</f>
        <v>#VALUE!</v>
      </c>
      <c r="AE61" s="689" t="e">
        <f aca="false">IF(AE58="","",AE51+AE37)</f>
        <v>#VALUE!</v>
      </c>
      <c r="AF61" s="688" t="e">
        <f aca="false">IF(AF58="","",AF51+AF37)</f>
        <v>#VALUE!</v>
      </c>
      <c r="AG61" s="688" t="e">
        <f aca="false">IF(AG58="","",AG51+AG37)</f>
        <v>#VALUE!</v>
      </c>
      <c r="AH61" s="688" t="e">
        <f aca="false">IF(AH58="","",AH51+AH37)</f>
        <v>#VALUE!</v>
      </c>
      <c r="AI61" s="688" t="e">
        <f aca="false">IF(AI58="","",AI51+AI37)</f>
        <v>#VALUE!</v>
      </c>
      <c r="AJ61" s="688" t="e">
        <f aca="false">IF(AJ58="","",AJ51+AJ37)</f>
        <v>#VALUE!</v>
      </c>
      <c r="AK61" s="688" t="e">
        <f aca="false">IF(AK58="","",AK51+AK37)</f>
        <v>#VALUE!</v>
      </c>
      <c r="AL61" s="688" t="e">
        <f aca="false">IF(AL58="","",AL51+AL37)</f>
        <v>#VALUE!</v>
      </c>
      <c r="AM61" s="688" t="e">
        <f aca="false">IF(AM58="","",AM51+AM37)</f>
        <v>#VALUE!</v>
      </c>
      <c r="AN61" s="688" t="e">
        <f aca="false">IF(AN58="","",AN51+AN37)</f>
        <v>#VALUE!</v>
      </c>
      <c r="AO61" s="688" t="e">
        <f aca="false">IF(AO58="","",AO51+AO37)</f>
        <v>#VALUE!</v>
      </c>
      <c r="AP61" s="688" t="e">
        <f aca="false">IF(AP58="","",AP51+AP37)</f>
        <v>#VALUE!</v>
      </c>
      <c r="AQ61" s="689" t="e">
        <f aca="false">IF(AQ58="","",AQ51+AQ37)</f>
        <v>#VALUE!</v>
      </c>
      <c r="AR61" s="688" t="e">
        <f aca="false">IF(AR58="","",AR51+AR37)</f>
        <v>#VALUE!</v>
      </c>
      <c r="AS61" s="688" t="e">
        <f aca="false">IF(AS58="","",AS51+AS37)</f>
        <v>#VALUE!</v>
      </c>
      <c r="AT61" s="688" t="e">
        <f aca="false">IF(AT58="","",AT51+AT37)</f>
        <v>#VALUE!</v>
      </c>
      <c r="AU61" s="688" t="e">
        <f aca="false">IF(AU58="","",AU51+AU37)</f>
        <v>#VALUE!</v>
      </c>
      <c r="AV61" s="688" t="e">
        <f aca="false">IF(AV58="","",AV51+AV37)</f>
        <v>#VALUE!</v>
      </c>
      <c r="AW61" s="688" t="e">
        <f aca="false">IF(AW58="","",AW51+AW37)</f>
        <v>#VALUE!</v>
      </c>
      <c r="AX61" s="688" t="e">
        <f aca="false">IF(AX58="","",AX51+AX37)</f>
        <v>#VALUE!</v>
      </c>
      <c r="AY61" s="688" t="e">
        <f aca="false">IF(AY58="","",AY51+AY37)</f>
        <v>#VALUE!</v>
      </c>
      <c r="AZ61" s="688" t="e">
        <f aca="false">IF(AZ58="","",AZ51+AZ37)</f>
        <v>#VALUE!</v>
      </c>
      <c r="BA61" s="688" t="e">
        <f aca="false">IF(BA58="","",BA51+BA37)</f>
        <v>#VALUE!</v>
      </c>
      <c r="BB61" s="688" t="e">
        <f aca="false">IF(BB58="","",BB51+BB37)</f>
        <v>#VALUE!</v>
      </c>
      <c r="BC61" s="689" t="e">
        <f aca="false">IF(BC58="","",BC51+BC37)</f>
        <v>#VALUE!</v>
      </c>
      <c r="BD61" s="688" t="e">
        <f aca="false">IF(BD58="","",BD51+BD37)</f>
        <v>#VALUE!</v>
      </c>
      <c r="BE61" s="688" t="e">
        <f aca="false">IF(BE58="","",BE51+BE37)</f>
        <v>#VALUE!</v>
      </c>
      <c r="BF61" s="688" t="e">
        <f aca="false">IF(BF58="","",BF51+BF37)</f>
        <v>#VALUE!</v>
      </c>
      <c r="BG61" s="688" t="e">
        <f aca="false">IF(BG58="","",BG51+BG37)</f>
        <v>#VALUE!</v>
      </c>
      <c r="BH61" s="688" t="e">
        <f aca="false">IF(BH58="","",BH51+BH37)</f>
        <v>#VALUE!</v>
      </c>
      <c r="BI61" s="688" t="e">
        <f aca="false">IF(BI58="","",BI51+BI37)</f>
        <v>#VALUE!</v>
      </c>
      <c r="BJ61" s="688" t="e">
        <f aca="false">IF(BJ58="","",BJ51+BJ37)</f>
        <v>#VALUE!</v>
      </c>
      <c r="BK61" s="688" t="e">
        <f aca="false">IF(BK58="","",BK51+BK37)</f>
        <v>#VALUE!</v>
      </c>
      <c r="BL61" s="688" t="e">
        <f aca="false">IF(BL58="","",BL51+BL37)</f>
        <v>#VALUE!</v>
      </c>
      <c r="BM61" s="688" t="e">
        <f aca="false">IF(BM58="","",BM51+BM37)</f>
        <v>#VALUE!</v>
      </c>
      <c r="BN61" s="688" t="e">
        <f aca="false">IF(BN58="","",BN51+BN37)</f>
        <v>#VALUE!</v>
      </c>
      <c r="BO61" s="689" t="e">
        <f aca="false">IF(BO58="","",BO51+BO37)</f>
        <v>#VALUE!</v>
      </c>
      <c r="BP61" s="688" t="e">
        <f aca="false">IF(BP58="","",BP51+BP37)</f>
        <v>#VALUE!</v>
      </c>
      <c r="BQ61" s="688" t="e">
        <f aca="false">IF(BQ58="","",BQ51+BQ37)</f>
        <v>#VALUE!</v>
      </c>
      <c r="BR61" s="688" t="e">
        <f aca="false">IF(BR58="","",BR51+BR37)</f>
        <v>#VALUE!</v>
      </c>
      <c r="BS61" s="688" t="e">
        <f aca="false">IF(BS58="","",BS51+BS37)</f>
        <v>#VALUE!</v>
      </c>
      <c r="BT61" s="688" t="e">
        <f aca="false">IF(BT58="","",BT51+BT37)</f>
        <v>#VALUE!</v>
      </c>
      <c r="BU61" s="688" t="e">
        <f aca="false">IF(BU58="","",BU51+BU37)</f>
        <v>#VALUE!</v>
      </c>
      <c r="BV61" s="688" t="e">
        <f aca="false">IF(BV58="","",BV51+BV37)</f>
        <v>#VALUE!</v>
      </c>
      <c r="BW61" s="688" t="e">
        <f aca="false">IF(BW58="","",BW51+BW37)</f>
        <v>#VALUE!</v>
      </c>
      <c r="BX61" s="688" t="e">
        <f aca="false">IF(BX58="","",BX51+BX37)</f>
        <v>#VALUE!</v>
      </c>
      <c r="BY61" s="688" t="e">
        <f aca="false">IF(BY58="","",BY51+BY37)</f>
        <v>#VALUE!</v>
      </c>
      <c r="BZ61" s="688" t="e">
        <f aca="false">IF(BZ58="","",BZ51+BZ37)</f>
        <v>#VALUE!</v>
      </c>
      <c r="CA61" s="689" t="e">
        <f aca="false">IF(CA58="","",CA51+CA37)</f>
        <v>#VALUE!</v>
      </c>
      <c r="CB61" s="688" t="e">
        <f aca="false">IF(CB58="","",CB51+CB37)</f>
        <v>#VALUE!</v>
      </c>
      <c r="CC61" s="688" t="e">
        <f aca="false">IF(CC58="","",CC51+CC37)</f>
        <v>#VALUE!</v>
      </c>
      <c r="CD61" s="688" t="e">
        <f aca="false">IF(CD58="","",CD51+CD37)</f>
        <v>#VALUE!</v>
      </c>
      <c r="CE61" s="688" t="e">
        <f aca="false">IF(CE58="","",CE51+CE37)</f>
        <v>#VALUE!</v>
      </c>
      <c r="CF61" s="688" t="e">
        <f aca="false">IF(CF58="","",CF51+CF37)</f>
        <v>#VALUE!</v>
      </c>
      <c r="CG61" s="688" t="e">
        <f aca="false">IF(CG58="","",CG51+CG37)</f>
        <v>#VALUE!</v>
      </c>
      <c r="CH61" s="688" t="e">
        <f aca="false">IF(CH58="","",CH51+CH37)</f>
        <v>#VALUE!</v>
      </c>
      <c r="CI61" s="688" t="e">
        <f aca="false">IF(CI58="","",CI51+CI37)</f>
        <v>#VALUE!</v>
      </c>
      <c r="CJ61" s="688" t="e">
        <f aca="false">IF(CJ58="","",CJ51+CJ37)</f>
        <v>#VALUE!</v>
      </c>
      <c r="CK61" s="688" t="e">
        <f aca="false">IF(CK58="","",CK51+CK37)</f>
        <v>#VALUE!</v>
      </c>
      <c r="CL61" s="688" t="e">
        <f aca="false">IF(CL58="","",CL51+CL37)</f>
        <v>#VALUE!</v>
      </c>
      <c r="CM61" s="689" t="e">
        <f aca="false">IF(CM58="","",CM51+CM37)</f>
        <v>#VALUE!</v>
      </c>
      <c r="CN61" s="688" t="e">
        <f aca="false">IF(CN58="","",CN51+CN37)</f>
        <v>#VALUE!</v>
      </c>
      <c r="CO61" s="688" t="e">
        <f aca="false">IF(CO58="","",CO51+CO37)</f>
        <v>#VALUE!</v>
      </c>
      <c r="CP61" s="688" t="e">
        <f aca="false">IF(CP58="","",CP51+CP37)</f>
        <v>#VALUE!</v>
      </c>
      <c r="CQ61" s="688" t="e">
        <f aca="false">IF(CQ58="","",CQ51+CQ37)</f>
        <v>#VALUE!</v>
      </c>
      <c r="CR61" s="688" t="e">
        <f aca="false">IF(CR58="","",CR51+CR37)</f>
        <v>#VALUE!</v>
      </c>
      <c r="CS61" s="688" t="e">
        <f aca="false">IF(CS58="","",CS51+CS37)</f>
        <v>#VALUE!</v>
      </c>
      <c r="CT61" s="688" t="e">
        <f aca="false">IF(CT58="","",CT51+CT37)</f>
        <v>#VALUE!</v>
      </c>
      <c r="CU61" s="688" t="e">
        <f aca="false">IF(CU58="","",CU51+CU37)</f>
        <v>#VALUE!</v>
      </c>
      <c r="CV61" s="688" t="e">
        <f aca="false">IF(CV58="","",CV51+CV37)</f>
        <v>#VALUE!</v>
      </c>
      <c r="CW61" s="688" t="e">
        <f aca="false">IF(CW58="","",CW51+CW37)</f>
        <v>#VALUE!</v>
      </c>
      <c r="CX61" s="688" t="e">
        <f aca="false">IF(CX58="","",CX51+CX37)</f>
        <v>#VALUE!</v>
      </c>
      <c r="CY61" s="689" t="e">
        <f aca="false">IF(CY58="","",CY51+CY37)</f>
        <v>#VALUE!</v>
      </c>
      <c r="CZ61" s="688" t="e">
        <f aca="false">IF(CZ58="","",CZ51+CZ37)</f>
        <v>#VALUE!</v>
      </c>
      <c r="DA61" s="688" t="e">
        <f aca="false">IF(DA58="","",DA51+DA37)</f>
        <v>#VALUE!</v>
      </c>
      <c r="DB61" s="688" t="e">
        <f aca="false">IF(DB58="","",DB51+DB37)</f>
        <v>#VALUE!</v>
      </c>
      <c r="DC61" s="688" t="e">
        <f aca="false">IF(DC58="","",DC51+DC37)</f>
        <v>#VALUE!</v>
      </c>
      <c r="DD61" s="688" t="e">
        <f aca="false">IF(DD58="","",DD51+DD37)</f>
        <v>#VALUE!</v>
      </c>
      <c r="DE61" s="688" t="e">
        <f aca="false">IF(DE58="","",DE51+DE37)</f>
        <v>#VALUE!</v>
      </c>
      <c r="DF61" s="688" t="e">
        <f aca="false">IF(DF58="","",DF51+DF37)</f>
        <v>#VALUE!</v>
      </c>
      <c r="DG61" s="688" t="e">
        <f aca="false">IF(DG58="","",DG51+DG37)</f>
        <v>#VALUE!</v>
      </c>
      <c r="DH61" s="688" t="e">
        <f aca="false">IF(DH58="","",DH51+DH37)</f>
        <v>#VALUE!</v>
      </c>
      <c r="DI61" s="688" t="e">
        <f aca="false">IF(DI58="","",DI51+DI37)</f>
        <v>#VALUE!</v>
      </c>
      <c r="DJ61" s="688" t="e">
        <f aca="false">IF(DJ58="","",DJ51+DJ37)</f>
        <v>#VALUE!</v>
      </c>
      <c r="DK61" s="689" t="e">
        <f aca="false">IF(DK58="","",DK51+DK37)</f>
        <v>#VALUE!</v>
      </c>
      <c r="DL61" s="688" t="e">
        <f aca="false">IF(DL58="","",DL51+DL37)</f>
        <v>#VALUE!</v>
      </c>
      <c r="DM61" s="688" t="e">
        <f aca="false">IF(DM58="","",DM51+DM37)</f>
        <v>#VALUE!</v>
      </c>
      <c r="DN61" s="688" t="e">
        <f aca="false">IF(DN58="","",DN51+DN37)</f>
        <v>#VALUE!</v>
      </c>
      <c r="DO61" s="688" t="e">
        <f aca="false">IF(DO58="","",DO51+DO37)</f>
        <v>#VALUE!</v>
      </c>
      <c r="DP61" s="688" t="e">
        <f aca="false">IF(DP58="","",DP51+DP37)</f>
        <v>#VALUE!</v>
      </c>
      <c r="DQ61" s="688" t="e">
        <f aca="false">IF(DQ58="","",DQ51+DQ37)</f>
        <v>#VALUE!</v>
      </c>
      <c r="DR61" s="688" t="e">
        <f aca="false">IF(DR58="","",DR51+DR37)</f>
        <v>#VALUE!</v>
      </c>
      <c r="DS61" s="688" t="e">
        <f aca="false">IF(DS58="","",DS51+DS37)</f>
        <v>#VALUE!</v>
      </c>
      <c r="DT61" s="688" t="e">
        <f aca="false">IF(DT58="","",DT51+DT37)</f>
        <v>#VALUE!</v>
      </c>
      <c r="DU61" s="688" t="e">
        <f aca="false">IF(DU58="","",DU51+DU37)</f>
        <v>#VALUE!</v>
      </c>
      <c r="DV61" s="690" t="e">
        <f aca="false">IF(DV58="","",DV51+DV37)</f>
        <v>#VALUE!</v>
      </c>
    </row>
    <row r="62" s="683" customFormat="true" ht="13.5" hidden="false" customHeight="true" outlineLevel="0" collapsed="false">
      <c r="A62" s="236"/>
      <c r="B62" s="69" t="str">
        <f aca="false">"Distributions to LP "&amp;B56</f>
        <v>Distributions to LP Hurdle 3</v>
      </c>
      <c r="C62" s="242"/>
      <c r="D62" s="242"/>
      <c r="E62" s="242"/>
      <c r="F62" s="688" t="str">
        <f aca="false">IF(F58="","",MIN(F58+F59-F61,F54*'Executive Summary'!$T$22))</f>
        <v/>
      </c>
      <c r="G62" s="689" t="e">
        <f aca="false">IF(G58="","",MIN(G58+G59-G61,G54*'Executive Summary'!$T$22))</f>
        <v>#VALUE!</v>
      </c>
      <c r="H62" s="688" t="e">
        <f aca="false">IF(H58="","",MIN(H58+H59-H61,H54*'Executive Summary'!$T$22))</f>
        <v>#VALUE!</v>
      </c>
      <c r="I62" s="688" t="e">
        <f aca="false">IF(I58="","",MIN(I58+I59-I61,I54*'Executive Summary'!$T$22))</f>
        <v>#VALUE!</v>
      </c>
      <c r="J62" s="688" t="e">
        <f aca="false">IF(J58="","",MIN(J58+J59-J61,J54*'Executive Summary'!$T$22))</f>
        <v>#VALUE!</v>
      </c>
      <c r="K62" s="688" t="e">
        <f aca="false">IF(K58="","",MIN(K58+K59-K61,K54*'Executive Summary'!$T$22))</f>
        <v>#VALUE!</v>
      </c>
      <c r="L62" s="688" t="e">
        <f aca="false">IF(L58="","",MIN(L58+L59-L61,L54*'Executive Summary'!$T$22))</f>
        <v>#VALUE!</v>
      </c>
      <c r="M62" s="688" t="e">
        <f aca="false">IF(M58="","",MIN(M58+M59-M61,M54*'Executive Summary'!$T$22))</f>
        <v>#VALUE!</v>
      </c>
      <c r="N62" s="688" t="e">
        <f aca="false">IF(N58="","",MIN(N58+N59-N61,N54*'Executive Summary'!$T$22))</f>
        <v>#VALUE!</v>
      </c>
      <c r="O62" s="688" t="e">
        <f aca="false">IF(O58="","",MIN(O58+O59-O61,O54*'Executive Summary'!$T$22))</f>
        <v>#VALUE!</v>
      </c>
      <c r="P62" s="688" t="e">
        <f aca="false">IF(P58="","",MIN(P58+P59-P61,P54*'Executive Summary'!$T$22))</f>
        <v>#VALUE!</v>
      </c>
      <c r="Q62" s="688" t="e">
        <f aca="false">IF(Q58="","",MIN(Q58+Q59-Q61,Q54*'Executive Summary'!$T$22))</f>
        <v>#VALUE!</v>
      </c>
      <c r="R62" s="688" t="e">
        <f aca="false">IF(R58="","",MIN(R58+R59-R61,R54*'Executive Summary'!$T$22))</f>
        <v>#VALUE!</v>
      </c>
      <c r="S62" s="689" t="e">
        <f aca="false">IF(S58="","",MIN(S58+S59-S61,S54*'Executive Summary'!$T$22))</f>
        <v>#VALUE!</v>
      </c>
      <c r="T62" s="688" t="e">
        <f aca="false">IF(T58="","",MIN(T58+T59-T61,T54*'Executive Summary'!$T$22))</f>
        <v>#VALUE!</v>
      </c>
      <c r="U62" s="688" t="e">
        <f aca="false">IF(U58="","",MIN(U58+U59-U61,U54*'Executive Summary'!$T$22))</f>
        <v>#VALUE!</v>
      </c>
      <c r="V62" s="688" t="e">
        <f aca="false">IF(V58="","",MIN(V58+V59-V61,V54*'Executive Summary'!$T$22))</f>
        <v>#VALUE!</v>
      </c>
      <c r="W62" s="688" t="e">
        <f aca="false">IF(W58="","",MIN(W58+W59-W61,W54*'Executive Summary'!$T$22))</f>
        <v>#VALUE!</v>
      </c>
      <c r="X62" s="688" t="e">
        <f aca="false">IF(X58="","",MIN(X58+X59-X61,X54*'Executive Summary'!$T$22))</f>
        <v>#VALUE!</v>
      </c>
      <c r="Y62" s="688" t="e">
        <f aca="false">IF(Y58="","",MIN(Y58+Y59-Y61,Y54*'Executive Summary'!$T$22))</f>
        <v>#VALUE!</v>
      </c>
      <c r="Z62" s="688" t="e">
        <f aca="false">IF(Z58="","",MIN(Z58+Z59-Z61,Z54*'Executive Summary'!$T$22))</f>
        <v>#VALUE!</v>
      </c>
      <c r="AA62" s="688" t="e">
        <f aca="false">IF(AA58="","",MIN(AA58+AA59-AA61,AA54*'Executive Summary'!$T$22))</f>
        <v>#VALUE!</v>
      </c>
      <c r="AB62" s="688" t="e">
        <f aca="false">IF(AB58="","",MIN(AB58+AB59-AB61,AB54*'Executive Summary'!$T$22))</f>
        <v>#VALUE!</v>
      </c>
      <c r="AC62" s="688" t="e">
        <f aca="false">IF(AC58="","",MIN(AC58+AC59-AC61,AC54*'Executive Summary'!$T$22))</f>
        <v>#VALUE!</v>
      </c>
      <c r="AD62" s="688" t="e">
        <f aca="false">IF(AD58="","",MIN(AD58+AD59-AD61,AD54*'Executive Summary'!$T$22))</f>
        <v>#VALUE!</v>
      </c>
      <c r="AE62" s="689" t="e">
        <f aca="false">IF(AE58="","",MIN(AE58+AE59-AE61,AE54*'Executive Summary'!$T$22))</f>
        <v>#VALUE!</v>
      </c>
      <c r="AF62" s="688" t="e">
        <f aca="false">IF(AF58="","",MIN(AF58+AF59-AF61,AF54*'Executive Summary'!$T$22))</f>
        <v>#VALUE!</v>
      </c>
      <c r="AG62" s="688" t="e">
        <f aca="false">IF(AG58="","",MIN(AG58+AG59-AG61,AG54*'Executive Summary'!$T$22))</f>
        <v>#VALUE!</v>
      </c>
      <c r="AH62" s="688" t="e">
        <f aca="false">IF(AH58="","",MIN(AH58+AH59-AH61,AH54*'Executive Summary'!$T$22))</f>
        <v>#VALUE!</v>
      </c>
      <c r="AI62" s="688" t="e">
        <f aca="false">IF(AI58="","",MIN(AI58+AI59-AI61,AI54*'Executive Summary'!$T$22))</f>
        <v>#VALUE!</v>
      </c>
      <c r="AJ62" s="688" t="e">
        <f aca="false">IF(AJ58="","",MIN(AJ58+AJ59-AJ61,AJ54*'Executive Summary'!$T$22))</f>
        <v>#VALUE!</v>
      </c>
      <c r="AK62" s="688" t="e">
        <f aca="false">IF(AK58="","",MIN(AK58+AK59-AK61,AK54*'Executive Summary'!$T$22))</f>
        <v>#VALUE!</v>
      </c>
      <c r="AL62" s="688" t="e">
        <f aca="false">IF(AL58="","",MIN(AL58+AL59-AL61,AL54*'Executive Summary'!$T$22))</f>
        <v>#VALUE!</v>
      </c>
      <c r="AM62" s="688" t="e">
        <f aca="false">IF(AM58="","",MIN(AM58+AM59-AM61,AM54*'Executive Summary'!$T$22))</f>
        <v>#VALUE!</v>
      </c>
      <c r="AN62" s="688" t="e">
        <f aca="false">IF(AN58="","",MIN(AN58+AN59-AN61,AN54*'Executive Summary'!$T$22))</f>
        <v>#VALUE!</v>
      </c>
      <c r="AO62" s="688" t="e">
        <f aca="false">IF(AO58="","",MIN(AO58+AO59-AO61,AO54*'Executive Summary'!$T$22))</f>
        <v>#VALUE!</v>
      </c>
      <c r="AP62" s="688" t="e">
        <f aca="false">IF(AP58="","",MIN(AP58+AP59-AP61,AP54*'Executive Summary'!$T$22))</f>
        <v>#VALUE!</v>
      </c>
      <c r="AQ62" s="689" t="e">
        <f aca="false">IF(AQ58="","",MIN(AQ58+AQ59-AQ61,AQ54*'Executive Summary'!$T$22))</f>
        <v>#VALUE!</v>
      </c>
      <c r="AR62" s="688" t="e">
        <f aca="false">IF(AR58="","",MIN(AR58+AR59-AR61,AR54*'Executive Summary'!$T$22))</f>
        <v>#VALUE!</v>
      </c>
      <c r="AS62" s="688" t="e">
        <f aca="false">IF(AS58="","",MIN(AS58+AS59-AS61,AS54*'Executive Summary'!$T$22))</f>
        <v>#VALUE!</v>
      </c>
      <c r="AT62" s="688" t="e">
        <f aca="false">IF(AT58="","",MIN(AT58+AT59-AT61,AT54*'Executive Summary'!$T$22))</f>
        <v>#VALUE!</v>
      </c>
      <c r="AU62" s="688" t="e">
        <f aca="false">IF(AU58="","",MIN(AU58+AU59-AU61,AU54*'Executive Summary'!$T$22))</f>
        <v>#VALUE!</v>
      </c>
      <c r="AV62" s="688" t="e">
        <f aca="false">IF(AV58="","",MIN(AV58+AV59-AV61,AV54*'Executive Summary'!$T$22))</f>
        <v>#VALUE!</v>
      </c>
      <c r="AW62" s="688" t="e">
        <f aca="false">IF(AW58="","",MIN(AW58+AW59-AW61,AW54*'Executive Summary'!$T$22))</f>
        <v>#VALUE!</v>
      </c>
      <c r="AX62" s="688" t="e">
        <f aca="false">IF(AX58="","",MIN(AX58+AX59-AX61,AX54*'Executive Summary'!$T$22))</f>
        <v>#VALUE!</v>
      </c>
      <c r="AY62" s="688" t="e">
        <f aca="false">IF(AY58="","",MIN(AY58+AY59-AY61,AY54*'Executive Summary'!$T$22))</f>
        <v>#VALUE!</v>
      </c>
      <c r="AZ62" s="688" t="e">
        <f aca="false">IF(AZ58="","",MIN(AZ58+AZ59-AZ61,AZ54*'Executive Summary'!$T$22))</f>
        <v>#VALUE!</v>
      </c>
      <c r="BA62" s="688" t="e">
        <f aca="false">IF(BA58="","",MIN(BA58+BA59-BA61,BA54*'Executive Summary'!$T$22))</f>
        <v>#VALUE!</v>
      </c>
      <c r="BB62" s="688" t="e">
        <f aca="false">IF(BB58="","",MIN(BB58+BB59-BB61,BB54*'Executive Summary'!$T$22))</f>
        <v>#VALUE!</v>
      </c>
      <c r="BC62" s="689" t="e">
        <f aca="false">IF(BC58="","",MIN(BC58+BC59-BC61,BC54*'Executive Summary'!$T$22))</f>
        <v>#VALUE!</v>
      </c>
      <c r="BD62" s="688" t="e">
        <f aca="false">IF(BD58="","",MIN(BD58+BD59-BD61,BD54*'Executive Summary'!$T$22))</f>
        <v>#VALUE!</v>
      </c>
      <c r="BE62" s="688" t="e">
        <f aca="false">IF(BE58="","",MIN(BE58+BE59-BE61,BE54*'Executive Summary'!$T$22))</f>
        <v>#VALUE!</v>
      </c>
      <c r="BF62" s="688" t="e">
        <f aca="false">IF(BF58="","",MIN(BF58+BF59-BF61,BF54*'Executive Summary'!$T$22))</f>
        <v>#VALUE!</v>
      </c>
      <c r="BG62" s="688" t="e">
        <f aca="false">IF(BG58="","",MIN(BG58+BG59-BG61,BG54*'Executive Summary'!$T$22))</f>
        <v>#VALUE!</v>
      </c>
      <c r="BH62" s="688" t="e">
        <f aca="false">IF(BH58="","",MIN(BH58+BH59-BH61,BH54*'Executive Summary'!$T$22))</f>
        <v>#VALUE!</v>
      </c>
      <c r="BI62" s="688" t="e">
        <f aca="false">IF(BI58="","",MIN(BI58+BI59-BI61,BI54*'Executive Summary'!$T$22))</f>
        <v>#VALUE!</v>
      </c>
      <c r="BJ62" s="688" t="e">
        <f aca="false">IF(BJ58="","",MIN(BJ58+BJ59-BJ61,BJ54*'Executive Summary'!$T$22))</f>
        <v>#VALUE!</v>
      </c>
      <c r="BK62" s="688" t="e">
        <f aca="false">IF(BK58="","",MIN(BK58+BK59-BK61,BK54*'Executive Summary'!$T$22))</f>
        <v>#VALUE!</v>
      </c>
      <c r="BL62" s="688" t="e">
        <f aca="false">IF(BL58="","",MIN(BL58+BL59-BL61,BL54*'Executive Summary'!$T$22))</f>
        <v>#VALUE!</v>
      </c>
      <c r="BM62" s="688" t="e">
        <f aca="false">IF(BM58="","",MIN(BM58+BM59-BM61,BM54*'Executive Summary'!$T$22))</f>
        <v>#VALUE!</v>
      </c>
      <c r="BN62" s="688" t="e">
        <f aca="false">IF(BN58="","",MIN(BN58+BN59-BN61,BN54*'Executive Summary'!$T$22))</f>
        <v>#VALUE!</v>
      </c>
      <c r="BO62" s="689" t="e">
        <f aca="false">IF(BO58="","",MIN(BO58+BO59-BO61,BO54*'Executive Summary'!$T$22))</f>
        <v>#VALUE!</v>
      </c>
      <c r="BP62" s="688" t="e">
        <f aca="false">IF(BP58="","",MIN(BP58+BP59-BP61,BP54*'Executive Summary'!$T$22))</f>
        <v>#VALUE!</v>
      </c>
      <c r="BQ62" s="688" t="e">
        <f aca="false">IF(BQ58="","",MIN(BQ58+BQ59-BQ61,BQ54*'Executive Summary'!$T$22))</f>
        <v>#VALUE!</v>
      </c>
      <c r="BR62" s="688" t="e">
        <f aca="false">IF(BR58="","",MIN(BR58+BR59-BR61,BR54*'Executive Summary'!$T$22))</f>
        <v>#VALUE!</v>
      </c>
      <c r="BS62" s="688" t="e">
        <f aca="false">IF(BS58="","",MIN(BS58+BS59-BS61,BS54*'Executive Summary'!$T$22))</f>
        <v>#VALUE!</v>
      </c>
      <c r="BT62" s="688" t="e">
        <f aca="false">IF(BT58="","",MIN(BT58+BT59-BT61,BT54*'Executive Summary'!$T$22))</f>
        <v>#VALUE!</v>
      </c>
      <c r="BU62" s="688" t="e">
        <f aca="false">IF(BU58="","",MIN(BU58+BU59-BU61,BU54*'Executive Summary'!$T$22))</f>
        <v>#VALUE!</v>
      </c>
      <c r="BV62" s="688" t="e">
        <f aca="false">IF(BV58="","",MIN(BV58+BV59-BV61,BV54*'Executive Summary'!$T$22))</f>
        <v>#VALUE!</v>
      </c>
      <c r="BW62" s="688" t="e">
        <f aca="false">IF(BW58="","",MIN(BW58+BW59-BW61,BW54*'Executive Summary'!$T$22))</f>
        <v>#VALUE!</v>
      </c>
      <c r="BX62" s="688" t="e">
        <f aca="false">IF(BX58="","",MIN(BX58+BX59-BX61,BX54*'Executive Summary'!$T$22))</f>
        <v>#VALUE!</v>
      </c>
      <c r="BY62" s="688" t="e">
        <f aca="false">IF(BY58="","",MIN(BY58+BY59-BY61,BY54*'Executive Summary'!$T$22))</f>
        <v>#VALUE!</v>
      </c>
      <c r="BZ62" s="688" t="e">
        <f aca="false">IF(BZ58="","",MIN(BZ58+BZ59-BZ61,BZ54*'Executive Summary'!$T$22))</f>
        <v>#VALUE!</v>
      </c>
      <c r="CA62" s="689" t="e">
        <f aca="false">IF(CA58="","",MIN(CA58+CA59-CA61,CA54*'Executive Summary'!$T$22))</f>
        <v>#VALUE!</v>
      </c>
      <c r="CB62" s="688" t="e">
        <f aca="false">IF(CB58="","",MIN(CB58+CB59-CB61,CB54*'Executive Summary'!$T$22))</f>
        <v>#VALUE!</v>
      </c>
      <c r="CC62" s="688" t="e">
        <f aca="false">IF(CC58="","",MIN(CC58+CC59-CC61,CC54*'Executive Summary'!$T$22))</f>
        <v>#VALUE!</v>
      </c>
      <c r="CD62" s="688" t="e">
        <f aca="false">IF(CD58="","",MIN(CD58+CD59-CD61,CD54*'Executive Summary'!$T$22))</f>
        <v>#VALUE!</v>
      </c>
      <c r="CE62" s="688" t="e">
        <f aca="false">IF(CE58="","",MIN(CE58+CE59-CE61,CE54*'Executive Summary'!$T$22))</f>
        <v>#VALUE!</v>
      </c>
      <c r="CF62" s="688" t="e">
        <f aca="false">IF(CF58="","",MIN(CF58+CF59-CF61,CF54*'Executive Summary'!$T$22))</f>
        <v>#VALUE!</v>
      </c>
      <c r="CG62" s="688" t="e">
        <f aca="false">IF(CG58="","",MIN(CG58+CG59-CG61,CG54*'Executive Summary'!$T$22))</f>
        <v>#VALUE!</v>
      </c>
      <c r="CH62" s="688" t="e">
        <f aca="false">IF(CH58="","",MIN(CH58+CH59-CH61,CH54*'Executive Summary'!$T$22))</f>
        <v>#VALUE!</v>
      </c>
      <c r="CI62" s="688" t="e">
        <f aca="false">IF(CI58="","",MIN(CI58+CI59-CI61,CI54*'Executive Summary'!$T$22))</f>
        <v>#VALUE!</v>
      </c>
      <c r="CJ62" s="688" t="e">
        <f aca="false">IF(CJ58="","",MIN(CJ58+CJ59-CJ61,CJ54*'Executive Summary'!$T$22))</f>
        <v>#VALUE!</v>
      </c>
      <c r="CK62" s="688" t="e">
        <f aca="false">IF(CK58="","",MIN(CK58+CK59-CK61,CK54*'Executive Summary'!$T$22))</f>
        <v>#VALUE!</v>
      </c>
      <c r="CL62" s="688" t="e">
        <f aca="false">IF(CL58="","",MIN(CL58+CL59-CL61,CL54*'Executive Summary'!$T$22))</f>
        <v>#VALUE!</v>
      </c>
      <c r="CM62" s="689" t="e">
        <f aca="false">IF(CM58="","",MIN(CM58+CM59-CM61,CM54*'Executive Summary'!$T$22))</f>
        <v>#VALUE!</v>
      </c>
      <c r="CN62" s="688" t="e">
        <f aca="false">IF(CN58="","",MIN(CN58+CN59-CN61,CN54*'Executive Summary'!$T$22))</f>
        <v>#VALUE!</v>
      </c>
      <c r="CO62" s="688" t="e">
        <f aca="false">IF(CO58="","",MIN(CO58+CO59-CO61,CO54*'Executive Summary'!$T$22))</f>
        <v>#VALUE!</v>
      </c>
      <c r="CP62" s="688" t="e">
        <f aca="false">IF(CP58="","",MIN(CP58+CP59-CP61,CP54*'Executive Summary'!$T$22))</f>
        <v>#VALUE!</v>
      </c>
      <c r="CQ62" s="688" t="e">
        <f aca="false">IF(CQ58="","",MIN(CQ58+CQ59-CQ61,CQ54*'Executive Summary'!$T$22))</f>
        <v>#VALUE!</v>
      </c>
      <c r="CR62" s="688" t="e">
        <f aca="false">IF(CR58="","",MIN(CR58+CR59-CR61,CR54*'Executive Summary'!$T$22))</f>
        <v>#VALUE!</v>
      </c>
      <c r="CS62" s="688" t="e">
        <f aca="false">IF(CS58="","",MIN(CS58+CS59-CS61,CS54*'Executive Summary'!$T$22))</f>
        <v>#VALUE!</v>
      </c>
      <c r="CT62" s="688" t="e">
        <f aca="false">IF(CT58="","",MIN(CT58+CT59-CT61,CT54*'Executive Summary'!$T$22))</f>
        <v>#VALUE!</v>
      </c>
      <c r="CU62" s="688" t="e">
        <f aca="false">IF(CU58="","",MIN(CU58+CU59-CU61,CU54*'Executive Summary'!$T$22))</f>
        <v>#VALUE!</v>
      </c>
      <c r="CV62" s="688" t="e">
        <f aca="false">IF(CV58="","",MIN(CV58+CV59-CV61,CV54*'Executive Summary'!$T$22))</f>
        <v>#VALUE!</v>
      </c>
      <c r="CW62" s="688" t="e">
        <f aca="false">IF(CW58="","",MIN(CW58+CW59-CW61,CW54*'Executive Summary'!$T$22))</f>
        <v>#VALUE!</v>
      </c>
      <c r="CX62" s="688" t="e">
        <f aca="false">IF(CX58="","",MIN(CX58+CX59-CX61,CX54*'Executive Summary'!$T$22))</f>
        <v>#VALUE!</v>
      </c>
      <c r="CY62" s="689" t="e">
        <f aca="false">IF(CY58="","",MIN(CY58+CY59-CY61,CY54*'Executive Summary'!$T$22))</f>
        <v>#VALUE!</v>
      </c>
      <c r="CZ62" s="688" t="e">
        <f aca="false">IF(CZ58="","",MIN(CZ58+CZ59-CZ61,CZ54*'Executive Summary'!$T$22))</f>
        <v>#VALUE!</v>
      </c>
      <c r="DA62" s="688" t="e">
        <f aca="false">IF(DA58="","",MIN(DA58+DA59-DA61,DA54*'Executive Summary'!$T$22))</f>
        <v>#VALUE!</v>
      </c>
      <c r="DB62" s="688" t="e">
        <f aca="false">IF(DB58="","",MIN(DB58+DB59-DB61,DB54*'Executive Summary'!$T$22))</f>
        <v>#VALUE!</v>
      </c>
      <c r="DC62" s="688" t="e">
        <f aca="false">IF(DC58="","",MIN(DC58+DC59-DC61,DC54*'Executive Summary'!$T$22))</f>
        <v>#VALUE!</v>
      </c>
      <c r="DD62" s="688" t="e">
        <f aca="false">IF(DD58="","",MIN(DD58+DD59-DD61,DD54*'Executive Summary'!$T$22))</f>
        <v>#VALUE!</v>
      </c>
      <c r="DE62" s="688" t="e">
        <f aca="false">IF(DE58="","",MIN(DE58+DE59-DE61,DE54*'Executive Summary'!$T$22))</f>
        <v>#VALUE!</v>
      </c>
      <c r="DF62" s="688" t="e">
        <f aca="false">IF(DF58="","",MIN(DF58+DF59-DF61,DF54*'Executive Summary'!$T$22))</f>
        <v>#VALUE!</v>
      </c>
      <c r="DG62" s="688" t="e">
        <f aca="false">IF(DG58="","",MIN(DG58+DG59-DG61,DG54*'Executive Summary'!$T$22))</f>
        <v>#VALUE!</v>
      </c>
      <c r="DH62" s="688" t="e">
        <f aca="false">IF(DH58="","",MIN(DH58+DH59-DH61,DH54*'Executive Summary'!$T$22))</f>
        <v>#VALUE!</v>
      </c>
      <c r="DI62" s="688" t="e">
        <f aca="false">IF(DI58="","",MIN(DI58+DI59-DI61,DI54*'Executive Summary'!$T$22))</f>
        <v>#VALUE!</v>
      </c>
      <c r="DJ62" s="688" t="e">
        <f aca="false">IF(DJ58="","",MIN(DJ58+DJ59-DJ61,DJ54*'Executive Summary'!$T$22))</f>
        <v>#VALUE!</v>
      </c>
      <c r="DK62" s="689" t="e">
        <f aca="false">IF(DK58="","",MIN(DK58+DK59-DK61,DK54*'Executive Summary'!$T$22))</f>
        <v>#VALUE!</v>
      </c>
      <c r="DL62" s="688" t="e">
        <f aca="false">IF(DL58="","",MIN(DL58+DL59-DL61,DL54*'Executive Summary'!$T$22))</f>
        <v>#VALUE!</v>
      </c>
      <c r="DM62" s="688" t="e">
        <f aca="false">IF(DM58="","",MIN(DM58+DM59-DM61,DM54*'Executive Summary'!$T$22))</f>
        <v>#VALUE!</v>
      </c>
      <c r="DN62" s="688" t="e">
        <f aca="false">IF(DN58="","",MIN(DN58+DN59-DN61,DN54*'Executive Summary'!$T$22))</f>
        <v>#VALUE!</v>
      </c>
      <c r="DO62" s="688" t="e">
        <f aca="false">IF(DO58="","",MIN(DO58+DO59-DO61,DO54*'Executive Summary'!$T$22))</f>
        <v>#VALUE!</v>
      </c>
      <c r="DP62" s="688" t="e">
        <f aca="false">IF(DP58="","",MIN(DP58+DP59-DP61,DP54*'Executive Summary'!$T$22))</f>
        <v>#VALUE!</v>
      </c>
      <c r="DQ62" s="688" t="e">
        <f aca="false">IF(DQ58="","",MIN(DQ58+DQ59-DQ61,DQ54*'Executive Summary'!$T$22))</f>
        <v>#VALUE!</v>
      </c>
      <c r="DR62" s="688" t="e">
        <f aca="false">IF(DR58="","",MIN(DR58+DR59-DR61,DR54*'Executive Summary'!$T$22))</f>
        <v>#VALUE!</v>
      </c>
      <c r="DS62" s="688" t="e">
        <f aca="false">IF(DS58="","",MIN(DS58+DS59-DS61,DS54*'Executive Summary'!$T$22))</f>
        <v>#VALUE!</v>
      </c>
      <c r="DT62" s="688" t="e">
        <f aca="false">IF(DT58="","",MIN(DT58+DT59-DT61,DT54*'Executive Summary'!$T$22))</f>
        <v>#VALUE!</v>
      </c>
      <c r="DU62" s="688" t="e">
        <f aca="false">IF(DU58="","",MIN(DU58+DU59-DU61,DU54*'Executive Summary'!$T$22))</f>
        <v>#VALUE!</v>
      </c>
      <c r="DV62" s="690" t="e">
        <f aca="false">IF(DV58="","",MIN(DV58+DV59-DV61,DV54*'Executive Summary'!$T$22))</f>
        <v>#VALUE!</v>
      </c>
    </row>
    <row r="63" s="683" customFormat="true" ht="13.5" hidden="false" customHeight="true" outlineLevel="0" collapsed="false">
      <c r="A63" s="236"/>
      <c r="B63" s="69" t="s">
        <v>649</v>
      </c>
      <c r="C63" s="242"/>
      <c r="D63" s="242"/>
      <c r="E63" s="242"/>
      <c r="F63" s="688" t="e">
        <f aca="false">F58+F60-F62</f>
        <v>#VALUE!</v>
      </c>
      <c r="G63" s="689" t="e">
        <f aca="false">IF(G58="","",G58+G59+G60-G61-G62)</f>
        <v>#VALUE!</v>
      </c>
      <c r="H63" s="688" t="e">
        <f aca="false">IF(H58="","",H58+H59+H60-H61-H62)</f>
        <v>#VALUE!</v>
      </c>
      <c r="I63" s="688" t="e">
        <f aca="false">IF(I58="","",I58+I59+I60-I61-I62)</f>
        <v>#VALUE!</v>
      </c>
      <c r="J63" s="688" t="e">
        <f aca="false">IF(J58="","",J58+J59+J60-J61-J62)</f>
        <v>#VALUE!</v>
      </c>
      <c r="K63" s="688" t="e">
        <f aca="false">IF(K58="","",K58+K59+K60-K61-K62)</f>
        <v>#VALUE!</v>
      </c>
      <c r="L63" s="688" t="e">
        <f aca="false">IF(L58="","",L58+L59+L60-L61-L62)</f>
        <v>#VALUE!</v>
      </c>
      <c r="M63" s="688" t="e">
        <f aca="false">IF(M58="","",M58+M59+M60-M61-M62)</f>
        <v>#VALUE!</v>
      </c>
      <c r="N63" s="688" t="e">
        <f aca="false">IF(N58="","",N58+N59+N60-N61-N62)</f>
        <v>#VALUE!</v>
      </c>
      <c r="O63" s="688" t="e">
        <f aca="false">IF(O58="","",O58+O59+O60-O61-O62)</f>
        <v>#VALUE!</v>
      </c>
      <c r="P63" s="688" t="e">
        <f aca="false">IF(P58="","",P58+P59+P60-P61-P62)</f>
        <v>#VALUE!</v>
      </c>
      <c r="Q63" s="688" t="e">
        <f aca="false">IF(Q58="","",Q58+Q59+Q60-Q61-Q62)</f>
        <v>#VALUE!</v>
      </c>
      <c r="R63" s="688" t="e">
        <f aca="false">IF(R58="","",R58+R59+R60-R61-R62)</f>
        <v>#VALUE!</v>
      </c>
      <c r="S63" s="689" t="e">
        <f aca="false">IF(S58="","",S58+S59+S60-S61-S62)</f>
        <v>#VALUE!</v>
      </c>
      <c r="T63" s="688" t="e">
        <f aca="false">IF(T58="","",T58+T59+T60-T61-T62)</f>
        <v>#VALUE!</v>
      </c>
      <c r="U63" s="688" t="e">
        <f aca="false">IF(U58="","",U58+U59+U60-U61-U62)</f>
        <v>#VALUE!</v>
      </c>
      <c r="V63" s="688" t="e">
        <f aca="false">IF(V58="","",V58+V59+V60-V61-V62)</f>
        <v>#VALUE!</v>
      </c>
      <c r="W63" s="688" t="e">
        <f aca="false">IF(W58="","",W58+W59+W60-W61-W62)</f>
        <v>#VALUE!</v>
      </c>
      <c r="X63" s="688" t="e">
        <f aca="false">IF(X58="","",X58+X59+X60-X61-X62)</f>
        <v>#VALUE!</v>
      </c>
      <c r="Y63" s="688" t="e">
        <f aca="false">IF(Y58="","",Y58+Y59+Y60-Y61-Y62)</f>
        <v>#VALUE!</v>
      </c>
      <c r="Z63" s="688" t="e">
        <f aca="false">IF(Z58="","",Z58+Z59+Z60-Z61-Z62)</f>
        <v>#VALUE!</v>
      </c>
      <c r="AA63" s="688" t="e">
        <f aca="false">IF(AA58="","",AA58+AA59+AA60-AA61-AA62)</f>
        <v>#VALUE!</v>
      </c>
      <c r="AB63" s="688" t="e">
        <f aca="false">IF(AB58="","",AB58+AB59+AB60-AB61-AB62)</f>
        <v>#VALUE!</v>
      </c>
      <c r="AC63" s="688" t="e">
        <f aca="false">IF(AC58="","",AC58+AC59+AC60-AC61-AC62)</f>
        <v>#VALUE!</v>
      </c>
      <c r="AD63" s="688" t="e">
        <f aca="false">IF(AD58="","",AD58+AD59+AD60-AD61-AD62)</f>
        <v>#VALUE!</v>
      </c>
      <c r="AE63" s="689" t="e">
        <f aca="false">IF(AE58="","",AE58+AE59+AE60-AE61-AE62)</f>
        <v>#VALUE!</v>
      </c>
      <c r="AF63" s="688" t="e">
        <f aca="false">IF(AF58="","",AF58+AF59+AF60-AF61-AF62)</f>
        <v>#VALUE!</v>
      </c>
      <c r="AG63" s="688" t="e">
        <f aca="false">IF(AG58="","",AG58+AG59+AG60-AG61-AG62)</f>
        <v>#VALUE!</v>
      </c>
      <c r="AH63" s="688" t="e">
        <f aca="false">IF(AH58="","",AH58+AH59+AH60-AH61-AH62)</f>
        <v>#VALUE!</v>
      </c>
      <c r="AI63" s="688" t="e">
        <f aca="false">IF(AI58="","",AI58+AI59+AI60-AI61-AI62)</f>
        <v>#VALUE!</v>
      </c>
      <c r="AJ63" s="688" t="e">
        <f aca="false">IF(AJ58="","",AJ58+AJ59+AJ60-AJ61-AJ62)</f>
        <v>#VALUE!</v>
      </c>
      <c r="AK63" s="688" t="e">
        <f aca="false">IF(AK58="","",AK58+AK59+AK60-AK61-AK62)</f>
        <v>#VALUE!</v>
      </c>
      <c r="AL63" s="688" t="e">
        <f aca="false">IF(AL58="","",AL58+AL59+AL60-AL61-AL62)</f>
        <v>#VALUE!</v>
      </c>
      <c r="AM63" s="688" t="e">
        <f aca="false">IF(AM58="","",AM58+AM59+AM60-AM61-AM62)</f>
        <v>#VALUE!</v>
      </c>
      <c r="AN63" s="688" t="e">
        <f aca="false">IF(AN58="","",AN58+AN59+AN60-AN61-AN62)</f>
        <v>#VALUE!</v>
      </c>
      <c r="AO63" s="688" t="e">
        <f aca="false">IF(AO58="","",AO58+AO59+AO60-AO61-AO62)</f>
        <v>#VALUE!</v>
      </c>
      <c r="AP63" s="688" t="e">
        <f aca="false">IF(AP58="","",AP58+AP59+AP60-AP61-AP62)</f>
        <v>#VALUE!</v>
      </c>
      <c r="AQ63" s="689" t="e">
        <f aca="false">IF(AQ58="","",AQ58+AQ59+AQ60-AQ61-AQ62)</f>
        <v>#VALUE!</v>
      </c>
      <c r="AR63" s="688" t="e">
        <f aca="false">IF(AR58="","",AR58+AR59+AR60-AR61-AR62)</f>
        <v>#VALUE!</v>
      </c>
      <c r="AS63" s="688" t="e">
        <f aca="false">IF(AS58="","",AS58+AS59+AS60-AS61-AS62)</f>
        <v>#VALUE!</v>
      </c>
      <c r="AT63" s="688" t="e">
        <f aca="false">IF(AT58="","",AT58+AT59+AT60-AT61-AT62)</f>
        <v>#VALUE!</v>
      </c>
      <c r="AU63" s="688" t="e">
        <f aca="false">IF(AU58="","",AU58+AU59+AU60-AU61-AU62)</f>
        <v>#VALUE!</v>
      </c>
      <c r="AV63" s="688" t="e">
        <f aca="false">IF(AV58="","",AV58+AV59+AV60-AV61-AV62)</f>
        <v>#VALUE!</v>
      </c>
      <c r="AW63" s="688" t="e">
        <f aca="false">IF(AW58="","",AW58+AW59+AW60-AW61-AW62)</f>
        <v>#VALUE!</v>
      </c>
      <c r="AX63" s="688" t="e">
        <f aca="false">IF(AX58="","",AX58+AX59+AX60-AX61-AX62)</f>
        <v>#VALUE!</v>
      </c>
      <c r="AY63" s="688" t="e">
        <f aca="false">IF(AY58="","",AY58+AY59+AY60-AY61-AY62)</f>
        <v>#VALUE!</v>
      </c>
      <c r="AZ63" s="688" t="e">
        <f aca="false">IF(AZ58="","",AZ58+AZ59+AZ60-AZ61-AZ62)</f>
        <v>#VALUE!</v>
      </c>
      <c r="BA63" s="688" t="e">
        <f aca="false">IF(BA58="","",BA58+BA59+BA60-BA61-BA62)</f>
        <v>#VALUE!</v>
      </c>
      <c r="BB63" s="688" t="e">
        <f aca="false">IF(BB58="","",BB58+BB59+BB60-BB61-BB62)</f>
        <v>#VALUE!</v>
      </c>
      <c r="BC63" s="689" t="e">
        <f aca="false">IF(BC58="","",BC58+BC59+BC60-BC61-BC62)</f>
        <v>#VALUE!</v>
      </c>
      <c r="BD63" s="688" t="e">
        <f aca="false">IF(BD58="","",BD58+BD59+BD60-BD61-BD62)</f>
        <v>#VALUE!</v>
      </c>
      <c r="BE63" s="688" t="e">
        <f aca="false">IF(BE58="","",BE58+BE59+BE60-BE61-BE62)</f>
        <v>#VALUE!</v>
      </c>
      <c r="BF63" s="688" t="e">
        <f aca="false">IF(BF58="","",BF58+BF59+BF60-BF61-BF62)</f>
        <v>#VALUE!</v>
      </c>
      <c r="BG63" s="688" t="e">
        <f aca="false">IF(BG58="","",BG58+BG59+BG60-BG61-BG62)</f>
        <v>#VALUE!</v>
      </c>
      <c r="BH63" s="688" t="e">
        <f aca="false">IF(BH58="","",BH58+BH59+BH60-BH61-BH62)</f>
        <v>#VALUE!</v>
      </c>
      <c r="BI63" s="688" t="e">
        <f aca="false">IF(BI58="","",BI58+BI59+BI60-BI61-BI62)</f>
        <v>#VALUE!</v>
      </c>
      <c r="BJ63" s="688" t="e">
        <f aca="false">IF(BJ58="","",BJ58+BJ59+BJ60-BJ61-BJ62)</f>
        <v>#VALUE!</v>
      </c>
      <c r="BK63" s="688" t="e">
        <f aca="false">IF(BK58="","",BK58+BK59+BK60-BK61-BK62)</f>
        <v>#VALUE!</v>
      </c>
      <c r="BL63" s="688" t="e">
        <f aca="false">IF(BL58="","",BL58+BL59+BL60-BL61-BL62)</f>
        <v>#VALUE!</v>
      </c>
      <c r="BM63" s="688" t="e">
        <f aca="false">IF(BM58="","",BM58+BM59+BM60-BM61-BM62)</f>
        <v>#VALUE!</v>
      </c>
      <c r="BN63" s="688" t="e">
        <f aca="false">IF(BN58="","",BN58+BN59+BN60-BN61-BN62)</f>
        <v>#VALUE!</v>
      </c>
      <c r="BO63" s="689" t="e">
        <f aca="false">IF(BO58="","",BO58+BO59+BO60-BO61-BO62)</f>
        <v>#VALUE!</v>
      </c>
      <c r="BP63" s="688" t="e">
        <f aca="false">IF(BP58="","",BP58+BP59+BP60-BP61-BP62)</f>
        <v>#VALUE!</v>
      </c>
      <c r="BQ63" s="688" t="e">
        <f aca="false">IF(BQ58="","",BQ58+BQ59+BQ60-BQ61-BQ62)</f>
        <v>#VALUE!</v>
      </c>
      <c r="BR63" s="688" t="e">
        <f aca="false">IF(BR58="","",BR58+BR59+BR60-BR61-BR62)</f>
        <v>#VALUE!</v>
      </c>
      <c r="BS63" s="688" t="e">
        <f aca="false">IF(BS58="","",BS58+BS59+BS60-BS61-BS62)</f>
        <v>#VALUE!</v>
      </c>
      <c r="BT63" s="688" t="e">
        <f aca="false">IF(BT58="","",BT58+BT59+BT60-BT61-BT62)</f>
        <v>#VALUE!</v>
      </c>
      <c r="BU63" s="688" t="e">
        <f aca="false">IF(BU58="","",BU58+BU59+BU60-BU61-BU62)</f>
        <v>#VALUE!</v>
      </c>
      <c r="BV63" s="688" t="e">
        <f aca="false">IF(BV58="","",BV58+BV59+BV60-BV61-BV62)</f>
        <v>#VALUE!</v>
      </c>
      <c r="BW63" s="688" t="e">
        <f aca="false">IF(BW58="","",BW58+BW59+BW60-BW61-BW62)</f>
        <v>#VALUE!</v>
      </c>
      <c r="BX63" s="688" t="e">
        <f aca="false">IF(BX58="","",BX58+BX59+BX60-BX61-BX62)</f>
        <v>#VALUE!</v>
      </c>
      <c r="BY63" s="688" t="e">
        <f aca="false">IF(BY58="","",BY58+BY59+BY60-BY61-BY62)</f>
        <v>#VALUE!</v>
      </c>
      <c r="BZ63" s="688" t="e">
        <f aca="false">IF(BZ58="","",BZ58+BZ59+BZ60-BZ61-BZ62)</f>
        <v>#VALUE!</v>
      </c>
      <c r="CA63" s="689" t="e">
        <f aca="false">IF(CA58="","",CA58+CA59+CA60-CA61-CA62)</f>
        <v>#VALUE!</v>
      </c>
      <c r="CB63" s="688" t="e">
        <f aca="false">IF(CB58="","",CB58+CB59+CB60-CB61-CB62)</f>
        <v>#VALUE!</v>
      </c>
      <c r="CC63" s="688" t="e">
        <f aca="false">IF(CC58="","",CC58+CC59+CC60-CC61-CC62)</f>
        <v>#VALUE!</v>
      </c>
      <c r="CD63" s="688" t="e">
        <f aca="false">IF(CD58="","",CD58+CD59+CD60-CD61-CD62)</f>
        <v>#VALUE!</v>
      </c>
      <c r="CE63" s="688" t="e">
        <f aca="false">IF(CE58="","",CE58+CE59+CE60-CE61-CE62)</f>
        <v>#VALUE!</v>
      </c>
      <c r="CF63" s="688" t="e">
        <f aca="false">IF(CF58="","",CF58+CF59+CF60-CF61-CF62)</f>
        <v>#VALUE!</v>
      </c>
      <c r="CG63" s="688" t="e">
        <f aca="false">IF(CG58="","",CG58+CG59+CG60-CG61-CG62)</f>
        <v>#VALUE!</v>
      </c>
      <c r="CH63" s="688" t="e">
        <f aca="false">IF(CH58="","",CH58+CH59+CH60-CH61-CH62)</f>
        <v>#VALUE!</v>
      </c>
      <c r="CI63" s="688" t="e">
        <f aca="false">IF(CI58="","",CI58+CI59+CI60-CI61-CI62)</f>
        <v>#VALUE!</v>
      </c>
      <c r="CJ63" s="688" t="e">
        <f aca="false">IF(CJ58="","",CJ58+CJ59+CJ60-CJ61-CJ62)</f>
        <v>#VALUE!</v>
      </c>
      <c r="CK63" s="688" t="e">
        <f aca="false">IF(CK58="","",CK58+CK59+CK60-CK61-CK62)</f>
        <v>#VALUE!</v>
      </c>
      <c r="CL63" s="688" t="e">
        <f aca="false">IF(CL58="","",CL58+CL59+CL60-CL61-CL62)</f>
        <v>#VALUE!</v>
      </c>
      <c r="CM63" s="689" t="e">
        <f aca="false">IF(CM58="","",CM58+CM59+CM60-CM61-CM62)</f>
        <v>#VALUE!</v>
      </c>
      <c r="CN63" s="688" t="e">
        <f aca="false">IF(CN58="","",CN58+CN59+CN60-CN61-CN62)</f>
        <v>#VALUE!</v>
      </c>
      <c r="CO63" s="688" t="e">
        <f aca="false">IF(CO58="","",CO58+CO59+CO60-CO61-CO62)</f>
        <v>#VALUE!</v>
      </c>
      <c r="CP63" s="688" t="e">
        <f aca="false">IF(CP58="","",CP58+CP59+CP60-CP61-CP62)</f>
        <v>#VALUE!</v>
      </c>
      <c r="CQ63" s="688" t="e">
        <f aca="false">IF(CQ58="","",CQ58+CQ59+CQ60-CQ61-CQ62)</f>
        <v>#VALUE!</v>
      </c>
      <c r="CR63" s="688" t="e">
        <f aca="false">IF(CR58="","",CR58+CR59+CR60-CR61-CR62)</f>
        <v>#VALUE!</v>
      </c>
      <c r="CS63" s="688" t="e">
        <f aca="false">IF(CS58="","",CS58+CS59+CS60-CS61-CS62)</f>
        <v>#VALUE!</v>
      </c>
      <c r="CT63" s="688" t="e">
        <f aca="false">IF(CT58="","",CT58+CT59+CT60-CT61-CT62)</f>
        <v>#VALUE!</v>
      </c>
      <c r="CU63" s="688" t="e">
        <f aca="false">IF(CU58="","",CU58+CU59+CU60-CU61-CU62)</f>
        <v>#VALUE!</v>
      </c>
      <c r="CV63" s="688" t="e">
        <f aca="false">IF(CV58="","",CV58+CV59+CV60-CV61-CV62)</f>
        <v>#VALUE!</v>
      </c>
      <c r="CW63" s="688" t="e">
        <f aca="false">IF(CW58="","",CW58+CW59+CW60-CW61-CW62)</f>
        <v>#VALUE!</v>
      </c>
      <c r="CX63" s="688" t="e">
        <f aca="false">IF(CX58="","",CX58+CX59+CX60-CX61-CX62)</f>
        <v>#VALUE!</v>
      </c>
      <c r="CY63" s="689" t="e">
        <f aca="false">IF(CY58="","",CY58+CY59+CY60-CY61-CY62)</f>
        <v>#VALUE!</v>
      </c>
      <c r="CZ63" s="688" t="e">
        <f aca="false">IF(CZ58="","",CZ58+CZ59+CZ60-CZ61-CZ62)</f>
        <v>#VALUE!</v>
      </c>
      <c r="DA63" s="688" t="e">
        <f aca="false">IF(DA58="","",DA58+DA59+DA60-DA61-DA62)</f>
        <v>#VALUE!</v>
      </c>
      <c r="DB63" s="688" t="e">
        <f aca="false">IF(DB58="","",DB58+DB59+DB60-DB61-DB62)</f>
        <v>#VALUE!</v>
      </c>
      <c r="DC63" s="688" t="e">
        <f aca="false">IF(DC58="","",DC58+DC59+DC60-DC61-DC62)</f>
        <v>#VALUE!</v>
      </c>
      <c r="DD63" s="688" t="e">
        <f aca="false">IF(DD58="","",DD58+DD59+DD60-DD61-DD62)</f>
        <v>#VALUE!</v>
      </c>
      <c r="DE63" s="688" t="e">
        <f aca="false">IF(DE58="","",DE58+DE59+DE60-DE61-DE62)</f>
        <v>#VALUE!</v>
      </c>
      <c r="DF63" s="688" t="e">
        <f aca="false">IF(DF58="","",DF58+DF59+DF60-DF61-DF62)</f>
        <v>#VALUE!</v>
      </c>
      <c r="DG63" s="688" t="e">
        <f aca="false">IF(DG58="","",DG58+DG59+DG60-DG61-DG62)</f>
        <v>#VALUE!</v>
      </c>
      <c r="DH63" s="688" t="e">
        <f aca="false">IF(DH58="","",DH58+DH59+DH60-DH61-DH62)</f>
        <v>#VALUE!</v>
      </c>
      <c r="DI63" s="688" t="e">
        <f aca="false">IF(DI58="","",DI58+DI59+DI60-DI61-DI62)</f>
        <v>#VALUE!</v>
      </c>
      <c r="DJ63" s="688" t="e">
        <f aca="false">IF(DJ58="","",DJ58+DJ59+DJ60-DJ61-DJ62)</f>
        <v>#VALUE!</v>
      </c>
      <c r="DK63" s="689" t="e">
        <f aca="false">IF(DK58="","",DK58+DK59+DK60-DK61-DK62)</f>
        <v>#VALUE!</v>
      </c>
      <c r="DL63" s="688" t="e">
        <f aca="false">IF(DL58="","",DL58+DL59+DL60-DL61-DL62)</f>
        <v>#VALUE!</v>
      </c>
      <c r="DM63" s="688" t="e">
        <f aca="false">IF(DM58="","",DM58+DM59+DM60-DM61-DM62)</f>
        <v>#VALUE!</v>
      </c>
      <c r="DN63" s="688" t="e">
        <f aca="false">IF(DN58="","",DN58+DN59+DN60-DN61-DN62)</f>
        <v>#VALUE!</v>
      </c>
      <c r="DO63" s="688" t="e">
        <f aca="false">IF(DO58="","",DO58+DO59+DO60-DO61-DO62)</f>
        <v>#VALUE!</v>
      </c>
      <c r="DP63" s="688" t="e">
        <f aca="false">IF(DP58="","",DP58+DP59+DP60-DP61-DP62)</f>
        <v>#VALUE!</v>
      </c>
      <c r="DQ63" s="688" t="e">
        <f aca="false">IF(DQ58="","",DQ58+DQ59+DQ60-DQ61-DQ62)</f>
        <v>#VALUE!</v>
      </c>
      <c r="DR63" s="688" t="e">
        <f aca="false">IF(DR58="","",DR58+DR59+DR60-DR61-DR62)</f>
        <v>#VALUE!</v>
      </c>
      <c r="DS63" s="688" t="e">
        <f aca="false">IF(DS58="","",DS58+DS59+DS60-DS61-DS62)</f>
        <v>#VALUE!</v>
      </c>
      <c r="DT63" s="688" t="e">
        <f aca="false">IF(DT58="","",DT58+DT59+DT60-DT61-DT62)</f>
        <v>#VALUE!</v>
      </c>
      <c r="DU63" s="688" t="e">
        <f aca="false">IF(DU58="","",DU58+DU59+DU60-DU61-DU62)</f>
        <v>#VALUE!</v>
      </c>
      <c r="DV63" s="690" t="e">
        <f aca="false">IF(DV58="","",DV58+DV59+DV60-DV61-DV62)</f>
        <v>#VALUE!</v>
      </c>
    </row>
    <row r="64" s="715" customFormat="true" ht="13.5" hidden="true" customHeight="true" outlineLevel="1" collapsed="false">
      <c r="A64" s="659"/>
      <c r="B64" s="713" t="n">
        <f aca="false">C57</f>
        <v>0.12</v>
      </c>
      <c r="C64" s="659"/>
      <c r="D64" s="659"/>
      <c r="E64" s="714" t="e">
        <f aca="false">(IRR(F64:DV64,0.1/12)+1)^12-1</f>
        <v>#VALUE!</v>
      </c>
      <c r="F64" s="715" t="str">
        <f aca="false">IF(F58="","",-F60+F62)</f>
        <v/>
      </c>
      <c r="G64" s="716" t="e">
        <f aca="false">IF(G58="","",-G60+G61+G62)</f>
        <v>#VALUE!</v>
      </c>
      <c r="H64" s="715" t="e">
        <f aca="false">IF(H58="","",-H60+H61+H62)</f>
        <v>#VALUE!</v>
      </c>
      <c r="I64" s="715" t="e">
        <f aca="false">IF(I58="","",-I60+I61+I62)</f>
        <v>#VALUE!</v>
      </c>
      <c r="J64" s="715" t="e">
        <f aca="false">IF(J58="","",-J60+J61+J62)</f>
        <v>#VALUE!</v>
      </c>
      <c r="K64" s="715" t="e">
        <f aca="false">IF(K58="","",-K60+K61+K62)</f>
        <v>#VALUE!</v>
      </c>
      <c r="L64" s="715" t="e">
        <f aca="false">IF(L58="","",-L60+L61+L62)</f>
        <v>#VALUE!</v>
      </c>
      <c r="M64" s="715" t="e">
        <f aca="false">IF(M58="","",-M60+M61+M62)</f>
        <v>#VALUE!</v>
      </c>
      <c r="N64" s="715" t="e">
        <f aca="false">IF(N58="","",-N60+N61+N62)</f>
        <v>#VALUE!</v>
      </c>
      <c r="O64" s="715" t="e">
        <f aca="false">IF(O58="","",-O60+O61+O62)</f>
        <v>#VALUE!</v>
      </c>
      <c r="P64" s="715" t="e">
        <f aca="false">IF(P58="","",-P60+P61+P62)</f>
        <v>#VALUE!</v>
      </c>
      <c r="Q64" s="715" t="e">
        <f aca="false">IF(Q58="","",-Q60+Q61+Q62)</f>
        <v>#VALUE!</v>
      </c>
      <c r="R64" s="715" t="e">
        <f aca="false">IF(R58="","",-R60+R61+R62)</f>
        <v>#VALUE!</v>
      </c>
      <c r="S64" s="716" t="e">
        <f aca="false">IF(S58="","",-S60+S61+S62)</f>
        <v>#VALUE!</v>
      </c>
      <c r="T64" s="715" t="e">
        <f aca="false">IF(T58="","",-T60+T61+T62)</f>
        <v>#VALUE!</v>
      </c>
      <c r="U64" s="715" t="e">
        <f aca="false">IF(U58="","",-U60+U61+U62)</f>
        <v>#VALUE!</v>
      </c>
      <c r="V64" s="715" t="e">
        <f aca="false">IF(V58="","",-V60+V61+V62)</f>
        <v>#VALUE!</v>
      </c>
      <c r="W64" s="715" t="e">
        <f aca="false">IF(W58="","",-W60+W61+W62)</f>
        <v>#VALUE!</v>
      </c>
      <c r="X64" s="715" t="e">
        <f aca="false">IF(X58="","",-X60+X61+X62)</f>
        <v>#VALUE!</v>
      </c>
      <c r="Y64" s="715" t="e">
        <f aca="false">IF(Y58="","",-Y60+Y61+Y62)</f>
        <v>#VALUE!</v>
      </c>
      <c r="Z64" s="715" t="e">
        <f aca="false">IF(Z58="","",-Z60+Z61+Z62)</f>
        <v>#VALUE!</v>
      </c>
      <c r="AA64" s="715" t="e">
        <f aca="false">IF(AA58="","",-AA60+AA61+AA62)</f>
        <v>#VALUE!</v>
      </c>
      <c r="AB64" s="715" t="e">
        <f aca="false">IF(AB58="","",-AB60+AB61+AB62)</f>
        <v>#VALUE!</v>
      </c>
      <c r="AC64" s="715" t="e">
        <f aca="false">IF(AC58="","",-AC60+AC61+AC62)</f>
        <v>#VALUE!</v>
      </c>
      <c r="AD64" s="715" t="e">
        <f aca="false">IF(AD58="","",-AD60+AD61+AD62)</f>
        <v>#VALUE!</v>
      </c>
      <c r="AE64" s="716" t="e">
        <f aca="false">IF(AE58="","",-AE60+AE61+AE62)</f>
        <v>#VALUE!</v>
      </c>
      <c r="AF64" s="715" t="e">
        <f aca="false">IF(AF58="","",-AF60+AF61+AF62)</f>
        <v>#VALUE!</v>
      </c>
      <c r="AG64" s="715" t="e">
        <f aca="false">IF(AG58="","",-AG60+AG61+AG62)</f>
        <v>#VALUE!</v>
      </c>
      <c r="AH64" s="715" t="e">
        <f aca="false">IF(AH58="","",-AH60+AH61+AH62)</f>
        <v>#VALUE!</v>
      </c>
      <c r="AI64" s="715" t="e">
        <f aca="false">IF(AI58="","",-AI60+AI61+AI62)</f>
        <v>#VALUE!</v>
      </c>
      <c r="AJ64" s="715" t="e">
        <f aca="false">IF(AJ58="","",-AJ60+AJ61+AJ62)</f>
        <v>#VALUE!</v>
      </c>
      <c r="AK64" s="715" t="e">
        <f aca="false">IF(AK58="","",-AK60+AK61+AK62)</f>
        <v>#VALUE!</v>
      </c>
      <c r="AL64" s="715" t="e">
        <f aca="false">IF(AL58="","",-AL60+AL61+AL62)</f>
        <v>#VALUE!</v>
      </c>
      <c r="AM64" s="715" t="e">
        <f aca="false">IF(AM58="","",-AM60+AM61+AM62)</f>
        <v>#VALUE!</v>
      </c>
      <c r="AN64" s="715" t="e">
        <f aca="false">IF(AN58="","",-AN60+AN61+AN62)</f>
        <v>#VALUE!</v>
      </c>
      <c r="AO64" s="715" t="e">
        <f aca="false">IF(AO58="","",-AO60+AO61+AO62)</f>
        <v>#VALUE!</v>
      </c>
      <c r="AP64" s="715" t="e">
        <f aca="false">IF(AP58="","",-AP60+AP61+AP62)</f>
        <v>#VALUE!</v>
      </c>
      <c r="AQ64" s="716" t="e">
        <f aca="false">IF(AQ58="","",-AQ60+AQ61+AQ62)</f>
        <v>#VALUE!</v>
      </c>
      <c r="AR64" s="715" t="e">
        <f aca="false">IF(AR58="","",-AR60+AR61+AR62)</f>
        <v>#VALUE!</v>
      </c>
      <c r="AS64" s="715" t="e">
        <f aca="false">IF(AS58="","",-AS60+AS61+AS62)</f>
        <v>#VALUE!</v>
      </c>
      <c r="AT64" s="715" t="e">
        <f aca="false">IF(AT58="","",-AT60+AT61+AT62)</f>
        <v>#VALUE!</v>
      </c>
      <c r="AU64" s="715" t="e">
        <f aca="false">IF(AU58="","",-AU60+AU61+AU62)</f>
        <v>#VALUE!</v>
      </c>
      <c r="AV64" s="715" t="e">
        <f aca="false">IF(AV58="","",-AV60+AV61+AV62)</f>
        <v>#VALUE!</v>
      </c>
      <c r="AW64" s="715" t="e">
        <f aca="false">IF(AW58="","",-AW60+AW61+AW62)</f>
        <v>#VALUE!</v>
      </c>
      <c r="AX64" s="715" t="e">
        <f aca="false">IF(AX58="","",-AX60+AX61+AX62)</f>
        <v>#VALUE!</v>
      </c>
      <c r="AY64" s="715" t="e">
        <f aca="false">IF(AY58="","",-AY60+AY61+AY62)</f>
        <v>#VALUE!</v>
      </c>
      <c r="AZ64" s="715" t="e">
        <f aca="false">IF(AZ58="","",-AZ60+AZ61+AZ62)</f>
        <v>#VALUE!</v>
      </c>
      <c r="BA64" s="715" t="e">
        <f aca="false">IF(BA58="","",-BA60+BA61+BA62)</f>
        <v>#VALUE!</v>
      </c>
      <c r="BB64" s="715" t="e">
        <f aca="false">IF(BB58="","",-BB60+BB61+BB62)</f>
        <v>#VALUE!</v>
      </c>
      <c r="BC64" s="716" t="e">
        <f aca="false">IF(BC58="","",-BC60+BC61+BC62)</f>
        <v>#VALUE!</v>
      </c>
      <c r="BD64" s="715" t="e">
        <f aca="false">IF(BD58="","",-BD60+BD61+BD62)</f>
        <v>#VALUE!</v>
      </c>
      <c r="BE64" s="715" t="e">
        <f aca="false">IF(BE58="","",-BE60+BE61+BE62)</f>
        <v>#VALUE!</v>
      </c>
      <c r="BF64" s="715" t="e">
        <f aca="false">IF(BF58="","",-BF60+BF61+BF62)</f>
        <v>#VALUE!</v>
      </c>
      <c r="BG64" s="715" t="e">
        <f aca="false">IF(BG58="","",-BG60+BG61+BG62)</f>
        <v>#VALUE!</v>
      </c>
      <c r="BH64" s="715" t="e">
        <f aca="false">IF(BH58="","",-BH60+BH61+BH62)</f>
        <v>#VALUE!</v>
      </c>
      <c r="BI64" s="715" t="e">
        <f aca="false">IF(BI58="","",-BI60+BI61+BI62)</f>
        <v>#VALUE!</v>
      </c>
      <c r="BJ64" s="715" t="e">
        <f aca="false">IF(BJ58="","",-BJ60+BJ61+BJ62)</f>
        <v>#VALUE!</v>
      </c>
      <c r="BK64" s="715" t="e">
        <f aca="false">IF(BK58="","",-BK60+BK61+BK62)</f>
        <v>#VALUE!</v>
      </c>
      <c r="BL64" s="715" t="e">
        <f aca="false">IF(BL58="","",-BL60+BL61+BL62)</f>
        <v>#VALUE!</v>
      </c>
      <c r="BM64" s="715" t="e">
        <f aca="false">IF(BM58="","",-BM60+BM61+BM62)</f>
        <v>#VALUE!</v>
      </c>
      <c r="BN64" s="715" t="e">
        <f aca="false">IF(BN58="","",-BN60+BN61+BN62)</f>
        <v>#VALUE!</v>
      </c>
      <c r="BO64" s="716" t="e">
        <f aca="false">IF(BO58="","",-BO60+BO61+BO62)</f>
        <v>#VALUE!</v>
      </c>
      <c r="BP64" s="715" t="e">
        <f aca="false">IF(BP58="","",-BP60+BP61+BP62)</f>
        <v>#VALUE!</v>
      </c>
      <c r="BQ64" s="715" t="e">
        <f aca="false">IF(BQ58="","",-BQ60+BQ61+BQ62)</f>
        <v>#VALUE!</v>
      </c>
      <c r="BR64" s="715" t="e">
        <f aca="false">IF(BR58="","",-BR60+BR61+BR62)</f>
        <v>#VALUE!</v>
      </c>
      <c r="BS64" s="715" t="e">
        <f aca="false">IF(BS58="","",-BS60+BS61+BS62)</f>
        <v>#VALUE!</v>
      </c>
      <c r="BT64" s="715" t="e">
        <f aca="false">IF(BT58="","",-BT60+BT61+BT62)</f>
        <v>#VALUE!</v>
      </c>
      <c r="BU64" s="715" t="e">
        <f aca="false">IF(BU58="","",-BU60+BU61+BU62)</f>
        <v>#VALUE!</v>
      </c>
      <c r="BV64" s="715" t="e">
        <f aca="false">IF(BV58="","",-BV60+BV61+BV62)</f>
        <v>#VALUE!</v>
      </c>
      <c r="BW64" s="715" t="e">
        <f aca="false">IF(BW58="","",-BW60+BW61+BW62)</f>
        <v>#VALUE!</v>
      </c>
      <c r="BX64" s="715" t="e">
        <f aca="false">IF(BX58="","",-BX60+BX61+BX62)</f>
        <v>#VALUE!</v>
      </c>
      <c r="BY64" s="715" t="e">
        <f aca="false">IF(BY58="","",-BY60+BY61+BY62)</f>
        <v>#VALUE!</v>
      </c>
      <c r="BZ64" s="715" t="e">
        <f aca="false">IF(BZ58="","",-BZ60+BZ61+BZ62)</f>
        <v>#VALUE!</v>
      </c>
      <c r="CA64" s="716" t="e">
        <f aca="false">IF(CA58="","",-CA60+CA61+CA62)</f>
        <v>#VALUE!</v>
      </c>
      <c r="CB64" s="715" t="e">
        <f aca="false">IF(CB58="","",-CB60+CB61+CB62)</f>
        <v>#VALUE!</v>
      </c>
      <c r="CC64" s="715" t="e">
        <f aca="false">IF(CC58="","",-CC60+CC61+CC62)</f>
        <v>#VALUE!</v>
      </c>
      <c r="CD64" s="715" t="e">
        <f aca="false">IF(CD58="","",-CD60+CD61+CD62)</f>
        <v>#VALUE!</v>
      </c>
      <c r="CE64" s="715" t="e">
        <f aca="false">IF(CE58="","",-CE60+CE61+CE62)</f>
        <v>#VALUE!</v>
      </c>
      <c r="CF64" s="715" t="e">
        <f aca="false">IF(CF58="","",-CF60+CF61+CF62)</f>
        <v>#VALUE!</v>
      </c>
      <c r="CG64" s="715" t="e">
        <f aca="false">IF(CG58="","",-CG60+CG61+CG62)</f>
        <v>#VALUE!</v>
      </c>
      <c r="CH64" s="715" t="e">
        <f aca="false">IF(CH58="","",-CH60+CH61+CH62)</f>
        <v>#VALUE!</v>
      </c>
      <c r="CI64" s="715" t="e">
        <f aca="false">IF(CI58="","",-CI60+CI61+CI62)</f>
        <v>#VALUE!</v>
      </c>
      <c r="CJ64" s="715" t="e">
        <f aca="false">IF(CJ58="","",-CJ60+CJ61+CJ62)</f>
        <v>#VALUE!</v>
      </c>
      <c r="CK64" s="715" t="e">
        <f aca="false">IF(CK58="","",-CK60+CK61+CK62)</f>
        <v>#VALUE!</v>
      </c>
      <c r="CL64" s="715" t="e">
        <f aca="false">IF(CL58="","",-CL60+CL61+CL62)</f>
        <v>#VALUE!</v>
      </c>
      <c r="CM64" s="716" t="e">
        <f aca="false">IF(CM58="","",-CM60+CM61+CM62)</f>
        <v>#VALUE!</v>
      </c>
      <c r="CN64" s="715" t="e">
        <f aca="false">IF(CN58="","",-CN60+CN61+CN62)</f>
        <v>#VALUE!</v>
      </c>
      <c r="CO64" s="715" t="e">
        <f aca="false">IF(CO58="","",-CO60+CO61+CO62)</f>
        <v>#VALUE!</v>
      </c>
      <c r="CP64" s="715" t="e">
        <f aca="false">IF(CP58="","",-CP60+CP61+CP62)</f>
        <v>#VALUE!</v>
      </c>
      <c r="CQ64" s="715" t="e">
        <f aca="false">IF(CQ58="","",-CQ60+CQ61+CQ62)</f>
        <v>#VALUE!</v>
      </c>
      <c r="CR64" s="715" t="e">
        <f aca="false">IF(CR58="","",-CR60+CR61+CR62)</f>
        <v>#VALUE!</v>
      </c>
      <c r="CS64" s="715" t="e">
        <f aca="false">IF(CS58="","",-CS60+CS61+CS62)</f>
        <v>#VALUE!</v>
      </c>
      <c r="CT64" s="715" t="e">
        <f aca="false">IF(CT58="","",-CT60+CT61+CT62)</f>
        <v>#VALUE!</v>
      </c>
      <c r="CU64" s="715" t="e">
        <f aca="false">IF(CU58="","",-CU60+CU61+CU62)</f>
        <v>#VALUE!</v>
      </c>
      <c r="CV64" s="715" t="e">
        <f aca="false">IF(CV58="","",-CV60+CV61+CV62)</f>
        <v>#VALUE!</v>
      </c>
      <c r="CW64" s="715" t="e">
        <f aca="false">IF(CW58="","",-CW60+CW61+CW62)</f>
        <v>#VALUE!</v>
      </c>
      <c r="CX64" s="715" t="e">
        <f aca="false">IF(CX58="","",-CX60+CX61+CX62)</f>
        <v>#VALUE!</v>
      </c>
      <c r="CY64" s="716" t="e">
        <f aca="false">IF(CY58="","",-CY60+CY61+CY62)</f>
        <v>#VALUE!</v>
      </c>
      <c r="CZ64" s="715" t="e">
        <f aca="false">IF(CZ58="","",-CZ60+CZ61+CZ62)</f>
        <v>#VALUE!</v>
      </c>
      <c r="DA64" s="715" t="e">
        <f aca="false">IF(DA58="","",-DA60+DA61+DA62)</f>
        <v>#VALUE!</v>
      </c>
      <c r="DB64" s="715" t="e">
        <f aca="false">IF(DB58="","",-DB60+DB61+DB62)</f>
        <v>#VALUE!</v>
      </c>
      <c r="DC64" s="715" t="e">
        <f aca="false">IF(DC58="","",-DC60+DC61+DC62)</f>
        <v>#VALUE!</v>
      </c>
      <c r="DD64" s="715" t="e">
        <f aca="false">IF(DD58="","",-DD60+DD61+DD62)</f>
        <v>#VALUE!</v>
      </c>
      <c r="DE64" s="715" t="e">
        <f aca="false">IF(DE58="","",-DE60+DE61+DE62)</f>
        <v>#VALUE!</v>
      </c>
      <c r="DF64" s="715" t="e">
        <f aca="false">IF(DF58="","",-DF60+DF61+DF62)</f>
        <v>#VALUE!</v>
      </c>
      <c r="DG64" s="715" t="e">
        <f aca="false">IF(DG58="","",-DG60+DG61+DG62)</f>
        <v>#VALUE!</v>
      </c>
      <c r="DH64" s="715" t="e">
        <f aca="false">IF(DH58="","",-DH60+DH61+DH62)</f>
        <v>#VALUE!</v>
      </c>
      <c r="DI64" s="715" t="e">
        <f aca="false">IF(DI58="","",-DI60+DI61+DI62)</f>
        <v>#VALUE!</v>
      </c>
      <c r="DJ64" s="715" t="e">
        <f aca="false">IF(DJ58="","",-DJ60+DJ61+DJ62)</f>
        <v>#VALUE!</v>
      </c>
      <c r="DK64" s="716" t="e">
        <f aca="false">IF(DK58="","",-DK60+DK61+DK62)</f>
        <v>#VALUE!</v>
      </c>
      <c r="DL64" s="715" t="e">
        <f aca="false">IF(DL58="","",-DL60+DL61+DL62)</f>
        <v>#VALUE!</v>
      </c>
      <c r="DM64" s="715" t="e">
        <f aca="false">IF(DM58="","",-DM60+DM61+DM62)</f>
        <v>#VALUE!</v>
      </c>
      <c r="DN64" s="715" t="e">
        <f aca="false">IF(DN58="","",-DN60+DN61+DN62)</f>
        <v>#VALUE!</v>
      </c>
      <c r="DO64" s="715" t="e">
        <f aca="false">IF(DO58="","",-DO60+DO61+DO62)</f>
        <v>#VALUE!</v>
      </c>
      <c r="DP64" s="715" t="e">
        <f aca="false">IF(DP58="","",-DP60+DP61+DP62)</f>
        <v>#VALUE!</v>
      </c>
      <c r="DQ64" s="715" t="e">
        <f aca="false">IF(DQ58="","",-DQ60+DQ61+DQ62)</f>
        <v>#VALUE!</v>
      </c>
      <c r="DR64" s="715" t="e">
        <f aca="false">IF(DR58="","",-DR60+DR61+DR62)</f>
        <v>#VALUE!</v>
      </c>
      <c r="DS64" s="715" t="e">
        <f aca="false">IF(DS58="","",-DS60+DS61+DS62)</f>
        <v>#VALUE!</v>
      </c>
      <c r="DT64" s="715" t="e">
        <f aca="false">IF(DT58="","",-DT60+DT61+DT62)</f>
        <v>#VALUE!</v>
      </c>
      <c r="DU64" s="715" t="e">
        <f aca="false">IF(DU58="","",-DU60+DU61+DU62)</f>
        <v>#VALUE!</v>
      </c>
      <c r="DV64" s="717" t="e">
        <f aca="false">IF(DV58="","",-DV60+DV61+DV62)</f>
        <v>#VALUE!</v>
      </c>
    </row>
    <row r="65" s="683" customFormat="true" ht="13.5" hidden="false" customHeight="true" outlineLevel="0" collapsed="false">
      <c r="A65" s="236"/>
      <c r="B65" s="69" t="s">
        <v>650</v>
      </c>
      <c r="C65" s="242"/>
      <c r="D65" s="242"/>
      <c r="E65" s="242"/>
      <c r="F65" s="688" t="str">
        <f aca="false">IF(F58="","",F62)</f>
        <v/>
      </c>
      <c r="G65" s="689" t="e">
        <f aca="false">IF(G58="","",G62)</f>
        <v>#VALUE!</v>
      </c>
      <c r="H65" s="688" t="e">
        <f aca="false">IF(H58="","",H62)</f>
        <v>#VALUE!</v>
      </c>
      <c r="I65" s="688" t="e">
        <f aca="false">IF(I58="","",I62)</f>
        <v>#VALUE!</v>
      </c>
      <c r="J65" s="688" t="e">
        <f aca="false">IF(J58="","",J62)</f>
        <v>#VALUE!</v>
      </c>
      <c r="K65" s="688" t="e">
        <f aca="false">IF(K58="","",K62)</f>
        <v>#VALUE!</v>
      </c>
      <c r="L65" s="688" t="e">
        <f aca="false">IF(L58="","",L62)</f>
        <v>#VALUE!</v>
      </c>
      <c r="M65" s="688" t="e">
        <f aca="false">IF(M58="","",M62)</f>
        <v>#VALUE!</v>
      </c>
      <c r="N65" s="688" t="e">
        <f aca="false">IF(N58="","",N62)</f>
        <v>#VALUE!</v>
      </c>
      <c r="O65" s="688" t="e">
        <f aca="false">IF(O58="","",O62)</f>
        <v>#VALUE!</v>
      </c>
      <c r="P65" s="688" t="e">
        <f aca="false">IF(P58="","",P62)</f>
        <v>#VALUE!</v>
      </c>
      <c r="Q65" s="688" t="e">
        <f aca="false">IF(Q58="","",Q62)</f>
        <v>#VALUE!</v>
      </c>
      <c r="R65" s="688" t="e">
        <f aca="false">IF(R58="","",R62)</f>
        <v>#VALUE!</v>
      </c>
      <c r="S65" s="689" t="e">
        <f aca="false">IF(S58="","",S62)</f>
        <v>#VALUE!</v>
      </c>
      <c r="T65" s="688" t="e">
        <f aca="false">IF(T58="","",T62)</f>
        <v>#VALUE!</v>
      </c>
      <c r="U65" s="688" t="e">
        <f aca="false">IF(U58="","",U62)</f>
        <v>#VALUE!</v>
      </c>
      <c r="V65" s="688" t="e">
        <f aca="false">IF(V58="","",V62)</f>
        <v>#VALUE!</v>
      </c>
      <c r="W65" s="688" t="e">
        <f aca="false">IF(W58="","",W62)</f>
        <v>#VALUE!</v>
      </c>
      <c r="X65" s="688" t="e">
        <f aca="false">IF(X58="","",X62)</f>
        <v>#VALUE!</v>
      </c>
      <c r="Y65" s="688" t="e">
        <f aca="false">IF(Y58="","",Y62)</f>
        <v>#VALUE!</v>
      </c>
      <c r="Z65" s="688" t="e">
        <f aca="false">IF(Z58="","",Z62)</f>
        <v>#VALUE!</v>
      </c>
      <c r="AA65" s="688" t="e">
        <f aca="false">IF(AA58="","",AA62)</f>
        <v>#VALUE!</v>
      </c>
      <c r="AB65" s="688" t="e">
        <f aca="false">IF(AB58="","",AB62)</f>
        <v>#VALUE!</v>
      </c>
      <c r="AC65" s="688" t="e">
        <f aca="false">IF(AC58="","",AC62)</f>
        <v>#VALUE!</v>
      </c>
      <c r="AD65" s="688" t="e">
        <f aca="false">IF(AD58="","",AD62)</f>
        <v>#VALUE!</v>
      </c>
      <c r="AE65" s="689" t="e">
        <f aca="false">IF(AE58="","",AE62)</f>
        <v>#VALUE!</v>
      </c>
      <c r="AF65" s="688" t="e">
        <f aca="false">IF(AF58="","",AF62)</f>
        <v>#VALUE!</v>
      </c>
      <c r="AG65" s="688" t="e">
        <f aca="false">IF(AG58="","",AG62)</f>
        <v>#VALUE!</v>
      </c>
      <c r="AH65" s="688" t="e">
        <f aca="false">IF(AH58="","",AH62)</f>
        <v>#VALUE!</v>
      </c>
      <c r="AI65" s="688" t="e">
        <f aca="false">IF(AI58="","",AI62)</f>
        <v>#VALUE!</v>
      </c>
      <c r="AJ65" s="688" t="e">
        <f aca="false">IF(AJ58="","",AJ62)</f>
        <v>#VALUE!</v>
      </c>
      <c r="AK65" s="688" t="e">
        <f aca="false">IF(AK58="","",AK62)</f>
        <v>#VALUE!</v>
      </c>
      <c r="AL65" s="688" t="e">
        <f aca="false">IF(AL58="","",AL62)</f>
        <v>#VALUE!</v>
      </c>
      <c r="AM65" s="688" t="e">
        <f aca="false">IF(AM58="","",AM62)</f>
        <v>#VALUE!</v>
      </c>
      <c r="AN65" s="688" t="e">
        <f aca="false">IF(AN58="","",AN62)</f>
        <v>#VALUE!</v>
      </c>
      <c r="AO65" s="688" t="e">
        <f aca="false">IF(AO58="","",AO62)</f>
        <v>#VALUE!</v>
      </c>
      <c r="AP65" s="688" t="e">
        <f aca="false">IF(AP58="","",AP62)</f>
        <v>#VALUE!</v>
      </c>
      <c r="AQ65" s="689" t="e">
        <f aca="false">IF(AQ58="","",AQ62)</f>
        <v>#VALUE!</v>
      </c>
      <c r="AR65" s="688" t="e">
        <f aca="false">IF(AR58="","",AR62)</f>
        <v>#VALUE!</v>
      </c>
      <c r="AS65" s="688" t="e">
        <f aca="false">IF(AS58="","",AS62)</f>
        <v>#VALUE!</v>
      </c>
      <c r="AT65" s="688" t="e">
        <f aca="false">IF(AT58="","",AT62)</f>
        <v>#VALUE!</v>
      </c>
      <c r="AU65" s="688" t="e">
        <f aca="false">IF(AU58="","",AU62)</f>
        <v>#VALUE!</v>
      </c>
      <c r="AV65" s="688" t="e">
        <f aca="false">IF(AV58="","",AV62)</f>
        <v>#VALUE!</v>
      </c>
      <c r="AW65" s="688" t="e">
        <f aca="false">IF(AW58="","",AW62)</f>
        <v>#VALUE!</v>
      </c>
      <c r="AX65" s="688" t="e">
        <f aca="false">IF(AX58="","",AX62)</f>
        <v>#VALUE!</v>
      </c>
      <c r="AY65" s="688" t="e">
        <f aca="false">IF(AY58="","",AY62)</f>
        <v>#VALUE!</v>
      </c>
      <c r="AZ65" s="688" t="e">
        <f aca="false">IF(AZ58="","",AZ62)</f>
        <v>#VALUE!</v>
      </c>
      <c r="BA65" s="688" t="e">
        <f aca="false">IF(BA58="","",BA62)</f>
        <v>#VALUE!</v>
      </c>
      <c r="BB65" s="688" t="e">
        <f aca="false">IF(BB58="","",BB62)</f>
        <v>#VALUE!</v>
      </c>
      <c r="BC65" s="689" t="e">
        <f aca="false">IF(BC58="","",BC62)</f>
        <v>#VALUE!</v>
      </c>
      <c r="BD65" s="688" t="e">
        <f aca="false">IF(BD58="","",BD62)</f>
        <v>#VALUE!</v>
      </c>
      <c r="BE65" s="688" t="e">
        <f aca="false">IF(BE58="","",BE62)</f>
        <v>#VALUE!</v>
      </c>
      <c r="BF65" s="688" t="e">
        <f aca="false">IF(BF58="","",BF62)</f>
        <v>#VALUE!</v>
      </c>
      <c r="BG65" s="688" t="e">
        <f aca="false">IF(BG58="","",BG62)</f>
        <v>#VALUE!</v>
      </c>
      <c r="BH65" s="688" t="e">
        <f aca="false">IF(BH58="","",BH62)</f>
        <v>#VALUE!</v>
      </c>
      <c r="BI65" s="688" t="e">
        <f aca="false">IF(BI58="","",BI62)</f>
        <v>#VALUE!</v>
      </c>
      <c r="BJ65" s="688" t="e">
        <f aca="false">IF(BJ58="","",BJ62)</f>
        <v>#VALUE!</v>
      </c>
      <c r="BK65" s="688" t="e">
        <f aca="false">IF(BK58="","",BK62)</f>
        <v>#VALUE!</v>
      </c>
      <c r="BL65" s="688" t="e">
        <f aca="false">IF(BL58="","",BL62)</f>
        <v>#VALUE!</v>
      </c>
      <c r="BM65" s="688" t="e">
        <f aca="false">IF(BM58="","",BM62)</f>
        <v>#VALUE!</v>
      </c>
      <c r="BN65" s="688" t="e">
        <f aca="false">IF(BN58="","",BN62)</f>
        <v>#VALUE!</v>
      </c>
      <c r="BO65" s="689" t="e">
        <f aca="false">IF(BO58="","",BO62)</f>
        <v>#VALUE!</v>
      </c>
      <c r="BP65" s="688" t="e">
        <f aca="false">IF(BP58="","",BP62)</f>
        <v>#VALUE!</v>
      </c>
      <c r="BQ65" s="688" t="e">
        <f aca="false">IF(BQ58="","",BQ62)</f>
        <v>#VALUE!</v>
      </c>
      <c r="BR65" s="688" t="e">
        <f aca="false">IF(BR58="","",BR62)</f>
        <v>#VALUE!</v>
      </c>
      <c r="BS65" s="688" t="e">
        <f aca="false">IF(BS58="","",BS62)</f>
        <v>#VALUE!</v>
      </c>
      <c r="BT65" s="688" t="e">
        <f aca="false">IF(BT58="","",BT62)</f>
        <v>#VALUE!</v>
      </c>
      <c r="BU65" s="688" t="e">
        <f aca="false">IF(BU58="","",BU62)</f>
        <v>#VALUE!</v>
      </c>
      <c r="BV65" s="688" t="e">
        <f aca="false">IF(BV58="","",BV62)</f>
        <v>#VALUE!</v>
      </c>
      <c r="BW65" s="688" t="e">
        <f aca="false">IF(BW58="","",BW62)</f>
        <v>#VALUE!</v>
      </c>
      <c r="BX65" s="688" t="e">
        <f aca="false">IF(BX58="","",BX62)</f>
        <v>#VALUE!</v>
      </c>
      <c r="BY65" s="688" t="e">
        <f aca="false">IF(BY58="","",BY62)</f>
        <v>#VALUE!</v>
      </c>
      <c r="BZ65" s="688" t="e">
        <f aca="false">IF(BZ58="","",BZ62)</f>
        <v>#VALUE!</v>
      </c>
      <c r="CA65" s="689" t="e">
        <f aca="false">IF(CA58="","",CA62)</f>
        <v>#VALUE!</v>
      </c>
      <c r="CB65" s="688" t="e">
        <f aca="false">IF(CB58="","",CB62)</f>
        <v>#VALUE!</v>
      </c>
      <c r="CC65" s="688" t="e">
        <f aca="false">IF(CC58="","",CC62)</f>
        <v>#VALUE!</v>
      </c>
      <c r="CD65" s="688" t="e">
        <f aca="false">IF(CD58="","",CD62)</f>
        <v>#VALUE!</v>
      </c>
      <c r="CE65" s="688" t="e">
        <f aca="false">IF(CE58="","",CE62)</f>
        <v>#VALUE!</v>
      </c>
      <c r="CF65" s="688" t="e">
        <f aca="false">IF(CF58="","",CF62)</f>
        <v>#VALUE!</v>
      </c>
      <c r="CG65" s="688" t="e">
        <f aca="false">IF(CG58="","",CG62)</f>
        <v>#VALUE!</v>
      </c>
      <c r="CH65" s="688" t="e">
        <f aca="false">IF(CH58="","",CH62)</f>
        <v>#VALUE!</v>
      </c>
      <c r="CI65" s="688" t="e">
        <f aca="false">IF(CI58="","",CI62)</f>
        <v>#VALUE!</v>
      </c>
      <c r="CJ65" s="688" t="e">
        <f aca="false">IF(CJ58="","",CJ62)</f>
        <v>#VALUE!</v>
      </c>
      <c r="CK65" s="688" t="e">
        <f aca="false">IF(CK58="","",CK62)</f>
        <v>#VALUE!</v>
      </c>
      <c r="CL65" s="688" t="e">
        <f aca="false">IF(CL58="","",CL62)</f>
        <v>#VALUE!</v>
      </c>
      <c r="CM65" s="689" t="e">
        <f aca="false">IF(CM58="","",CM62)</f>
        <v>#VALUE!</v>
      </c>
      <c r="CN65" s="688" t="e">
        <f aca="false">IF(CN58="","",CN62)</f>
        <v>#VALUE!</v>
      </c>
      <c r="CO65" s="688" t="e">
        <f aca="false">IF(CO58="","",CO62)</f>
        <v>#VALUE!</v>
      </c>
      <c r="CP65" s="688" t="e">
        <f aca="false">IF(CP58="","",CP62)</f>
        <v>#VALUE!</v>
      </c>
      <c r="CQ65" s="688" t="e">
        <f aca="false">IF(CQ58="","",CQ62)</f>
        <v>#VALUE!</v>
      </c>
      <c r="CR65" s="688" t="e">
        <f aca="false">IF(CR58="","",CR62)</f>
        <v>#VALUE!</v>
      </c>
      <c r="CS65" s="688" t="e">
        <f aca="false">IF(CS58="","",CS62)</f>
        <v>#VALUE!</v>
      </c>
      <c r="CT65" s="688" t="e">
        <f aca="false">IF(CT58="","",CT62)</f>
        <v>#VALUE!</v>
      </c>
      <c r="CU65" s="688" t="e">
        <f aca="false">IF(CU58="","",CU62)</f>
        <v>#VALUE!</v>
      </c>
      <c r="CV65" s="688" t="e">
        <f aca="false">IF(CV58="","",CV62)</f>
        <v>#VALUE!</v>
      </c>
      <c r="CW65" s="688" t="e">
        <f aca="false">IF(CW58="","",CW62)</f>
        <v>#VALUE!</v>
      </c>
      <c r="CX65" s="688" t="e">
        <f aca="false">IF(CX58="","",CX62)</f>
        <v>#VALUE!</v>
      </c>
      <c r="CY65" s="689" t="e">
        <f aca="false">IF(CY58="","",CY62)</f>
        <v>#VALUE!</v>
      </c>
      <c r="CZ65" s="688" t="e">
        <f aca="false">IF(CZ58="","",CZ62)</f>
        <v>#VALUE!</v>
      </c>
      <c r="DA65" s="688" t="e">
        <f aca="false">IF(DA58="","",DA62)</f>
        <v>#VALUE!</v>
      </c>
      <c r="DB65" s="688" t="e">
        <f aca="false">IF(DB58="","",DB62)</f>
        <v>#VALUE!</v>
      </c>
      <c r="DC65" s="688" t="e">
        <f aca="false">IF(DC58="","",DC62)</f>
        <v>#VALUE!</v>
      </c>
      <c r="DD65" s="688" t="e">
        <f aca="false">IF(DD58="","",DD62)</f>
        <v>#VALUE!</v>
      </c>
      <c r="DE65" s="688" t="e">
        <f aca="false">IF(DE58="","",DE62)</f>
        <v>#VALUE!</v>
      </c>
      <c r="DF65" s="688" t="e">
        <f aca="false">IF(DF58="","",DF62)</f>
        <v>#VALUE!</v>
      </c>
      <c r="DG65" s="688" t="e">
        <f aca="false">IF(DG58="","",DG62)</f>
        <v>#VALUE!</v>
      </c>
      <c r="DH65" s="688" t="e">
        <f aca="false">IF(DH58="","",DH62)</f>
        <v>#VALUE!</v>
      </c>
      <c r="DI65" s="688" t="e">
        <f aca="false">IF(DI58="","",DI62)</f>
        <v>#VALUE!</v>
      </c>
      <c r="DJ65" s="688" t="e">
        <f aca="false">IF(DJ58="","",DJ62)</f>
        <v>#VALUE!</v>
      </c>
      <c r="DK65" s="689" t="e">
        <f aca="false">IF(DK58="","",DK62)</f>
        <v>#VALUE!</v>
      </c>
      <c r="DL65" s="688" t="e">
        <f aca="false">IF(DL58="","",DL62)</f>
        <v>#VALUE!</v>
      </c>
      <c r="DM65" s="688" t="e">
        <f aca="false">IF(DM58="","",DM62)</f>
        <v>#VALUE!</v>
      </c>
      <c r="DN65" s="688" t="e">
        <f aca="false">IF(DN58="","",DN62)</f>
        <v>#VALUE!</v>
      </c>
      <c r="DO65" s="688" t="e">
        <f aca="false">IF(DO58="","",DO62)</f>
        <v>#VALUE!</v>
      </c>
      <c r="DP65" s="688" t="e">
        <f aca="false">IF(DP58="","",DP62)</f>
        <v>#VALUE!</v>
      </c>
      <c r="DQ65" s="688" t="e">
        <f aca="false">IF(DQ58="","",DQ62)</f>
        <v>#VALUE!</v>
      </c>
      <c r="DR65" s="688" t="e">
        <f aca="false">IF(DR58="","",DR62)</f>
        <v>#VALUE!</v>
      </c>
      <c r="DS65" s="688" t="e">
        <f aca="false">IF(DS58="","",DS62)</f>
        <v>#VALUE!</v>
      </c>
      <c r="DT65" s="688" t="e">
        <f aca="false">IF(DT58="","",DT62)</f>
        <v>#VALUE!</v>
      </c>
      <c r="DU65" s="688" t="e">
        <f aca="false">IF(DU58="","",DU62)</f>
        <v>#VALUE!</v>
      </c>
      <c r="DV65" s="690" t="e">
        <f aca="false">IF(DV58="","",DV62)</f>
        <v>#VALUE!</v>
      </c>
    </row>
    <row r="66" s="683" customFormat="true" ht="13.5" hidden="false" customHeight="true" outlineLevel="0" collapsed="false">
      <c r="A66" s="236"/>
      <c r="B66" s="69" t="s">
        <v>651</v>
      </c>
      <c r="C66" s="242"/>
      <c r="D66" s="242"/>
      <c r="E66" s="665"/>
      <c r="F66" s="688" t="str">
        <f aca="false">IF(F58="","",F65/'Executive Summary'!$T$22*'Executive Summary'!$S$22)</f>
        <v/>
      </c>
      <c r="G66" s="689" t="e">
        <f aca="false">IF(G58="","",G65/'Executive Summary'!$T$22*'Executive Summary'!$S$22)</f>
        <v>#VALUE!</v>
      </c>
      <c r="H66" s="688" t="e">
        <f aca="false">IF(H58="","",H65/'Executive Summary'!$T$22*'Executive Summary'!$S$22)</f>
        <v>#VALUE!</v>
      </c>
      <c r="I66" s="688" t="e">
        <f aca="false">IF(I58="","",I65/'Executive Summary'!$T$22*'Executive Summary'!$S$22)</f>
        <v>#VALUE!</v>
      </c>
      <c r="J66" s="688" t="e">
        <f aca="false">IF(J58="","",J65/'Executive Summary'!$T$22*'Executive Summary'!$S$22)</f>
        <v>#VALUE!</v>
      </c>
      <c r="K66" s="688" t="e">
        <f aca="false">IF(K58="","",K65/'Executive Summary'!$T$22*'Executive Summary'!$S$22)</f>
        <v>#VALUE!</v>
      </c>
      <c r="L66" s="688" t="e">
        <f aca="false">IF(L58="","",L65/'Executive Summary'!$T$22*'Executive Summary'!$S$22)</f>
        <v>#VALUE!</v>
      </c>
      <c r="M66" s="688" t="e">
        <f aca="false">IF(M58="","",M65/'Executive Summary'!$T$22*'Executive Summary'!$S$22)</f>
        <v>#VALUE!</v>
      </c>
      <c r="N66" s="688" t="e">
        <f aca="false">IF(N58="","",N65/'Executive Summary'!$T$22*'Executive Summary'!$S$22)</f>
        <v>#VALUE!</v>
      </c>
      <c r="O66" s="688" t="e">
        <f aca="false">IF(O58="","",O65/'Executive Summary'!$T$22*'Executive Summary'!$S$22)</f>
        <v>#VALUE!</v>
      </c>
      <c r="P66" s="688" t="e">
        <f aca="false">IF(P58="","",P65/'Executive Summary'!$T$22*'Executive Summary'!$S$22)</f>
        <v>#VALUE!</v>
      </c>
      <c r="Q66" s="688" t="e">
        <f aca="false">IF(Q58="","",Q65/'Executive Summary'!$T$22*'Executive Summary'!$S$22)</f>
        <v>#VALUE!</v>
      </c>
      <c r="R66" s="688" t="e">
        <f aca="false">IF(R58="","",R65/'Executive Summary'!$T$22*'Executive Summary'!$S$22)</f>
        <v>#VALUE!</v>
      </c>
      <c r="S66" s="689" t="e">
        <f aca="false">IF(S58="","",S65/'Executive Summary'!$T$22*'Executive Summary'!$S$22)</f>
        <v>#VALUE!</v>
      </c>
      <c r="T66" s="688" t="e">
        <f aca="false">IF(T58="","",T65/'Executive Summary'!$T$22*'Executive Summary'!$S$22)</f>
        <v>#VALUE!</v>
      </c>
      <c r="U66" s="688" t="e">
        <f aca="false">IF(U58="","",U65/'Executive Summary'!$T$22*'Executive Summary'!$S$22)</f>
        <v>#VALUE!</v>
      </c>
      <c r="V66" s="688" t="e">
        <f aca="false">IF(V58="","",V65/'Executive Summary'!$T$22*'Executive Summary'!$S$22)</f>
        <v>#VALUE!</v>
      </c>
      <c r="W66" s="688" t="e">
        <f aca="false">IF(W58="","",W65/'Executive Summary'!$T$22*'Executive Summary'!$S$22)</f>
        <v>#VALUE!</v>
      </c>
      <c r="X66" s="688" t="e">
        <f aca="false">IF(X58="","",X65/'Executive Summary'!$T$22*'Executive Summary'!$S$22)</f>
        <v>#VALUE!</v>
      </c>
      <c r="Y66" s="688" t="e">
        <f aca="false">IF(Y58="","",Y65/'Executive Summary'!$T$22*'Executive Summary'!$S$22)</f>
        <v>#VALUE!</v>
      </c>
      <c r="Z66" s="688" t="e">
        <f aca="false">IF(Z58="","",Z65/'Executive Summary'!$T$22*'Executive Summary'!$S$22)</f>
        <v>#VALUE!</v>
      </c>
      <c r="AA66" s="688" t="e">
        <f aca="false">IF(AA58="","",AA65/'Executive Summary'!$T$22*'Executive Summary'!$S$22)</f>
        <v>#VALUE!</v>
      </c>
      <c r="AB66" s="688" t="e">
        <f aca="false">IF(AB58="","",AB65/'Executive Summary'!$T$22*'Executive Summary'!$S$22)</f>
        <v>#VALUE!</v>
      </c>
      <c r="AC66" s="688" t="e">
        <f aca="false">IF(AC58="","",AC65/'Executive Summary'!$T$22*'Executive Summary'!$S$22)</f>
        <v>#VALUE!</v>
      </c>
      <c r="AD66" s="688" t="e">
        <f aca="false">IF(AD58="","",AD65/'Executive Summary'!$T$22*'Executive Summary'!$S$22)</f>
        <v>#VALUE!</v>
      </c>
      <c r="AE66" s="689" t="e">
        <f aca="false">IF(AE58="","",AE65/'Executive Summary'!$T$22*'Executive Summary'!$S$22)</f>
        <v>#VALUE!</v>
      </c>
      <c r="AF66" s="688" t="e">
        <f aca="false">IF(AF58="","",AF65/'Executive Summary'!$T$22*'Executive Summary'!$S$22)</f>
        <v>#VALUE!</v>
      </c>
      <c r="AG66" s="688" t="e">
        <f aca="false">IF(AG58="","",AG65/'Executive Summary'!$T$22*'Executive Summary'!$S$22)</f>
        <v>#VALUE!</v>
      </c>
      <c r="AH66" s="688" t="e">
        <f aca="false">IF(AH58="","",AH65/'Executive Summary'!$T$22*'Executive Summary'!$S$22)</f>
        <v>#VALUE!</v>
      </c>
      <c r="AI66" s="688" t="e">
        <f aca="false">IF(AI58="","",AI65/'Executive Summary'!$T$22*'Executive Summary'!$S$22)</f>
        <v>#VALUE!</v>
      </c>
      <c r="AJ66" s="688" t="e">
        <f aca="false">IF(AJ58="","",AJ65/'Executive Summary'!$T$22*'Executive Summary'!$S$22)</f>
        <v>#VALUE!</v>
      </c>
      <c r="AK66" s="688" t="e">
        <f aca="false">IF(AK58="","",AK65/'Executive Summary'!$T$22*'Executive Summary'!$S$22)</f>
        <v>#VALUE!</v>
      </c>
      <c r="AL66" s="688" t="e">
        <f aca="false">IF(AL58="","",AL65/'Executive Summary'!$T$22*'Executive Summary'!$S$22)</f>
        <v>#VALUE!</v>
      </c>
      <c r="AM66" s="688" t="e">
        <f aca="false">IF(AM58="","",AM65/'Executive Summary'!$T$22*'Executive Summary'!$S$22)</f>
        <v>#VALUE!</v>
      </c>
      <c r="AN66" s="688" t="e">
        <f aca="false">IF(AN58="","",AN65/'Executive Summary'!$T$22*'Executive Summary'!$S$22)</f>
        <v>#VALUE!</v>
      </c>
      <c r="AO66" s="688" t="e">
        <f aca="false">IF(AO58="","",AO65/'Executive Summary'!$T$22*'Executive Summary'!$S$22)</f>
        <v>#VALUE!</v>
      </c>
      <c r="AP66" s="688" t="e">
        <f aca="false">IF(AP58="","",AP65/'Executive Summary'!$T$22*'Executive Summary'!$S$22)</f>
        <v>#VALUE!</v>
      </c>
      <c r="AQ66" s="689" t="e">
        <f aca="false">IF(AQ58="","",AQ65/'Executive Summary'!$T$22*'Executive Summary'!$S$22)</f>
        <v>#VALUE!</v>
      </c>
      <c r="AR66" s="688" t="e">
        <f aca="false">IF(AR58="","",AR65/'Executive Summary'!$T$22*'Executive Summary'!$S$22)</f>
        <v>#VALUE!</v>
      </c>
      <c r="AS66" s="688" t="e">
        <f aca="false">IF(AS58="","",AS65/'Executive Summary'!$T$22*'Executive Summary'!$S$22)</f>
        <v>#VALUE!</v>
      </c>
      <c r="AT66" s="688" t="e">
        <f aca="false">IF(AT58="","",AT65/'Executive Summary'!$T$22*'Executive Summary'!$S$22)</f>
        <v>#VALUE!</v>
      </c>
      <c r="AU66" s="688" t="e">
        <f aca="false">IF(AU58="","",AU65/'Executive Summary'!$T$22*'Executive Summary'!$S$22)</f>
        <v>#VALUE!</v>
      </c>
      <c r="AV66" s="688" t="e">
        <f aca="false">IF(AV58="","",AV65/'Executive Summary'!$T$22*'Executive Summary'!$S$22)</f>
        <v>#VALUE!</v>
      </c>
      <c r="AW66" s="688" t="e">
        <f aca="false">IF(AW58="","",AW65/'Executive Summary'!$T$22*'Executive Summary'!$S$22)</f>
        <v>#VALUE!</v>
      </c>
      <c r="AX66" s="688" t="e">
        <f aca="false">IF(AX58="","",AX65/'Executive Summary'!$T$22*'Executive Summary'!$S$22)</f>
        <v>#VALUE!</v>
      </c>
      <c r="AY66" s="688" t="e">
        <f aca="false">IF(AY58="","",AY65/'Executive Summary'!$T$22*'Executive Summary'!$S$22)</f>
        <v>#VALUE!</v>
      </c>
      <c r="AZ66" s="688" t="e">
        <f aca="false">IF(AZ58="","",AZ65/'Executive Summary'!$T$22*'Executive Summary'!$S$22)</f>
        <v>#VALUE!</v>
      </c>
      <c r="BA66" s="688" t="e">
        <f aca="false">IF(BA58="","",BA65/'Executive Summary'!$T$22*'Executive Summary'!$S$22)</f>
        <v>#VALUE!</v>
      </c>
      <c r="BB66" s="688" t="e">
        <f aca="false">IF(BB58="","",BB65/'Executive Summary'!$T$22*'Executive Summary'!$S$22)</f>
        <v>#VALUE!</v>
      </c>
      <c r="BC66" s="689" t="e">
        <f aca="false">IF(BC58="","",BC65/'Executive Summary'!$T$22*'Executive Summary'!$S$22)</f>
        <v>#VALUE!</v>
      </c>
      <c r="BD66" s="688" t="e">
        <f aca="false">IF(BD58="","",BD65/'Executive Summary'!$T$22*'Executive Summary'!$S$22)</f>
        <v>#VALUE!</v>
      </c>
      <c r="BE66" s="688" t="e">
        <f aca="false">IF(BE58="","",BE65/'Executive Summary'!$T$22*'Executive Summary'!$S$22)</f>
        <v>#VALUE!</v>
      </c>
      <c r="BF66" s="688" t="e">
        <f aca="false">IF(BF58="","",BF65/'Executive Summary'!$T$22*'Executive Summary'!$S$22)</f>
        <v>#VALUE!</v>
      </c>
      <c r="BG66" s="688" t="e">
        <f aca="false">IF(BG58="","",BG65/'Executive Summary'!$T$22*'Executive Summary'!$S$22)</f>
        <v>#VALUE!</v>
      </c>
      <c r="BH66" s="688" t="e">
        <f aca="false">IF(BH58="","",BH65/'Executive Summary'!$T$22*'Executive Summary'!$S$22)</f>
        <v>#VALUE!</v>
      </c>
      <c r="BI66" s="688" t="e">
        <f aca="false">IF(BI58="","",BI65/'Executive Summary'!$T$22*'Executive Summary'!$S$22)</f>
        <v>#VALUE!</v>
      </c>
      <c r="BJ66" s="688" t="e">
        <f aca="false">IF(BJ58="","",BJ65/'Executive Summary'!$T$22*'Executive Summary'!$S$22)</f>
        <v>#VALUE!</v>
      </c>
      <c r="BK66" s="688" t="e">
        <f aca="false">IF(BK58="","",BK65/'Executive Summary'!$T$22*'Executive Summary'!$S$22)</f>
        <v>#VALUE!</v>
      </c>
      <c r="BL66" s="688" t="e">
        <f aca="false">IF(BL58="","",BL65/'Executive Summary'!$T$22*'Executive Summary'!$S$22)</f>
        <v>#VALUE!</v>
      </c>
      <c r="BM66" s="688" t="e">
        <f aca="false">IF(BM58="","",BM65/'Executive Summary'!$T$22*'Executive Summary'!$S$22)</f>
        <v>#VALUE!</v>
      </c>
      <c r="BN66" s="688" t="e">
        <f aca="false">IF(BN58="","",BN65/'Executive Summary'!$T$22*'Executive Summary'!$S$22)</f>
        <v>#VALUE!</v>
      </c>
      <c r="BO66" s="689" t="e">
        <f aca="false">IF(BO58="","",BO65/'Executive Summary'!$T$22*'Executive Summary'!$S$22)</f>
        <v>#VALUE!</v>
      </c>
      <c r="BP66" s="688" t="e">
        <f aca="false">IF(BP58="","",BP65/'Executive Summary'!$T$22*'Executive Summary'!$S$22)</f>
        <v>#VALUE!</v>
      </c>
      <c r="BQ66" s="688" t="e">
        <f aca="false">IF(BQ58="","",BQ65/'Executive Summary'!$T$22*'Executive Summary'!$S$22)</f>
        <v>#VALUE!</v>
      </c>
      <c r="BR66" s="688" t="e">
        <f aca="false">IF(BR58="","",BR65/'Executive Summary'!$T$22*'Executive Summary'!$S$22)</f>
        <v>#VALUE!</v>
      </c>
      <c r="BS66" s="688" t="e">
        <f aca="false">IF(BS58="","",BS65/'Executive Summary'!$T$22*'Executive Summary'!$S$22)</f>
        <v>#VALUE!</v>
      </c>
      <c r="BT66" s="688" t="e">
        <f aca="false">IF(BT58="","",BT65/'Executive Summary'!$T$22*'Executive Summary'!$S$22)</f>
        <v>#VALUE!</v>
      </c>
      <c r="BU66" s="688" t="e">
        <f aca="false">IF(BU58="","",BU65/'Executive Summary'!$T$22*'Executive Summary'!$S$22)</f>
        <v>#VALUE!</v>
      </c>
      <c r="BV66" s="688" t="e">
        <f aca="false">IF(BV58="","",BV65/'Executive Summary'!$T$22*'Executive Summary'!$S$22)</f>
        <v>#VALUE!</v>
      </c>
      <c r="BW66" s="688" t="e">
        <f aca="false">IF(BW58="","",BW65/'Executive Summary'!$T$22*'Executive Summary'!$S$22)</f>
        <v>#VALUE!</v>
      </c>
      <c r="BX66" s="688" t="e">
        <f aca="false">IF(BX58="","",BX65/'Executive Summary'!$T$22*'Executive Summary'!$S$22)</f>
        <v>#VALUE!</v>
      </c>
      <c r="BY66" s="688" t="e">
        <f aca="false">IF(BY58="","",BY65/'Executive Summary'!$T$22*'Executive Summary'!$S$22)</f>
        <v>#VALUE!</v>
      </c>
      <c r="BZ66" s="688" t="e">
        <f aca="false">IF(BZ58="","",BZ65/'Executive Summary'!$T$22*'Executive Summary'!$S$22)</f>
        <v>#VALUE!</v>
      </c>
      <c r="CA66" s="689" t="e">
        <f aca="false">IF(CA58="","",CA65/'Executive Summary'!$T$22*'Executive Summary'!$S$22)</f>
        <v>#VALUE!</v>
      </c>
      <c r="CB66" s="688" t="e">
        <f aca="false">IF(CB58="","",CB65/'Executive Summary'!$T$22*'Executive Summary'!$S$22)</f>
        <v>#VALUE!</v>
      </c>
      <c r="CC66" s="688" t="e">
        <f aca="false">IF(CC58="","",CC65/'Executive Summary'!$T$22*'Executive Summary'!$S$22)</f>
        <v>#VALUE!</v>
      </c>
      <c r="CD66" s="688" t="e">
        <f aca="false">IF(CD58="","",CD65/'Executive Summary'!$T$22*'Executive Summary'!$S$22)</f>
        <v>#VALUE!</v>
      </c>
      <c r="CE66" s="688" t="e">
        <f aca="false">IF(CE58="","",CE65/'Executive Summary'!$T$22*'Executive Summary'!$S$22)</f>
        <v>#VALUE!</v>
      </c>
      <c r="CF66" s="688" t="e">
        <f aca="false">IF(CF58="","",CF65/'Executive Summary'!$T$22*'Executive Summary'!$S$22)</f>
        <v>#VALUE!</v>
      </c>
      <c r="CG66" s="688" t="e">
        <f aca="false">IF(CG58="","",CG65/'Executive Summary'!$T$22*'Executive Summary'!$S$22)</f>
        <v>#VALUE!</v>
      </c>
      <c r="CH66" s="688" t="e">
        <f aca="false">IF(CH58="","",CH65/'Executive Summary'!$T$22*'Executive Summary'!$S$22)</f>
        <v>#VALUE!</v>
      </c>
      <c r="CI66" s="688" t="e">
        <f aca="false">IF(CI58="","",CI65/'Executive Summary'!$T$22*'Executive Summary'!$S$22)</f>
        <v>#VALUE!</v>
      </c>
      <c r="CJ66" s="688" t="e">
        <f aca="false">IF(CJ58="","",CJ65/'Executive Summary'!$T$22*'Executive Summary'!$S$22)</f>
        <v>#VALUE!</v>
      </c>
      <c r="CK66" s="688" t="e">
        <f aca="false">IF(CK58="","",CK65/'Executive Summary'!$T$22*'Executive Summary'!$S$22)</f>
        <v>#VALUE!</v>
      </c>
      <c r="CL66" s="688" t="e">
        <f aca="false">IF(CL58="","",CL65/'Executive Summary'!$T$22*'Executive Summary'!$S$22)</f>
        <v>#VALUE!</v>
      </c>
      <c r="CM66" s="689" t="e">
        <f aca="false">IF(CM58="","",CM65/'Executive Summary'!$T$22*'Executive Summary'!$S$22)</f>
        <v>#VALUE!</v>
      </c>
      <c r="CN66" s="688" t="e">
        <f aca="false">IF(CN58="","",CN65/'Executive Summary'!$T$22*'Executive Summary'!$S$22)</f>
        <v>#VALUE!</v>
      </c>
      <c r="CO66" s="688" t="e">
        <f aca="false">IF(CO58="","",CO65/'Executive Summary'!$T$22*'Executive Summary'!$S$22)</f>
        <v>#VALUE!</v>
      </c>
      <c r="CP66" s="688" t="e">
        <f aca="false">IF(CP58="","",CP65/'Executive Summary'!$T$22*'Executive Summary'!$S$22)</f>
        <v>#VALUE!</v>
      </c>
      <c r="CQ66" s="688" t="e">
        <f aca="false">IF(CQ58="","",CQ65/'Executive Summary'!$T$22*'Executive Summary'!$S$22)</f>
        <v>#VALUE!</v>
      </c>
      <c r="CR66" s="688" t="e">
        <f aca="false">IF(CR58="","",CR65/'Executive Summary'!$T$22*'Executive Summary'!$S$22)</f>
        <v>#VALUE!</v>
      </c>
      <c r="CS66" s="688" t="e">
        <f aca="false">IF(CS58="","",CS65/'Executive Summary'!$T$22*'Executive Summary'!$S$22)</f>
        <v>#VALUE!</v>
      </c>
      <c r="CT66" s="688" t="e">
        <f aca="false">IF(CT58="","",CT65/'Executive Summary'!$T$22*'Executive Summary'!$S$22)</f>
        <v>#VALUE!</v>
      </c>
      <c r="CU66" s="688" t="e">
        <f aca="false">IF(CU58="","",CU65/'Executive Summary'!$T$22*'Executive Summary'!$S$22)</f>
        <v>#VALUE!</v>
      </c>
      <c r="CV66" s="688" t="e">
        <f aca="false">IF(CV58="","",CV65/'Executive Summary'!$T$22*'Executive Summary'!$S$22)</f>
        <v>#VALUE!</v>
      </c>
      <c r="CW66" s="688" t="e">
        <f aca="false">IF(CW58="","",CW65/'Executive Summary'!$T$22*'Executive Summary'!$S$22)</f>
        <v>#VALUE!</v>
      </c>
      <c r="CX66" s="688" t="e">
        <f aca="false">IF(CX58="","",CX65/'Executive Summary'!$T$22*'Executive Summary'!$S$22)</f>
        <v>#VALUE!</v>
      </c>
      <c r="CY66" s="689" t="e">
        <f aca="false">IF(CY58="","",CY65/'Executive Summary'!$T$22*'Executive Summary'!$S$22)</f>
        <v>#VALUE!</v>
      </c>
      <c r="CZ66" s="688" t="e">
        <f aca="false">IF(CZ58="","",CZ65/'Executive Summary'!$T$22*'Executive Summary'!$S$22)</f>
        <v>#VALUE!</v>
      </c>
      <c r="DA66" s="688" t="e">
        <f aca="false">IF(DA58="","",DA65/'Executive Summary'!$T$22*'Executive Summary'!$S$22)</f>
        <v>#VALUE!</v>
      </c>
      <c r="DB66" s="688" t="e">
        <f aca="false">IF(DB58="","",DB65/'Executive Summary'!$T$22*'Executive Summary'!$S$22)</f>
        <v>#VALUE!</v>
      </c>
      <c r="DC66" s="688" t="e">
        <f aca="false">IF(DC58="","",DC65/'Executive Summary'!$T$22*'Executive Summary'!$S$22)</f>
        <v>#VALUE!</v>
      </c>
      <c r="DD66" s="688" t="e">
        <f aca="false">IF(DD58="","",DD65/'Executive Summary'!$T$22*'Executive Summary'!$S$22)</f>
        <v>#VALUE!</v>
      </c>
      <c r="DE66" s="688" t="e">
        <f aca="false">IF(DE58="","",DE65/'Executive Summary'!$T$22*'Executive Summary'!$S$22)</f>
        <v>#VALUE!</v>
      </c>
      <c r="DF66" s="688" t="e">
        <f aca="false">IF(DF58="","",DF65/'Executive Summary'!$T$22*'Executive Summary'!$S$22)</f>
        <v>#VALUE!</v>
      </c>
      <c r="DG66" s="688" t="e">
        <f aca="false">IF(DG58="","",DG65/'Executive Summary'!$T$22*'Executive Summary'!$S$22)</f>
        <v>#VALUE!</v>
      </c>
      <c r="DH66" s="688" t="e">
        <f aca="false">IF(DH58="","",DH65/'Executive Summary'!$T$22*'Executive Summary'!$S$22)</f>
        <v>#VALUE!</v>
      </c>
      <c r="DI66" s="688" t="e">
        <f aca="false">IF(DI58="","",DI65/'Executive Summary'!$T$22*'Executive Summary'!$S$22)</f>
        <v>#VALUE!</v>
      </c>
      <c r="DJ66" s="688" t="e">
        <f aca="false">IF(DJ58="","",DJ65/'Executive Summary'!$T$22*'Executive Summary'!$S$22)</f>
        <v>#VALUE!</v>
      </c>
      <c r="DK66" s="689" t="e">
        <f aca="false">IF(DK58="","",DK65/'Executive Summary'!$T$22*'Executive Summary'!$S$22)</f>
        <v>#VALUE!</v>
      </c>
      <c r="DL66" s="688" t="e">
        <f aca="false">IF(DL58="","",DL65/'Executive Summary'!$T$22*'Executive Summary'!$S$22)</f>
        <v>#VALUE!</v>
      </c>
      <c r="DM66" s="688" t="e">
        <f aca="false">IF(DM58="","",DM65/'Executive Summary'!$T$22*'Executive Summary'!$S$22)</f>
        <v>#VALUE!</v>
      </c>
      <c r="DN66" s="688" t="e">
        <f aca="false">IF(DN58="","",DN65/'Executive Summary'!$T$22*'Executive Summary'!$S$22)</f>
        <v>#VALUE!</v>
      </c>
      <c r="DO66" s="688" t="e">
        <f aca="false">IF(DO58="","",DO65/'Executive Summary'!$T$22*'Executive Summary'!$S$22)</f>
        <v>#VALUE!</v>
      </c>
      <c r="DP66" s="688" t="e">
        <f aca="false">IF(DP58="","",DP65/'Executive Summary'!$T$22*'Executive Summary'!$S$22)</f>
        <v>#VALUE!</v>
      </c>
      <c r="DQ66" s="688" t="e">
        <f aca="false">IF(DQ58="","",DQ65/'Executive Summary'!$T$22*'Executive Summary'!$S$22)</f>
        <v>#VALUE!</v>
      </c>
      <c r="DR66" s="688" t="e">
        <f aca="false">IF(DR58="","",DR65/'Executive Summary'!$T$22*'Executive Summary'!$S$22)</f>
        <v>#VALUE!</v>
      </c>
      <c r="DS66" s="688" t="e">
        <f aca="false">IF(DS58="","",DS65/'Executive Summary'!$T$22*'Executive Summary'!$S$22)</f>
        <v>#VALUE!</v>
      </c>
      <c r="DT66" s="688" t="e">
        <f aca="false">IF(DT58="","",DT65/'Executive Summary'!$T$22*'Executive Summary'!$S$22)</f>
        <v>#VALUE!</v>
      </c>
      <c r="DU66" s="688" t="e">
        <f aca="false">IF(DU58="","",DU65/'Executive Summary'!$T$22*'Executive Summary'!$S$22)</f>
        <v>#VALUE!</v>
      </c>
      <c r="DV66" s="690" t="e">
        <f aca="false">IF(DV58="","",DV65/'Executive Summary'!$T$22*'Executive Summary'!$S$22)</f>
        <v>#VALUE!</v>
      </c>
    </row>
    <row r="67" s="683" customFormat="true" ht="13.5" hidden="false" customHeight="true" outlineLevel="0" collapsed="false">
      <c r="A67" s="236"/>
      <c r="B67" s="69" t="str">
        <f aca="false">"Total Distributions ("&amp;B56&amp;")"</f>
        <v>Total Distributions (Hurdle 3)</v>
      </c>
      <c r="C67" s="242"/>
      <c r="D67" s="242"/>
      <c r="E67" s="242"/>
      <c r="F67" s="688" t="str">
        <f aca="false">IF(F58="","",F65+F66)</f>
        <v/>
      </c>
      <c r="G67" s="689" t="e">
        <f aca="false">IF(G58="","",G65+G66)</f>
        <v>#VALUE!</v>
      </c>
      <c r="H67" s="688" t="e">
        <f aca="false">IF(H58="","",H65+H66)</f>
        <v>#VALUE!</v>
      </c>
      <c r="I67" s="688" t="e">
        <f aca="false">IF(I58="","",I65+I66)</f>
        <v>#VALUE!</v>
      </c>
      <c r="J67" s="688" t="e">
        <f aca="false">IF(J58="","",J65+J66)</f>
        <v>#VALUE!</v>
      </c>
      <c r="K67" s="688" t="e">
        <f aca="false">IF(K58="","",K65+K66)</f>
        <v>#VALUE!</v>
      </c>
      <c r="L67" s="688" t="e">
        <f aca="false">IF(L58="","",L65+L66)</f>
        <v>#VALUE!</v>
      </c>
      <c r="M67" s="688" t="e">
        <f aca="false">IF(M58="","",M65+M66)</f>
        <v>#VALUE!</v>
      </c>
      <c r="N67" s="688" t="e">
        <f aca="false">IF(N58="","",N65+N66)</f>
        <v>#VALUE!</v>
      </c>
      <c r="O67" s="688" t="e">
        <f aca="false">IF(O58="","",O65+O66)</f>
        <v>#VALUE!</v>
      </c>
      <c r="P67" s="688" t="e">
        <f aca="false">IF(P58="","",P65+P66)</f>
        <v>#VALUE!</v>
      </c>
      <c r="Q67" s="688" t="e">
        <f aca="false">IF(Q58="","",Q65+Q66)</f>
        <v>#VALUE!</v>
      </c>
      <c r="R67" s="688" t="e">
        <f aca="false">IF(R58="","",R65+R66)</f>
        <v>#VALUE!</v>
      </c>
      <c r="S67" s="689" t="e">
        <f aca="false">IF(S58="","",S65+S66)</f>
        <v>#VALUE!</v>
      </c>
      <c r="T67" s="688" t="e">
        <f aca="false">IF(T58="","",T65+T66)</f>
        <v>#VALUE!</v>
      </c>
      <c r="U67" s="688" t="e">
        <f aca="false">IF(U58="","",U65+U66)</f>
        <v>#VALUE!</v>
      </c>
      <c r="V67" s="688" t="e">
        <f aca="false">IF(V58="","",V65+V66)</f>
        <v>#VALUE!</v>
      </c>
      <c r="W67" s="688" t="e">
        <f aca="false">IF(W58="","",W65+W66)</f>
        <v>#VALUE!</v>
      </c>
      <c r="X67" s="688" t="e">
        <f aca="false">IF(X58="","",X65+X66)</f>
        <v>#VALUE!</v>
      </c>
      <c r="Y67" s="688" t="e">
        <f aca="false">IF(Y58="","",Y65+Y66)</f>
        <v>#VALUE!</v>
      </c>
      <c r="Z67" s="688" t="e">
        <f aca="false">IF(Z58="","",Z65+Z66)</f>
        <v>#VALUE!</v>
      </c>
      <c r="AA67" s="688" t="e">
        <f aca="false">IF(AA58="","",AA65+AA66)</f>
        <v>#VALUE!</v>
      </c>
      <c r="AB67" s="688" t="e">
        <f aca="false">IF(AB58="","",AB65+AB66)</f>
        <v>#VALUE!</v>
      </c>
      <c r="AC67" s="688" t="e">
        <f aca="false">IF(AC58="","",AC65+AC66)</f>
        <v>#VALUE!</v>
      </c>
      <c r="AD67" s="688" t="e">
        <f aca="false">IF(AD58="","",AD65+AD66)</f>
        <v>#VALUE!</v>
      </c>
      <c r="AE67" s="689" t="e">
        <f aca="false">IF(AE58="","",AE65+AE66)</f>
        <v>#VALUE!</v>
      </c>
      <c r="AF67" s="688" t="e">
        <f aca="false">IF(AF58="","",AF65+AF66)</f>
        <v>#VALUE!</v>
      </c>
      <c r="AG67" s="688" t="e">
        <f aca="false">IF(AG58="","",AG65+AG66)</f>
        <v>#VALUE!</v>
      </c>
      <c r="AH67" s="688" t="e">
        <f aca="false">IF(AH58="","",AH65+AH66)</f>
        <v>#VALUE!</v>
      </c>
      <c r="AI67" s="688" t="e">
        <f aca="false">IF(AI58="","",AI65+AI66)</f>
        <v>#VALUE!</v>
      </c>
      <c r="AJ67" s="688" t="e">
        <f aca="false">IF(AJ58="","",AJ65+AJ66)</f>
        <v>#VALUE!</v>
      </c>
      <c r="AK67" s="688" t="e">
        <f aca="false">IF(AK58="","",AK65+AK66)</f>
        <v>#VALUE!</v>
      </c>
      <c r="AL67" s="688" t="e">
        <f aca="false">IF(AL58="","",AL65+AL66)</f>
        <v>#VALUE!</v>
      </c>
      <c r="AM67" s="688" t="e">
        <f aca="false">IF(AM58="","",AM65+AM66)</f>
        <v>#VALUE!</v>
      </c>
      <c r="AN67" s="688" t="e">
        <f aca="false">IF(AN58="","",AN65+AN66)</f>
        <v>#VALUE!</v>
      </c>
      <c r="AO67" s="688" t="e">
        <f aca="false">IF(AO58="","",AO65+AO66)</f>
        <v>#VALUE!</v>
      </c>
      <c r="AP67" s="688" t="e">
        <f aca="false">IF(AP58="","",AP65+AP66)</f>
        <v>#VALUE!</v>
      </c>
      <c r="AQ67" s="689" t="e">
        <f aca="false">IF(AQ58="","",AQ65+AQ66)</f>
        <v>#VALUE!</v>
      </c>
      <c r="AR67" s="688" t="e">
        <f aca="false">IF(AR58="","",AR65+AR66)</f>
        <v>#VALUE!</v>
      </c>
      <c r="AS67" s="688" t="e">
        <f aca="false">IF(AS58="","",AS65+AS66)</f>
        <v>#VALUE!</v>
      </c>
      <c r="AT67" s="688" t="e">
        <f aca="false">IF(AT58="","",AT65+AT66)</f>
        <v>#VALUE!</v>
      </c>
      <c r="AU67" s="688" t="e">
        <f aca="false">IF(AU58="","",AU65+AU66)</f>
        <v>#VALUE!</v>
      </c>
      <c r="AV67" s="688" t="e">
        <f aca="false">IF(AV58="","",AV65+AV66)</f>
        <v>#VALUE!</v>
      </c>
      <c r="AW67" s="688" t="e">
        <f aca="false">IF(AW58="","",AW65+AW66)</f>
        <v>#VALUE!</v>
      </c>
      <c r="AX67" s="688" t="e">
        <f aca="false">IF(AX58="","",AX65+AX66)</f>
        <v>#VALUE!</v>
      </c>
      <c r="AY67" s="688" t="e">
        <f aca="false">IF(AY58="","",AY65+AY66)</f>
        <v>#VALUE!</v>
      </c>
      <c r="AZ67" s="688" t="e">
        <f aca="false">IF(AZ58="","",AZ65+AZ66)</f>
        <v>#VALUE!</v>
      </c>
      <c r="BA67" s="688" t="e">
        <f aca="false">IF(BA58="","",BA65+BA66)</f>
        <v>#VALUE!</v>
      </c>
      <c r="BB67" s="688" t="e">
        <f aca="false">IF(BB58="","",BB65+BB66)</f>
        <v>#VALUE!</v>
      </c>
      <c r="BC67" s="689" t="e">
        <f aca="false">IF(BC58="","",BC65+BC66)</f>
        <v>#VALUE!</v>
      </c>
      <c r="BD67" s="688" t="e">
        <f aca="false">IF(BD58="","",BD65+BD66)</f>
        <v>#VALUE!</v>
      </c>
      <c r="BE67" s="688" t="e">
        <f aca="false">IF(BE58="","",BE65+BE66)</f>
        <v>#VALUE!</v>
      </c>
      <c r="BF67" s="688" t="e">
        <f aca="false">IF(BF58="","",BF65+BF66)</f>
        <v>#VALUE!</v>
      </c>
      <c r="BG67" s="688" t="e">
        <f aca="false">IF(BG58="","",BG65+BG66)</f>
        <v>#VALUE!</v>
      </c>
      <c r="BH67" s="688" t="e">
        <f aca="false">IF(BH58="","",BH65+BH66)</f>
        <v>#VALUE!</v>
      </c>
      <c r="BI67" s="688" t="e">
        <f aca="false">IF(BI58="","",BI65+BI66)</f>
        <v>#VALUE!</v>
      </c>
      <c r="BJ67" s="688" t="e">
        <f aca="false">IF(BJ58="","",BJ65+BJ66)</f>
        <v>#VALUE!</v>
      </c>
      <c r="BK67" s="688" t="e">
        <f aca="false">IF(BK58="","",BK65+BK66)</f>
        <v>#VALUE!</v>
      </c>
      <c r="BL67" s="688" t="e">
        <f aca="false">IF(BL58="","",BL65+BL66)</f>
        <v>#VALUE!</v>
      </c>
      <c r="BM67" s="688" t="e">
        <f aca="false">IF(BM58="","",BM65+BM66)</f>
        <v>#VALUE!</v>
      </c>
      <c r="BN67" s="688" t="e">
        <f aca="false">IF(BN58="","",BN65+BN66)</f>
        <v>#VALUE!</v>
      </c>
      <c r="BO67" s="689" t="e">
        <f aca="false">IF(BO58="","",BO65+BO66)</f>
        <v>#VALUE!</v>
      </c>
      <c r="BP67" s="688" t="e">
        <f aca="false">IF(BP58="","",BP65+BP66)</f>
        <v>#VALUE!</v>
      </c>
      <c r="BQ67" s="688" t="e">
        <f aca="false">IF(BQ58="","",BQ65+BQ66)</f>
        <v>#VALUE!</v>
      </c>
      <c r="BR67" s="688" t="e">
        <f aca="false">IF(BR58="","",BR65+BR66)</f>
        <v>#VALUE!</v>
      </c>
      <c r="BS67" s="688" t="e">
        <f aca="false">IF(BS58="","",BS65+BS66)</f>
        <v>#VALUE!</v>
      </c>
      <c r="BT67" s="688" t="e">
        <f aca="false">IF(BT58="","",BT65+BT66)</f>
        <v>#VALUE!</v>
      </c>
      <c r="BU67" s="688" t="e">
        <f aca="false">IF(BU58="","",BU65+BU66)</f>
        <v>#VALUE!</v>
      </c>
      <c r="BV67" s="688" t="e">
        <f aca="false">IF(BV58="","",BV65+BV66)</f>
        <v>#VALUE!</v>
      </c>
      <c r="BW67" s="688" t="e">
        <f aca="false">IF(BW58="","",BW65+BW66)</f>
        <v>#VALUE!</v>
      </c>
      <c r="BX67" s="688" t="e">
        <f aca="false">IF(BX58="","",BX65+BX66)</f>
        <v>#VALUE!</v>
      </c>
      <c r="BY67" s="688" t="e">
        <f aca="false">IF(BY58="","",BY65+BY66)</f>
        <v>#VALUE!</v>
      </c>
      <c r="BZ67" s="688" t="e">
        <f aca="false">IF(BZ58="","",BZ65+BZ66)</f>
        <v>#VALUE!</v>
      </c>
      <c r="CA67" s="689" t="e">
        <f aca="false">IF(CA58="","",CA65+CA66)</f>
        <v>#VALUE!</v>
      </c>
      <c r="CB67" s="688" t="e">
        <f aca="false">IF(CB58="","",CB65+CB66)</f>
        <v>#VALUE!</v>
      </c>
      <c r="CC67" s="688" t="e">
        <f aca="false">IF(CC58="","",CC65+CC66)</f>
        <v>#VALUE!</v>
      </c>
      <c r="CD67" s="688" t="e">
        <f aca="false">IF(CD58="","",CD65+CD66)</f>
        <v>#VALUE!</v>
      </c>
      <c r="CE67" s="688" t="e">
        <f aca="false">IF(CE58="","",CE65+CE66)</f>
        <v>#VALUE!</v>
      </c>
      <c r="CF67" s="688" t="e">
        <f aca="false">IF(CF58="","",CF65+CF66)</f>
        <v>#VALUE!</v>
      </c>
      <c r="CG67" s="688" t="e">
        <f aca="false">IF(CG58="","",CG65+CG66)</f>
        <v>#VALUE!</v>
      </c>
      <c r="CH67" s="688" t="e">
        <f aca="false">IF(CH58="","",CH65+CH66)</f>
        <v>#VALUE!</v>
      </c>
      <c r="CI67" s="688" t="e">
        <f aca="false">IF(CI58="","",CI65+CI66)</f>
        <v>#VALUE!</v>
      </c>
      <c r="CJ67" s="688" t="e">
        <f aca="false">IF(CJ58="","",CJ65+CJ66)</f>
        <v>#VALUE!</v>
      </c>
      <c r="CK67" s="688" t="e">
        <f aca="false">IF(CK58="","",CK65+CK66)</f>
        <v>#VALUE!</v>
      </c>
      <c r="CL67" s="688" t="e">
        <f aca="false">IF(CL58="","",CL65+CL66)</f>
        <v>#VALUE!</v>
      </c>
      <c r="CM67" s="689" t="e">
        <f aca="false">IF(CM58="","",CM65+CM66)</f>
        <v>#VALUE!</v>
      </c>
      <c r="CN67" s="688" t="e">
        <f aca="false">IF(CN58="","",CN65+CN66)</f>
        <v>#VALUE!</v>
      </c>
      <c r="CO67" s="688" t="e">
        <f aca="false">IF(CO58="","",CO65+CO66)</f>
        <v>#VALUE!</v>
      </c>
      <c r="CP67" s="688" t="e">
        <f aca="false">IF(CP58="","",CP65+CP66)</f>
        <v>#VALUE!</v>
      </c>
      <c r="CQ67" s="688" t="e">
        <f aca="false">IF(CQ58="","",CQ65+CQ66)</f>
        <v>#VALUE!</v>
      </c>
      <c r="CR67" s="688" t="e">
        <f aca="false">IF(CR58="","",CR65+CR66)</f>
        <v>#VALUE!</v>
      </c>
      <c r="CS67" s="688" t="e">
        <f aca="false">IF(CS58="","",CS65+CS66)</f>
        <v>#VALUE!</v>
      </c>
      <c r="CT67" s="688" t="e">
        <f aca="false">IF(CT58="","",CT65+CT66)</f>
        <v>#VALUE!</v>
      </c>
      <c r="CU67" s="688" t="e">
        <f aca="false">IF(CU58="","",CU65+CU66)</f>
        <v>#VALUE!</v>
      </c>
      <c r="CV67" s="688" t="e">
        <f aca="false">IF(CV58="","",CV65+CV66)</f>
        <v>#VALUE!</v>
      </c>
      <c r="CW67" s="688" t="e">
        <f aca="false">IF(CW58="","",CW65+CW66)</f>
        <v>#VALUE!</v>
      </c>
      <c r="CX67" s="688" t="e">
        <f aca="false">IF(CX58="","",CX65+CX66)</f>
        <v>#VALUE!</v>
      </c>
      <c r="CY67" s="689" t="e">
        <f aca="false">IF(CY58="","",CY65+CY66)</f>
        <v>#VALUE!</v>
      </c>
      <c r="CZ67" s="688" t="e">
        <f aca="false">IF(CZ58="","",CZ65+CZ66)</f>
        <v>#VALUE!</v>
      </c>
      <c r="DA67" s="688" t="e">
        <f aca="false">IF(DA58="","",DA65+DA66)</f>
        <v>#VALUE!</v>
      </c>
      <c r="DB67" s="688" t="e">
        <f aca="false">IF(DB58="","",DB65+DB66)</f>
        <v>#VALUE!</v>
      </c>
      <c r="DC67" s="688" t="e">
        <f aca="false">IF(DC58="","",DC65+DC66)</f>
        <v>#VALUE!</v>
      </c>
      <c r="DD67" s="688" t="e">
        <f aca="false">IF(DD58="","",DD65+DD66)</f>
        <v>#VALUE!</v>
      </c>
      <c r="DE67" s="688" t="e">
        <f aca="false">IF(DE58="","",DE65+DE66)</f>
        <v>#VALUE!</v>
      </c>
      <c r="DF67" s="688" t="e">
        <f aca="false">IF(DF58="","",DF65+DF66)</f>
        <v>#VALUE!</v>
      </c>
      <c r="DG67" s="688" t="e">
        <f aca="false">IF(DG58="","",DG65+DG66)</f>
        <v>#VALUE!</v>
      </c>
      <c r="DH67" s="688" t="e">
        <f aca="false">IF(DH58="","",DH65+DH66)</f>
        <v>#VALUE!</v>
      </c>
      <c r="DI67" s="688" t="e">
        <f aca="false">IF(DI58="","",DI65+DI66)</f>
        <v>#VALUE!</v>
      </c>
      <c r="DJ67" s="688" t="e">
        <f aca="false">IF(DJ58="","",DJ65+DJ66)</f>
        <v>#VALUE!</v>
      </c>
      <c r="DK67" s="689" t="e">
        <f aca="false">IF(DK58="","",DK65+DK66)</f>
        <v>#VALUE!</v>
      </c>
      <c r="DL67" s="688" t="e">
        <f aca="false">IF(DL58="","",DL65+DL66)</f>
        <v>#VALUE!</v>
      </c>
      <c r="DM67" s="688" t="e">
        <f aca="false">IF(DM58="","",DM65+DM66)</f>
        <v>#VALUE!</v>
      </c>
      <c r="DN67" s="688" t="e">
        <f aca="false">IF(DN58="","",DN65+DN66)</f>
        <v>#VALUE!</v>
      </c>
      <c r="DO67" s="688" t="e">
        <f aca="false">IF(DO58="","",DO65+DO66)</f>
        <v>#VALUE!</v>
      </c>
      <c r="DP67" s="688" t="e">
        <f aca="false">IF(DP58="","",DP65+DP66)</f>
        <v>#VALUE!</v>
      </c>
      <c r="DQ67" s="688" t="e">
        <f aca="false">IF(DQ58="","",DQ65+DQ66)</f>
        <v>#VALUE!</v>
      </c>
      <c r="DR67" s="688" t="e">
        <f aca="false">IF(DR58="","",DR65+DR66)</f>
        <v>#VALUE!</v>
      </c>
      <c r="DS67" s="688" t="e">
        <f aca="false">IF(DS58="","",DS65+DS66)</f>
        <v>#VALUE!</v>
      </c>
      <c r="DT67" s="688" t="e">
        <f aca="false">IF(DT58="","",DT65+DT66)</f>
        <v>#VALUE!</v>
      </c>
      <c r="DU67" s="688" t="e">
        <f aca="false">IF(DU58="","",DU65+DU66)</f>
        <v>#VALUE!</v>
      </c>
      <c r="DV67" s="690" t="e">
        <f aca="false">IF(DV58="","",DV65+DV66)</f>
        <v>#VALUE!</v>
      </c>
    </row>
    <row r="68" s="683" customFormat="true" ht="13.5" hidden="false" customHeight="true" outlineLevel="0" collapsed="false">
      <c r="A68" s="236"/>
      <c r="B68" s="95" t="s">
        <v>652</v>
      </c>
      <c r="C68" s="268"/>
      <c r="D68" s="268"/>
      <c r="E68" s="268"/>
      <c r="F68" s="696" t="str">
        <f aca="false">IF(F58="","",MAX(F$6-F39-F53-F67,0))</f>
        <v/>
      </c>
      <c r="G68" s="697" t="e">
        <f aca="false">IF(G58="","",MAX(G$6-G39-G53-G67,0))</f>
        <v>#VALUE!</v>
      </c>
      <c r="H68" s="696" t="e">
        <f aca="false">IF(H58="","",MAX(H$6-H39-H53-H67,0))</f>
        <v>#VALUE!</v>
      </c>
      <c r="I68" s="696" t="e">
        <f aca="false">IF(I58="","",MAX(I$6-I39-I53-I67,0))</f>
        <v>#VALUE!</v>
      </c>
      <c r="J68" s="696" t="e">
        <f aca="false">IF(J58="","",MAX(J$6-J39-J53-J67,0))</f>
        <v>#VALUE!</v>
      </c>
      <c r="K68" s="696" t="e">
        <f aca="false">IF(K58="","",MAX(K$6-K39-K53-K67,0))</f>
        <v>#VALUE!</v>
      </c>
      <c r="L68" s="696" t="e">
        <f aca="false">IF(L58="","",MAX(L$6-L39-L53-L67,0))</f>
        <v>#VALUE!</v>
      </c>
      <c r="M68" s="696" t="e">
        <f aca="false">IF(M58="","",MAX(M$6-M39-M53-M67,0))</f>
        <v>#VALUE!</v>
      </c>
      <c r="N68" s="696" t="e">
        <f aca="false">IF(N58="","",MAX(N$6-N39-N53-N67,0))</f>
        <v>#VALUE!</v>
      </c>
      <c r="O68" s="696" t="e">
        <f aca="false">IF(O58="","",MAX(O$6-O39-O53-O67,0))</f>
        <v>#VALUE!</v>
      </c>
      <c r="P68" s="696" t="e">
        <f aca="false">IF(P58="","",MAX(P$6-P39-P53-P67,0))</f>
        <v>#VALUE!</v>
      </c>
      <c r="Q68" s="696" t="e">
        <f aca="false">IF(Q58="","",MAX(Q$6-Q39-Q53-Q67,0))</f>
        <v>#VALUE!</v>
      </c>
      <c r="R68" s="696" t="e">
        <f aca="false">IF(R58="","",MAX(R$6-R39-R53-R67,0))</f>
        <v>#VALUE!</v>
      </c>
      <c r="S68" s="697" t="e">
        <f aca="false">IF(S58="","",MAX(S$6-S39-S53-S67,0))</f>
        <v>#VALUE!</v>
      </c>
      <c r="T68" s="696" t="e">
        <f aca="false">IF(T58="","",MAX(T$6-T39-T53-T67,0))</f>
        <v>#VALUE!</v>
      </c>
      <c r="U68" s="696" t="e">
        <f aca="false">IF(U58="","",MAX(U$6-U39-U53-U67,0))</f>
        <v>#VALUE!</v>
      </c>
      <c r="V68" s="696" t="e">
        <f aca="false">IF(V58="","",MAX(V$6-V39-V53-V67,0))</f>
        <v>#VALUE!</v>
      </c>
      <c r="W68" s="696" t="e">
        <f aca="false">IF(W58="","",MAX(W$6-W39-W53-W67,0))</f>
        <v>#VALUE!</v>
      </c>
      <c r="X68" s="696" t="e">
        <f aca="false">IF(X58="","",MAX(X$6-X39-X53-X67,0))</f>
        <v>#VALUE!</v>
      </c>
      <c r="Y68" s="696" t="e">
        <f aca="false">IF(Y58="","",MAX(Y$6-Y39-Y53-Y67,0))</f>
        <v>#VALUE!</v>
      </c>
      <c r="Z68" s="696" t="e">
        <f aca="false">IF(Z58="","",MAX(Z$6-Z39-Z53-Z67,0))</f>
        <v>#VALUE!</v>
      </c>
      <c r="AA68" s="696" t="e">
        <f aca="false">IF(AA58="","",MAX(AA$6-AA39-AA53-AA67,0))</f>
        <v>#VALUE!</v>
      </c>
      <c r="AB68" s="696" t="e">
        <f aca="false">IF(AB58="","",MAX(AB$6-AB39-AB53-AB67,0))</f>
        <v>#VALUE!</v>
      </c>
      <c r="AC68" s="696" t="e">
        <f aca="false">IF(AC58="","",MAX(AC$6-AC39-AC53-AC67,0))</f>
        <v>#VALUE!</v>
      </c>
      <c r="AD68" s="696" t="e">
        <f aca="false">IF(AD58="","",MAX(AD$6-AD39-AD53-AD67,0))</f>
        <v>#VALUE!</v>
      </c>
      <c r="AE68" s="697" t="e">
        <f aca="false">IF(AE58="","",MAX(AE$6-AE39-AE53-AE67,0))</f>
        <v>#VALUE!</v>
      </c>
      <c r="AF68" s="696" t="e">
        <f aca="false">IF(AF58="","",MAX(AF$6-AF39-AF53-AF67,0))</f>
        <v>#VALUE!</v>
      </c>
      <c r="AG68" s="696" t="e">
        <f aca="false">IF(AG58="","",MAX(AG$6-AG39-AG53-AG67,0))</f>
        <v>#VALUE!</v>
      </c>
      <c r="AH68" s="696" t="e">
        <f aca="false">IF(AH58="","",MAX(AH$6-AH39-AH53-AH67,0))</f>
        <v>#VALUE!</v>
      </c>
      <c r="AI68" s="696" t="e">
        <f aca="false">IF(AI58="","",MAX(AI$6-AI39-AI53-AI67,0))</f>
        <v>#VALUE!</v>
      </c>
      <c r="AJ68" s="696" t="e">
        <f aca="false">IF(AJ58="","",MAX(AJ$6-AJ39-AJ53-AJ67,0))</f>
        <v>#VALUE!</v>
      </c>
      <c r="AK68" s="696" t="e">
        <f aca="false">IF(AK58="","",MAX(AK$6-AK39-AK53-AK67,0))</f>
        <v>#VALUE!</v>
      </c>
      <c r="AL68" s="696" t="e">
        <f aca="false">IF(AL58="","",MAX(AL$6-AL39-AL53-AL67,0))</f>
        <v>#VALUE!</v>
      </c>
      <c r="AM68" s="696" t="e">
        <f aca="false">IF(AM58="","",MAX(AM$6-AM39-AM53-AM67,0))</f>
        <v>#VALUE!</v>
      </c>
      <c r="AN68" s="696" t="e">
        <f aca="false">IF(AN58="","",MAX(AN$6-AN39-AN53-AN67,0))</f>
        <v>#VALUE!</v>
      </c>
      <c r="AO68" s="696" t="e">
        <f aca="false">IF(AO58="","",MAX(AO$6-AO39-AO53-AO67,0))</f>
        <v>#VALUE!</v>
      </c>
      <c r="AP68" s="696" t="e">
        <f aca="false">IF(AP58="","",MAX(AP$6-AP39-AP53-AP67,0))</f>
        <v>#VALUE!</v>
      </c>
      <c r="AQ68" s="697" t="e">
        <f aca="false">IF(AQ58="","",MAX(AQ$6-AQ39-AQ53-AQ67,0))</f>
        <v>#VALUE!</v>
      </c>
      <c r="AR68" s="696" t="e">
        <f aca="false">IF(AR58="","",MAX(AR$6-AR39-AR53-AR67,0))</f>
        <v>#VALUE!</v>
      </c>
      <c r="AS68" s="696" t="e">
        <f aca="false">IF(AS58="","",MAX(AS$6-AS39-AS53-AS67,0))</f>
        <v>#VALUE!</v>
      </c>
      <c r="AT68" s="696" t="e">
        <f aca="false">IF(AT58="","",MAX(AT$6-AT39-AT53-AT67,0))</f>
        <v>#VALUE!</v>
      </c>
      <c r="AU68" s="696" t="e">
        <f aca="false">IF(AU58="","",MAX(AU$6-AU39-AU53-AU67,0))</f>
        <v>#VALUE!</v>
      </c>
      <c r="AV68" s="696" t="e">
        <f aca="false">IF(AV58="","",MAX(AV$6-AV39-AV53-AV67,0))</f>
        <v>#VALUE!</v>
      </c>
      <c r="AW68" s="696" t="e">
        <f aca="false">IF(AW58="","",MAX(AW$6-AW39-AW53-AW67,0))</f>
        <v>#VALUE!</v>
      </c>
      <c r="AX68" s="696" t="e">
        <f aca="false">IF(AX58="","",MAX(AX$6-AX39-AX53-AX67,0))</f>
        <v>#VALUE!</v>
      </c>
      <c r="AY68" s="696" t="e">
        <f aca="false">IF(AY58="","",MAX(AY$6-AY39-AY53-AY67,0))</f>
        <v>#VALUE!</v>
      </c>
      <c r="AZ68" s="696" t="e">
        <f aca="false">IF(AZ58="","",MAX(AZ$6-AZ39-AZ53-AZ67,0))</f>
        <v>#VALUE!</v>
      </c>
      <c r="BA68" s="696" t="e">
        <f aca="false">IF(BA58="","",MAX(BA$6-BA39-BA53-BA67,0))</f>
        <v>#VALUE!</v>
      </c>
      <c r="BB68" s="696" t="e">
        <f aca="false">IF(BB58="","",MAX(BB$6-BB39-BB53-BB67,0))</f>
        <v>#VALUE!</v>
      </c>
      <c r="BC68" s="697" t="e">
        <f aca="false">IF(BC58="","",MAX(BC$6-BC39-BC53-BC67,0))</f>
        <v>#VALUE!</v>
      </c>
      <c r="BD68" s="696" t="e">
        <f aca="false">IF(BD58="","",MAX(BD$6-BD39-BD53-BD67,0))</f>
        <v>#VALUE!</v>
      </c>
      <c r="BE68" s="696" t="e">
        <f aca="false">IF(BE58="","",MAX(BE$6-BE39-BE53-BE67,0))</f>
        <v>#VALUE!</v>
      </c>
      <c r="BF68" s="696" t="e">
        <f aca="false">IF(BF58="","",MAX(BF$6-BF39-BF53-BF67,0))</f>
        <v>#VALUE!</v>
      </c>
      <c r="BG68" s="696" t="e">
        <f aca="false">IF(BG58="","",MAX(BG$6-BG39-BG53-BG67,0))</f>
        <v>#VALUE!</v>
      </c>
      <c r="BH68" s="696" t="e">
        <f aca="false">IF(BH58="","",MAX(BH$6-BH39-BH53-BH67,0))</f>
        <v>#VALUE!</v>
      </c>
      <c r="BI68" s="696" t="e">
        <f aca="false">IF(BI58="","",MAX(BI$6-BI39-BI53-BI67,0))</f>
        <v>#VALUE!</v>
      </c>
      <c r="BJ68" s="696" t="e">
        <f aca="false">IF(BJ58="","",MAX(BJ$6-BJ39-BJ53-BJ67,0))</f>
        <v>#VALUE!</v>
      </c>
      <c r="BK68" s="696" t="e">
        <f aca="false">IF(BK58="","",MAX(BK$6-BK39-BK53-BK67,0))</f>
        <v>#VALUE!</v>
      </c>
      <c r="BL68" s="696" t="e">
        <f aca="false">IF(BL58="","",MAX(BL$6-BL39-BL53-BL67,0))</f>
        <v>#VALUE!</v>
      </c>
      <c r="BM68" s="696" t="e">
        <f aca="false">IF(BM58="","",MAX(BM$6-BM39-BM53-BM67,0))</f>
        <v>#VALUE!</v>
      </c>
      <c r="BN68" s="696" t="e">
        <f aca="false">IF(BN58="","",MAX(BN$6-BN39-BN53-BN67,0))</f>
        <v>#VALUE!</v>
      </c>
      <c r="BO68" s="697" t="e">
        <f aca="false">IF(BO58="","",MAX(BO$6-BO39-BO53-BO67,0))</f>
        <v>#VALUE!</v>
      </c>
      <c r="BP68" s="696" t="e">
        <f aca="false">IF(BP58="","",MAX(BP$6-BP39-BP53-BP67,0))</f>
        <v>#VALUE!</v>
      </c>
      <c r="BQ68" s="696" t="e">
        <f aca="false">IF(BQ58="","",MAX(BQ$6-BQ39-BQ53-BQ67,0))</f>
        <v>#VALUE!</v>
      </c>
      <c r="BR68" s="696" t="e">
        <f aca="false">IF(BR58="","",MAX(BR$6-BR39-BR53-BR67,0))</f>
        <v>#VALUE!</v>
      </c>
      <c r="BS68" s="696" t="e">
        <f aca="false">IF(BS58="","",MAX(BS$6-BS39-BS53-BS67,0))</f>
        <v>#VALUE!</v>
      </c>
      <c r="BT68" s="696" t="e">
        <f aca="false">IF(BT58="","",MAX(BT$6-BT39-BT53-BT67,0))</f>
        <v>#VALUE!</v>
      </c>
      <c r="BU68" s="696" t="e">
        <f aca="false">IF(BU58="","",MAX(BU$6-BU39-BU53-BU67,0))</f>
        <v>#VALUE!</v>
      </c>
      <c r="BV68" s="696" t="e">
        <f aca="false">IF(BV58="","",MAX(BV$6-BV39-BV53-BV67,0))</f>
        <v>#VALUE!</v>
      </c>
      <c r="BW68" s="696" t="e">
        <f aca="false">IF(BW58="","",MAX(BW$6-BW39-BW53-BW67,0))</f>
        <v>#VALUE!</v>
      </c>
      <c r="BX68" s="696" t="e">
        <f aca="false">IF(BX58="","",MAX(BX$6-BX39-BX53-BX67,0))</f>
        <v>#VALUE!</v>
      </c>
      <c r="BY68" s="696" t="e">
        <f aca="false">IF(BY58="","",MAX(BY$6-BY39-BY53-BY67,0))</f>
        <v>#VALUE!</v>
      </c>
      <c r="BZ68" s="696" t="e">
        <f aca="false">IF(BZ58="","",MAX(BZ$6-BZ39-BZ53-BZ67,0))</f>
        <v>#VALUE!</v>
      </c>
      <c r="CA68" s="697" t="e">
        <f aca="false">IF(CA58="","",MAX(CA$6-CA39-CA53-CA67,0))</f>
        <v>#VALUE!</v>
      </c>
      <c r="CB68" s="696" t="e">
        <f aca="false">IF(CB58="","",MAX(CB$6-CB39-CB53-CB67,0))</f>
        <v>#VALUE!</v>
      </c>
      <c r="CC68" s="696" t="e">
        <f aca="false">IF(CC58="","",MAX(CC$6-CC39-CC53-CC67,0))</f>
        <v>#VALUE!</v>
      </c>
      <c r="CD68" s="696" t="e">
        <f aca="false">IF(CD58="","",MAX(CD$6-CD39-CD53-CD67,0))</f>
        <v>#VALUE!</v>
      </c>
      <c r="CE68" s="696" t="e">
        <f aca="false">IF(CE58="","",MAX(CE$6-CE39-CE53-CE67,0))</f>
        <v>#VALUE!</v>
      </c>
      <c r="CF68" s="696" t="e">
        <f aca="false">IF(CF58="","",MAX(CF$6-CF39-CF53-CF67,0))</f>
        <v>#VALUE!</v>
      </c>
      <c r="CG68" s="696" t="e">
        <f aca="false">IF(CG58="","",MAX(CG$6-CG39-CG53-CG67,0))</f>
        <v>#VALUE!</v>
      </c>
      <c r="CH68" s="696" t="e">
        <f aca="false">IF(CH58="","",MAX(CH$6-CH39-CH53-CH67,0))</f>
        <v>#VALUE!</v>
      </c>
      <c r="CI68" s="696" t="e">
        <f aca="false">IF(CI58="","",MAX(CI$6-CI39-CI53-CI67,0))</f>
        <v>#VALUE!</v>
      </c>
      <c r="CJ68" s="696" t="e">
        <f aca="false">IF(CJ58="","",MAX(CJ$6-CJ39-CJ53-CJ67,0))</f>
        <v>#VALUE!</v>
      </c>
      <c r="CK68" s="696" t="e">
        <f aca="false">IF(CK58="","",MAX(CK$6-CK39-CK53-CK67,0))</f>
        <v>#VALUE!</v>
      </c>
      <c r="CL68" s="696" t="e">
        <f aca="false">IF(CL58="","",MAX(CL$6-CL39-CL53-CL67,0))</f>
        <v>#VALUE!</v>
      </c>
      <c r="CM68" s="697" t="e">
        <f aca="false">IF(CM58="","",MAX(CM$6-CM39-CM53-CM67,0))</f>
        <v>#VALUE!</v>
      </c>
      <c r="CN68" s="696" t="e">
        <f aca="false">IF(CN58="","",MAX(CN$6-CN39-CN53-CN67,0))</f>
        <v>#VALUE!</v>
      </c>
      <c r="CO68" s="696" t="e">
        <f aca="false">IF(CO58="","",MAX(CO$6-CO39-CO53-CO67,0))</f>
        <v>#VALUE!</v>
      </c>
      <c r="CP68" s="696" t="e">
        <f aca="false">IF(CP58="","",MAX(CP$6-CP39-CP53-CP67,0))</f>
        <v>#VALUE!</v>
      </c>
      <c r="CQ68" s="696" t="e">
        <f aca="false">IF(CQ58="","",MAX(CQ$6-CQ39-CQ53-CQ67,0))</f>
        <v>#VALUE!</v>
      </c>
      <c r="CR68" s="696" t="e">
        <f aca="false">IF(CR58="","",MAX(CR$6-CR39-CR53-CR67,0))</f>
        <v>#VALUE!</v>
      </c>
      <c r="CS68" s="696" t="e">
        <f aca="false">IF(CS58="","",MAX(CS$6-CS39-CS53-CS67,0))</f>
        <v>#VALUE!</v>
      </c>
      <c r="CT68" s="696" t="e">
        <f aca="false">IF(CT58="","",MAX(CT$6-CT39-CT53-CT67,0))</f>
        <v>#VALUE!</v>
      </c>
      <c r="CU68" s="696" t="e">
        <f aca="false">IF(CU58="","",MAX(CU$6-CU39-CU53-CU67,0))</f>
        <v>#VALUE!</v>
      </c>
      <c r="CV68" s="696" t="e">
        <f aca="false">IF(CV58="","",MAX(CV$6-CV39-CV53-CV67,0))</f>
        <v>#VALUE!</v>
      </c>
      <c r="CW68" s="696" t="e">
        <f aca="false">IF(CW58="","",MAX(CW$6-CW39-CW53-CW67,0))</f>
        <v>#VALUE!</v>
      </c>
      <c r="CX68" s="696" t="e">
        <f aca="false">IF(CX58="","",MAX(CX$6-CX39-CX53-CX67,0))</f>
        <v>#VALUE!</v>
      </c>
      <c r="CY68" s="697" t="e">
        <f aca="false">IF(CY58="","",MAX(CY$6-CY39-CY53-CY67,0))</f>
        <v>#VALUE!</v>
      </c>
      <c r="CZ68" s="696" t="e">
        <f aca="false">IF(CZ58="","",MAX(CZ$6-CZ39-CZ53-CZ67,0))</f>
        <v>#VALUE!</v>
      </c>
      <c r="DA68" s="696" t="e">
        <f aca="false">IF(DA58="","",MAX(DA$6-DA39-DA53-DA67,0))</f>
        <v>#VALUE!</v>
      </c>
      <c r="DB68" s="696" t="e">
        <f aca="false">IF(DB58="","",MAX(DB$6-DB39-DB53-DB67,0))</f>
        <v>#VALUE!</v>
      </c>
      <c r="DC68" s="696" t="e">
        <f aca="false">IF(DC58="","",MAX(DC$6-DC39-DC53-DC67,0))</f>
        <v>#VALUE!</v>
      </c>
      <c r="DD68" s="696" t="e">
        <f aca="false">IF(DD58="","",MAX(DD$6-DD39-DD53-DD67,0))</f>
        <v>#VALUE!</v>
      </c>
      <c r="DE68" s="696" t="e">
        <f aca="false">IF(DE58="","",MAX(DE$6-DE39-DE53-DE67,0))</f>
        <v>#VALUE!</v>
      </c>
      <c r="DF68" s="696" t="e">
        <f aca="false">IF(DF58="","",MAX(DF$6-DF39-DF53-DF67,0))</f>
        <v>#VALUE!</v>
      </c>
      <c r="DG68" s="696" t="e">
        <f aca="false">IF(DG58="","",MAX(DG$6-DG39-DG53-DG67,0))</f>
        <v>#VALUE!</v>
      </c>
      <c r="DH68" s="696" t="e">
        <f aca="false">IF(DH58="","",MAX(DH$6-DH39-DH53-DH67,0))</f>
        <v>#VALUE!</v>
      </c>
      <c r="DI68" s="696" t="e">
        <f aca="false">IF(DI58="","",MAX(DI$6-DI39-DI53-DI67,0))</f>
        <v>#VALUE!</v>
      </c>
      <c r="DJ68" s="696" t="e">
        <f aca="false">IF(DJ58="","",MAX(DJ$6-DJ39-DJ53-DJ67,0))</f>
        <v>#VALUE!</v>
      </c>
      <c r="DK68" s="697" t="e">
        <f aca="false">IF(DK58="","",MAX(DK$6-DK39-DK53-DK67,0))</f>
        <v>#VALUE!</v>
      </c>
      <c r="DL68" s="696" t="e">
        <f aca="false">IF(DL58="","",MAX(DL$6-DL39-DL53-DL67,0))</f>
        <v>#VALUE!</v>
      </c>
      <c r="DM68" s="696" t="e">
        <f aca="false">IF(DM58="","",MAX(DM$6-DM39-DM53-DM67,0))</f>
        <v>#VALUE!</v>
      </c>
      <c r="DN68" s="696" t="e">
        <f aca="false">IF(DN58="","",MAX(DN$6-DN39-DN53-DN67,0))</f>
        <v>#VALUE!</v>
      </c>
      <c r="DO68" s="696" t="e">
        <f aca="false">IF(DO58="","",MAX(DO$6-DO39-DO53-DO67,0))</f>
        <v>#VALUE!</v>
      </c>
      <c r="DP68" s="696" t="e">
        <f aca="false">IF(DP58="","",MAX(DP$6-DP39-DP53-DP67,0))</f>
        <v>#VALUE!</v>
      </c>
      <c r="DQ68" s="696" t="e">
        <f aca="false">IF(DQ58="","",MAX(DQ$6-DQ39-DQ53-DQ67,0))</f>
        <v>#VALUE!</v>
      </c>
      <c r="DR68" s="696" t="e">
        <f aca="false">IF(DR58="","",MAX(DR$6-DR39-DR53-DR67,0))</f>
        <v>#VALUE!</v>
      </c>
      <c r="DS68" s="696" t="e">
        <f aca="false">IF(DS58="","",MAX(DS$6-DS39-DS53-DS67,0))</f>
        <v>#VALUE!</v>
      </c>
      <c r="DT68" s="696" t="e">
        <f aca="false">IF(DT58="","",MAX(DT$6-DT39-DT53-DT67,0))</f>
        <v>#VALUE!</v>
      </c>
      <c r="DU68" s="696" t="e">
        <f aca="false">IF(DU58="","",MAX(DU$6-DU39-DU53-DU67,0))</f>
        <v>#VALUE!</v>
      </c>
      <c r="DV68" s="698" t="e">
        <f aca="false">IF(DV58="","",MAX(DV$6-DV39-DV53-DV67,0))</f>
        <v>#VALUE!</v>
      </c>
    </row>
    <row r="69" s="683" customFormat="true" ht="13.5" hidden="false" customHeight="true" outlineLevel="0" collapsed="false">
      <c r="A69" s="236"/>
      <c r="B69" s="69"/>
      <c r="C69" s="242"/>
      <c r="D69" s="242"/>
      <c r="E69" s="242"/>
      <c r="F69" s="688"/>
      <c r="G69" s="689"/>
      <c r="H69" s="688"/>
      <c r="I69" s="688"/>
      <c r="J69" s="688"/>
      <c r="K69" s="688"/>
      <c r="L69" s="688"/>
      <c r="M69" s="688"/>
      <c r="N69" s="688"/>
      <c r="O69" s="688"/>
      <c r="P69" s="688"/>
      <c r="Q69" s="688"/>
      <c r="R69" s="688"/>
      <c r="S69" s="689"/>
      <c r="T69" s="688"/>
      <c r="U69" s="688"/>
      <c r="V69" s="688"/>
      <c r="W69" s="688"/>
      <c r="X69" s="688"/>
      <c r="Y69" s="688"/>
      <c r="Z69" s="688"/>
      <c r="AA69" s="688"/>
      <c r="AB69" s="688"/>
      <c r="AC69" s="688"/>
      <c r="AD69" s="688"/>
      <c r="AE69" s="689"/>
      <c r="AF69" s="688"/>
      <c r="AG69" s="688"/>
      <c r="AH69" s="688"/>
      <c r="AI69" s="688"/>
      <c r="AJ69" s="688"/>
      <c r="AK69" s="688"/>
      <c r="AL69" s="688"/>
      <c r="AM69" s="688"/>
      <c r="AN69" s="688"/>
      <c r="AO69" s="688"/>
      <c r="AP69" s="688"/>
      <c r="AQ69" s="689"/>
      <c r="AR69" s="688"/>
      <c r="AS69" s="688"/>
      <c r="AT69" s="688"/>
      <c r="AU69" s="688"/>
      <c r="AV69" s="688"/>
      <c r="AW69" s="688"/>
      <c r="AX69" s="688"/>
      <c r="AY69" s="688"/>
      <c r="AZ69" s="688"/>
      <c r="BA69" s="688"/>
      <c r="BB69" s="688"/>
      <c r="BC69" s="689"/>
      <c r="BD69" s="688"/>
      <c r="BE69" s="688"/>
      <c r="BF69" s="688"/>
      <c r="BG69" s="688"/>
      <c r="BH69" s="688"/>
      <c r="BI69" s="688"/>
      <c r="BJ69" s="688"/>
      <c r="BK69" s="688"/>
      <c r="BL69" s="688"/>
      <c r="BM69" s="688"/>
      <c r="BN69" s="688"/>
      <c r="BO69" s="689"/>
      <c r="BP69" s="688"/>
      <c r="BQ69" s="688"/>
      <c r="BR69" s="688"/>
      <c r="BS69" s="688"/>
      <c r="BT69" s="688"/>
      <c r="BU69" s="688"/>
      <c r="BV69" s="688"/>
      <c r="BW69" s="688"/>
      <c r="BX69" s="688"/>
      <c r="BY69" s="688"/>
      <c r="BZ69" s="688"/>
      <c r="CA69" s="689"/>
      <c r="CB69" s="688"/>
      <c r="CC69" s="688"/>
      <c r="CD69" s="688"/>
      <c r="CE69" s="688"/>
      <c r="CF69" s="688"/>
      <c r="CG69" s="688"/>
      <c r="CH69" s="688"/>
      <c r="CI69" s="688"/>
      <c r="CJ69" s="688"/>
      <c r="CK69" s="688"/>
      <c r="CL69" s="688"/>
      <c r="CM69" s="689"/>
      <c r="CN69" s="688"/>
      <c r="CO69" s="688"/>
      <c r="CP69" s="688"/>
      <c r="CQ69" s="688"/>
      <c r="CR69" s="688"/>
      <c r="CS69" s="688"/>
      <c r="CT69" s="688"/>
      <c r="CU69" s="688"/>
      <c r="CV69" s="688"/>
      <c r="CW69" s="688"/>
      <c r="CX69" s="688"/>
      <c r="CY69" s="689"/>
      <c r="CZ69" s="688"/>
      <c r="DA69" s="688"/>
      <c r="DB69" s="688"/>
      <c r="DC69" s="688"/>
      <c r="DD69" s="688"/>
      <c r="DE69" s="688"/>
      <c r="DF69" s="688"/>
      <c r="DG69" s="688"/>
      <c r="DH69" s="688"/>
      <c r="DI69" s="688"/>
      <c r="DJ69" s="688"/>
      <c r="DK69" s="689"/>
      <c r="DL69" s="688"/>
      <c r="DM69" s="688"/>
      <c r="DN69" s="688"/>
      <c r="DO69" s="688"/>
      <c r="DP69" s="688"/>
      <c r="DQ69" s="688"/>
      <c r="DR69" s="688"/>
      <c r="DS69" s="688"/>
      <c r="DT69" s="688"/>
      <c r="DU69" s="688"/>
      <c r="DV69" s="690"/>
    </row>
    <row r="70" s="683" customFormat="true" ht="13.5" hidden="false" customHeight="true" outlineLevel="0" collapsed="false">
      <c r="A70" s="236"/>
      <c r="B70" s="422" t="s">
        <v>104</v>
      </c>
      <c r="C70" s="658"/>
      <c r="D70" s="658"/>
      <c r="E70" s="658"/>
      <c r="F70" s="718"/>
      <c r="G70" s="719"/>
      <c r="H70" s="718"/>
      <c r="I70" s="718"/>
      <c r="J70" s="718"/>
      <c r="K70" s="718"/>
      <c r="L70" s="718"/>
      <c r="M70" s="718"/>
      <c r="N70" s="718"/>
      <c r="O70" s="718"/>
      <c r="P70" s="718"/>
      <c r="Q70" s="718"/>
      <c r="R70" s="718"/>
      <c r="S70" s="719"/>
      <c r="T70" s="718"/>
      <c r="U70" s="718"/>
      <c r="V70" s="718"/>
      <c r="W70" s="718"/>
      <c r="X70" s="718"/>
      <c r="Y70" s="718"/>
      <c r="Z70" s="718"/>
      <c r="AA70" s="718"/>
      <c r="AB70" s="718"/>
      <c r="AC70" s="718"/>
      <c r="AD70" s="718"/>
      <c r="AE70" s="719"/>
      <c r="AF70" s="718"/>
      <c r="AG70" s="718"/>
      <c r="AH70" s="718"/>
      <c r="AI70" s="718"/>
      <c r="AJ70" s="718"/>
      <c r="AK70" s="718"/>
      <c r="AL70" s="718"/>
      <c r="AM70" s="718"/>
      <c r="AN70" s="718"/>
      <c r="AO70" s="718"/>
      <c r="AP70" s="718"/>
      <c r="AQ70" s="719"/>
      <c r="AR70" s="718"/>
      <c r="AS70" s="718"/>
      <c r="AT70" s="718"/>
      <c r="AU70" s="718"/>
      <c r="AV70" s="718"/>
      <c r="AW70" s="718"/>
      <c r="AX70" s="718"/>
      <c r="AY70" s="718"/>
      <c r="AZ70" s="718"/>
      <c r="BA70" s="718"/>
      <c r="BB70" s="718"/>
      <c r="BC70" s="719"/>
      <c r="BD70" s="718"/>
      <c r="BE70" s="718"/>
      <c r="BF70" s="718"/>
      <c r="BG70" s="718"/>
      <c r="BH70" s="718"/>
      <c r="BI70" s="718"/>
      <c r="BJ70" s="718"/>
      <c r="BK70" s="718"/>
      <c r="BL70" s="718"/>
      <c r="BM70" s="718"/>
      <c r="BN70" s="718"/>
      <c r="BO70" s="719"/>
      <c r="BP70" s="718"/>
      <c r="BQ70" s="718"/>
      <c r="BR70" s="718"/>
      <c r="BS70" s="718"/>
      <c r="BT70" s="718"/>
      <c r="BU70" s="718"/>
      <c r="BV70" s="718"/>
      <c r="BW70" s="718"/>
      <c r="BX70" s="718"/>
      <c r="BY70" s="718"/>
      <c r="BZ70" s="718"/>
      <c r="CA70" s="719"/>
      <c r="CB70" s="718"/>
      <c r="CC70" s="718"/>
      <c r="CD70" s="718"/>
      <c r="CE70" s="718"/>
      <c r="CF70" s="718"/>
      <c r="CG70" s="718"/>
      <c r="CH70" s="718"/>
      <c r="CI70" s="718"/>
      <c r="CJ70" s="718"/>
      <c r="CK70" s="718"/>
      <c r="CL70" s="718"/>
      <c r="CM70" s="719"/>
      <c r="CN70" s="718"/>
      <c r="CO70" s="718"/>
      <c r="CP70" s="718"/>
      <c r="CQ70" s="718"/>
      <c r="CR70" s="718"/>
      <c r="CS70" s="718"/>
      <c r="CT70" s="718"/>
      <c r="CU70" s="718"/>
      <c r="CV70" s="718"/>
      <c r="CW70" s="718"/>
      <c r="CX70" s="718"/>
      <c r="CY70" s="719"/>
      <c r="CZ70" s="718"/>
      <c r="DA70" s="718"/>
      <c r="DB70" s="718"/>
      <c r="DC70" s="718"/>
      <c r="DD70" s="718"/>
      <c r="DE70" s="718"/>
      <c r="DF70" s="718"/>
      <c r="DG70" s="718"/>
      <c r="DH70" s="718"/>
      <c r="DI70" s="718"/>
      <c r="DJ70" s="718"/>
      <c r="DK70" s="719"/>
      <c r="DL70" s="718"/>
      <c r="DM70" s="718"/>
      <c r="DN70" s="718"/>
      <c r="DO70" s="718"/>
      <c r="DP70" s="718"/>
      <c r="DQ70" s="718"/>
      <c r="DR70" s="718"/>
      <c r="DS70" s="718"/>
      <c r="DT70" s="718"/>
      <c r="DU70" s="718"/>
      <c r="DV70" s="720"/>
    </row>
    <row r="71" s="683" customFormat="true" ht="13.5" hidden="false" customHeight="true" outlineLevel="0" collapsed="false">
      <c r="A71" s="236"/>
      <c r="B71" s="69" t="s">
        <v>650</v>
      </c>
      <c r="C71" s="242"/>
      <c r="D71" s="242"/>
      <c r="E71" s="242"/>
      <c r="F71" s="688" t="str">
        <f aca="false">IF(F58="","",F68*'Executive Summary'!$T$23)</f>
        <v/>
      </c>
      <c r="G71" s="689" t="e">
        <f aca="false">IF(G58="","",G68*'Executive Summary'!$T$23)</f>
        <v>#VALUE!</v>
      </c>
      <c r="H71" s="688" t="e">
        <f aca="false">IF(H58="","",H68*'Executive Summary'!$T$23)</f>
        <v>#VALUE!</v>
      </c>
      <c r="I71" s="688" t="e">
        <f aca="false">IF(I58="","",I68*'Executive Summary'!$T$23)</f>
        <v>#VALUE!</v>
      </c>
      <c r="J71" s="688" t="e">
        <f aca="false">IF(J58="","",J68*'Executive Summary'!$T$23)</f>
        <v>#VALUE!</v>
      </c>
      <c r="K71" s="688" t="e">
        <f aca="false">IF(K58="","",K68*'Executive Summary'!$T$23)</f>
        <v>#VALUE!</v>
      </c>
      <c r="L71" s="688" t="e">
        <f aca="false">IF(L58="","",L68*'Executive Summary'!$T$23)</f>
        <v>#VALUE!</v>
      </c>
      <c r="M71" s="688" t="e">
        <f aca="false">IF(M58="","",M68*'Executive Summary'!$T$23)</f>
        <v>#VALUE!</v>
      </c>
      <c r="N71" s="688" t="e">
        <f aca="false">IF(N58="","",N68*'Executive Summary'!$T$23)</f>
        <v>#VALUE!</v>
      </c>
      <c r="O71" s="688" t="e">
        <f aca="false">IF(O58="","",O68*'Executive Summary'!$T$23)</f>
        <v>#VALUE!</v>
      </c>
      <c r="P71" s="688" t="e">
        <f aca="false">IF(P58="","",P68*'Executive Summary'!$T$23)</f>
        <v>#VALUE!</v>
      </c>
      <c r="Q71" s="688" t="e">
        <f aca="false">IF(Q58="","",Q68*'Executive Summary'!$T$23)</f>
        <v>#VALUE!</v>
      </c>
      <c r="R71" s="688" t="e">
        <f aca="false">IF(R58="","",R68*'Executive Summary'!$T$23)</f>
        <v>#VALUE!</v>
      </c>
      <c r="S71" s="689" t="e">
        <f aca="false">IF(S58="","",S68*'Executive Summary'!$T$23)</f>
        <v>#VALUE!</v>
      </c>
      <c r="T71" s="688" t="e">
        <f aca="false">IF(T58="","",T68*'Executive Summary'!$T$23)</f>
        <v>#VALUE!</v>
      </c>
      <c r="U71" s="688" t="e">
        <f aca="false">IF(U58="","",U68*'Executive Summary'!$T$23)</f>
        <v>#VALUE!</v>
      </c>
      <c r="V71" s="688" t="e">
        <f aca="false">IF(V58="","",V68*'Executive Summary'!$T$23)</f>
        <v>#VALUE!</v>
      </c>
      <c r="W71" s="688" t="e">
        <f aca="false">IF(W58="","",W68*'Executive Summary'!$T$23)</f>
        <v>#VALUE!</v>
      </c>
      <c r="X71" s="688" t="e">
        <f aca="false">IF(X58="","",X68*'Executive Summary'!$T$23)</f>
        <v>#VALUE!</v>
      </c>
      <c r="Y71" s="688" t="e">
        <f aca="false">IF(Y58="","",Y68*'Executive Summary'!$T$23)</f>
        <v>#VALUE!</v>
      </c>
      <c r="Z71" s="688" t="e">
        <f aca="false">IF(Z58="","",Z68*'Executive Summary'!$T$23)</f>
        <v>#VALUE!</v>
      </c>
      <c r="AA71" s="688" t="e">
        <f aca="false">IF(AA58="","",AA68*'Executive Summary'!$T$23)</f>
        <v>#VALUE!</v>
      </c>
      <c r="AB71" s="688" t="e">
        <f aca="false">IF(AB58="","",AB68*'Executive Summary'!$T$23)</f>
        <v>#VALUE!</v>
      </c>
      <c r="AC71" s="688" t="e">
        <f aca="false">IF(AC58="","",AC68*'Executive Summary'!$T$23)</f>
        <v>#VALUE!</v>
      </c>
      <c r="AD71" s="688" t="e">
        <f aca="false">IF(AD58="","",AD68*'Executive Summary'!$T$23)</f>
        <v>#VALUE!</v>
      </c>
      <c r="AE71" s="689" t="e">
        <f aca="false">IF(AE58="","",AE68*'Executive Summary'!$T$23)</f>
        <v>#VALUE!</v>
      </c>
      <c r="AF71" s="688" t="e">
        <f aca="false">IF(AF58="","",AF68*'Executive Summary'!$T$23)</f>
        <v>#VALUE!</v>
      </c>
      <c r="AG71" s="688" t="e">
        <f aca="false">IF(AG58="","",AG68*'Executive Summary'!$T$23)</f>
        <v>#VALUE!</v>
      </c>
      <c r="AH71" s="688" t="e">
        <f aca="false">IF(AH58="","",AH68*'Executive Summary'!$T$23)</f>
        <v>#VALUE!</v>
      </c>
      <c r="AI71" s="688" t="e">
        <f aca="false">IF(AI58="","",AI68*'Executive Summary'!$T$23)</f>
        <v>#VALUE!</v>
      </c>
      <c r="AJ71" s="688" t="e">
        <f aca="false">IF(AJ58="","",AJ68*'Executive Summary'!$T$23)</f>
        <v>#VALUE!</v>
      </c>
      <c r="AK71" s="688" t="e">
        <f aca="false">IF(AK58="","",AK68*'Executive Summary'!$T$23)</f>
        <v>#VALUE!</v>
      </c>
      <c r="AL71" s="688" t="e">
        <f aca="false">IF(AL58="","",AL68*'Executive Summary'!$T$23)</f>
        <v>#VALUE!</v>
      </c>
      <c r="AM71" s="688" t="e">
        <f aca="false">IF(AM58="","",AM68*'Executive Summary'!$T$23)</f>
        <v>#VALUE!</v>
      </c>
      <c r="AN71" s="688" t="e">
        <f aca="false">IF(AN58="","",AN68*'Executive Summary'!$T$23)</f>
        <v>#VALUE!</v>
      </c>
      <c r="AO71" s="688" t="e">
        <f aca="false">IF(AO58="","",AO68*'Executive Summary'!$T$23)</f>
        <v>#VALUE!</v>
      </c>
      <c r="AP71" s="688" t="e">
        <f aca="false">IF(AP58="","",AP68*'Executive Summary'!$T$23)</f>
        <v>#VALUE!</v>
      </c>
      <c r="AQ71" s="689" t="e">
        <f aca="false">IF(AQ58="","",AQ68*'Executive Summary'!$T$23)</f>
        <v>#VALUE!</v>
      </c>
      <c r="AR71" s="688" t="e">
        <f aca="false">IF(AR58="","",AR68*'Executive Summary'!$T$23)</f>
        <v>#VALUE!</v>
      </c>
      <c r="AS71" s="688" t="e">
        <f aca="false">IF(AS58="","",AS68*'Executive Summary'!$T$23)</f>
        <v>#VALUE!</v>
      </c>
      <c r="AT71" s="688" t="e">
        <f aca="false">IF(AT58="","",AT68*'Executive Summary'!$T$23)</f>
        <v>#VALUE!</v>
      </c>
      <c r="AU71" s="688" t="e">
        <f aca="false">IF(AU58="","",AU68*'Executive Summary'!$T$23)</f>
        <v>#VALUE!</v>
      </c>
      <c r="AV71" s="688" t="e">
        <f aca="false">IF(AV58="","",AV68*'Executive Summary'!$T$23)</f>
        <v>#VALUE!</v>
      </c>
      <c r="AW71" s="688" t="e">
        <f aca="false">IF(AW58="","",AW68*'Executive Summary'!$T$23)</f>
        <v>#VALUE!</v>
      </c>
      <c r="AX71" s="688" t="e">
        <f aca="false">IF(AX58="","",AX68*'Executive Summary'!$T$23)</f>
        <v>#VALUE!</v>
      </c>
      <c r="AY71" s="688" t="e">
        <f aca="false">IF(AY58="","",AY68*'Executive Summary'!$T$23)</f>
        <v>#VALUE!</v>
      </c>
      <c r="AZ71" s="688" t="e">
        <f aca="false">IF(AZ58="","",AZ68*'Executive Summary'!$T$23)</f>
        <v>#VALUE!</v>
      </c>
      <c r="BA71" s="688" t="e">
        <f aca="false">IF(BA58="","",BA68*'Executive Summary'!$T$23)</f>
        <v>#VALUE!</v>
      </c>
      <c r="BB71" s="688" t="e">
        <f aca="false">IF(BB58="","",BB68*'Executive Summary'!$T$23)</f>
        <v>#VALUE!</v>
      </c>
      <c r="BC71" s="689" t="e">
        <f aca="false">IF(BC58="","",BC68*'Executive Summary'!$T$23)</f>
        <v>#VALUE!</v>
      </c>
      <c r="BD71" s="688" t="e">
        <f aca="false">IF(BD58="","",BD68*'Executive Summary'!$T$23)</f>
        <v>#VALUE!</v>
      </c>
      <c r="BE71" s="688" t="e">
        <f aca="false">IF(BE58="","",BE68*'Executive Summary'!$T$23)</f>
        <v>#VALUE!</v>
      </c>
      <c r="BF71" s="688" t="e">
        <f aca="false">IF(BF58="","",BF68*'Executive Summary'!$T$23)</f>
        <v>#VALUE!</v>
      </c>
      <c r="BG71" s="688" t="e">
        <f aca="false">IF(BG58="","",BG68*'Executive Summary'!$T$23)</f>
        <v>#VALUE!</v>
      </c>
      <c r="BH71" s="688" t="e">
        <f aca="false">IF(BH58="","",BH68*'Executive Summary'!$T$23)</f>
        <v>#VALUE!</v>
      </c>
      <c r="BI71" s="688" t="e">
        <f aca="false">IF(BI58="","",BI68*'Executive Summary'!$T$23)</f>
        <v>#VALUE!</v>
      </c>
      <c r="BJ71" s="688" t="e">
        <f aca="false">IF(BJ58="","",BJ68*'Executive Summary'!$T$23)</f>
        <v>#VALUE!</v>
      </c>
      <c r="BK71" s="688" t="e">
        <f aca="false">IF(BK58="","",BK68*'Executive Summary'!$T$23)</f>
        <v>#VALUE!</v>
      </c>
      <c r="BL71" s="688" t="e">
        <f aca="false">IF(BL58="","",BL68*'Executive Summary'!$T$23)</f>
        <v>#VALUE!</v>
      </c>
      <c r="BM71" s="688" t="e">
        <f aca="false">IF(BM58="","",BM68*'Executive Summary'!$T$23)</f>
        <v>#VALUE!</v>
      </c>
      <c r="BN71" s="688" t="e">
        <f aca="false">IF(BN58="","",BN68*'Executive Summary'!$T$23)</f>
        <v>#VALUE!</v>
      </c>
      <c r="BO71" s="689" t="e">
        <f aca="false">IF(BO58="","",BO68*'Executive Summary'!$T$23)</f>
        <v>#VALUE!</v>
      </c>
      <c r="BP71" s="688" t="e">
        <f aca="false">IF(BP58="","",BP68*'Executive Summary'!$T$23)</f>
        <v>#VALUE!</v>
      </c>
      <c r="BQ71" s="688" t="e">
        <f aca="false">IF(BQ58="","",BQ68*'Executive Summary'!$T$23)</f>
        <v>#VALUE!</v>
      </c>
      <c r="BR71" s="688" t="e">
        <f aca="false">IF(BR58="","",BR68*'Executive Summary'!$T$23)</f>
        <v>#VALUE!</v>
      </c>
      <c r="BS71" s="688" t="e">
        <f aca="false">IF(BS58="","",BS68*'Executive Summary'!$T$23)</f>
        <v>#VALUE!</v>
      </c>
      <c r="BT71" s="688" t="e">
        <f aca="false">IF(BT58="","",BT68*'Executive Summary'!$T$23)</f>
        <v>#VALUE!</v>
      </c>
      <c r="BU71" s="688" t="e">
        <f aca="false">IF(BU58="","",BU68*'Executive Summary'!$T$23)</f>
        <v>#VALUE!</v>
      </c>
      <c r="BV71" s="688" t="e">
        <f aca="false">IF(BV58="","",BV68*'Executive Summary'!$T$23)</f>
        <v>#VALUE!</v>
      </c>
      <c r="BW71" s="688" t="e">
        <f aca="false">IF(BW58="","",BW68*'Executive Summary'!$T$23)</f>
        <v>#VALUE!</v>
      </c>
      <c r="BX71" s="688" t="e">
        <f aca="false">IF(BX58="","",BX68*'Executive Summary'!$T$23)</f>
        <v>#VALUE!</v>
      </c>
      <c r="BY71" s="688" t="e">
        <f aca="false">IF(BY58="","",BY68*'Executive Summary'!$T$23)</f>
        <v>#VALUE!</v>
      </c>
      <c r="BZ71" s="688" t="e">
        <f aca="false">IF(BZ58="","",BZ68*'Executive Summary'!$T$23)</f>
        <v>#VALUE!</v>
      </c>
      <c r="CA71" s="689" t="e">
        <f aca="false">IF(CA58="","",CA68*'Executive Summary'!$T$23)</f>
        <v>#VALUE!</v>
      </c>
      <c r="CB71" s="688" t="e">
        <f aca="false">IF(CB58="","",CB68*'Executive Summary'!$T$23)</f>
        <v>#VALUE!</v>
      </c>
      <c r="CC71" s="688" t="e">
        <f aca="false">IF(CC58="","",CC68*'Executive Summary'!$T$23)</f>
        <v>#VALUE!</v>
      </c>
      <c r="CD71" s="688" t="e">
        <f aca="false">IF(CD58="","",CD68*'Executive Summary'!$T$23)</f>
        <v>#VALUE!</v>
      </c>
      <c r="CE71" s="688" t="e">
        <f aca="false">IF(CE58="","",CE68*'Executive Summary'!$T$23)</f>
        <v>#VALUE!</v>
      </c>
      <c r="CF71" s="688" t="e">
        <f aca="false">IF(CF58="","",CF68*'Executive Summary'!$T$23)</f>
        <v>#VALUE!</v>
      </c>
      <c r="CG71" s="688" t="e">
        <f aca="false">IF(CG58="","",CG68*'Executive Summary'!$T$23)</f>
        <v>#VALUE!</v>
      </c>
      <c r="CH71" s="688" t="e">
        <f aca="false">IF(CH58="","",CH68*'Executive Summary'!$T$23)</f>
        <v>#VALUE!</v>
      </c>
      <c r="CI71" s="688" t="e">
        <f aca="false">IF(CI58="","",CI68*'Executive Summary'!$T$23)</f>
        <v>#VALUE!</v>
      </c>
      <c r="CJ71" s="688" t="e">
        <f aca="false">IF(CJ58="","",CJ68*'Executive Summary'!$T$23)</f>
        <v>#VALUE!</v>
      </c>
      <c r="CK71" s="688" t="e">
        <f aca="false">IF(CK58="","",CK68*'Executive Summary'!$T$23)</f>
        <v>#VALUE!</v>
      </c>
      <c r="CL71" s="688" t="e">
        <f aca="false">IF(CL58="","",CL68*'Executive Summary'!$T$23)</f>
        <v>#VALUE!</v>
      </c>
      <c r="CM71" s="689" t="e">
        <f aca="false">IF(CM58="","",CM68*'Executive Summary'!$T$23)</f>
        <v>#VALUE!</v>
      </c>
      <c r="CN71" s="688" t="e">
        <f aca="false">IF(CN58="","",CN68*'Executive Summary'!$T$23)</f>
        <v>#VALUE!</v>
      </c>
      <c r="CO71" s="688" t="e">
        <f aca="false">IF(CO58="","",CO68*'Executive Summary'!$T$23)</f>
        <v>#VALUE!</v>
      </c>
      <c r="CP71" s="688" t="e">
        <f aca="false">IF(CP58="","",CP68*'Executive Summary'!$T$23)</f>
        <v>#VALUE!</v>
      </c>
      <c r="CQ71" s="688" t="e">
        <f aca="false">IF(CQ58="","",CQ68*'Executive Summary'!$T$23)</f>
        <v>#VALUE!</v>
      </c>
      <c r="CR71" s="688" t="e">
        <f aca="false">IF(CR58="","",CR68*'Executive Summary'!$T$23)</f>
        <v>#VALUE!</v>
      </c>
      <c r="CS71" s="688" t="e">
        <f aca="false">IF(CS58="","",CS68*'Executive Summary'!$T$23)</f>
        <v>#VALUE!</v>
      </c>
      <c r="CT71" s="688" t="e">
        <f aca="false">IF(CT58="","",CT68*'Executive Summary'!$T$23)</f>
        <v>#VALUE!</v>
      </c>
      <c r="CU71" s="688" t="e">
        <f aca="false">IF(CU58="","",CU68*'Executive Summary'!$T$23)</f>
        <v>#VALUE!</v>
      </c>
      <c r="CV71" s="688" t="e">
        <f aca="false">IF(CV58="","",CV68*'Executive Summary'!$T$23)</f>
        <v>#VALUE!</v>
      </c>
      <c r="CW71" s="688" t="e">
        <f aca="false">IF(CW58="","",CW68*'Executive Summary'!$T$23)</f>
        <v>#VALUE!</v>
      </c>
      <c r="CX71" s="688" t="e">
        <f aca="false">IF(CX58="","",CX68*'Executive Summary'!$T$23)</f>
        <v>#VALUE!</v>
      </c>
      <c r="CY71" s="689" t="e">
        <f aca="false">IF(CY58="","",CY68*'Executive Summary'!$T$23)</f>
        <v>#VALUE!</v>
      </c>
      <c r="CZ71" s="688" t="e">
        <f aca="false">IF(CZ58="","",CZ68*'Executive Summary'!$T$23)</f>
        <v>#VALUE!</v>
      </c>
      <c r="DA71" s="688" t="e">
        <f aca="false">IF(DA58="","",DA68*'Executive Summary'!$T$23)</f>
        <v>#VALUE!</v>
      </c>
      <c r="DB71" s="688" t="e">
        <f aca="false">IF(DB58="","",DB68*'Executive Summary'!$T$23)</f>
        <v>#VALUE!</v>
      </c>
      <c r="DC71" s="688" t="e">
        <f aca="false">IF(DC58="","",DC68*'Executive Summary'!$T$23)</f>
        <v>#VALUE!</v>
      </c>
      <c r="DD71" s="688" t="e">
        <f aca="false">IF(DD58="","",DD68*'Executive Summary'!$T$23)</f>
        <v>#VALUE!</v>
      </c>
      <c r="DE71" s="688" t="e">
        <f aca="false">IF(DE58="","",DE68*'Executive Summary'!$T$23)</f>
        <v>#VALUE!</v>
      </c>
      <c r="DF71" s="688" t="e">
        <f aca="false">IF(DF58="","",DF68*'Executive Summary'!$T$23)</f>
        <v>#VALUE!</v>
      </c>
      <c r="DG71" s="688" t="e">
        <f aca="false">IF(DG58="","",DG68*'Executive Summary'!$T$23)</f>
        <v>#VALUE!</v>
      </c>
      <c r="DH71" s="688" t="e">
        <f aca="false">IF(DH58="","",DH68*'Executive Summary'!$T$23)</f>
        <v>#VALUE!</v>
      </c>
      <c r="DI71" s="688" t="e">
        <f aca="false">IF(DI58="","",DI68*'Executive Summary'!$T$23)</f>
        <v>#VALUE!</v>
      </c>
      <c r="DJ71" s="688" t="e">
        <f aca="false">IF(DJ58="","",DJ68*'Executive Summary'!$T$23)</f>
        <v>#VALUE!</v>
      </c>
      <c r="DK71" s="689" t="e">
        <f aca="false">IF(DK58="","",DK68*'Executive Summary'!$T$23)</f>
        <v>#VALUE!</v>
      </c>
      <c r="DL71" s="688" t="e">
        <f aca="false">IF(DL58="","",DL68*'Executive Summary'!$T$23)</f>
        <v>#VALUE!</v>
      </c>
      <c r="DM71" s="688" t="e">
        <f aca="false">IF(DM58="","",DM68*'Executive Summary'!$T$23)</f>
        <v>#VALUE!</v>
      </c>
      <c r="DN71" s="688" t="e">
        <f aca="false">IF(DN58="","",DN68*'Executive Summary'!$T$23)</f>
        <v>#VALUE!</v>
      </c>
      <c r="DO71" s="688" t="e">
        <f aca="false">IF(DO58="","",DO68*'Executive Summary'!$T$23)</f>
        <v>#VALUE!</v>
      </c>
      <c r="DP71" s="688" t="e">
        <f aca="false">IF(DP58="","",DP68*'Executive Summary'!$T$23)</f>
        <v>#VALUE!</v>
      </c>
      <c r="DQ71" s="688" t="e">
        <f aca="false">IF(DQ58="","",DQ68*'Executive Summary'!$T$23)</f>
        <v>#VALUE!</v>
      </c>
      <c r="DR71" s="688" t="e">
        <f aca="false">IF(DR58="","",DR68*'Executive Summary'!$T$23)</f>
        <v>#VALUE!</v>
      </c>
      <c r="DS71" s="688" t="e">
        <f aca="false">IF(DS58="","",DS68*'Executive Summary'!$T$23)</f>
        <v>#VALUE!</v>
      </c>
      <c r="DT71" s="688" t="e">
        <f aca="false">IF(DT58="","",DT68*'Executive Summary'!$T$23)</f>
        <v>#VALUE!</v>
      </c>
      <c r="DU71" s="688" t="e">
        <f aca="false">IF(DU58="","",DU68*'Executive Summary'!$T$23)</f>
        <v>#VALUE!</v>
      </c>
      <c r="DV71" s="690" t="e">
        <f aca="false">IF(DV58="","",DV68*'Executive Summary'!$T$23)</f>
        <v>#VALUE!</v>
      </c>
    </row>
    <row r="72" s="683" customFormat="true" ht="13.5" hidden="false" customHeight="true" outlineLevel="0" collapsed="false">
      <c r="A72" s="236"/>
      <c r="B72" s="69" t="s">
        <v>651</v>
      </c>
      <c r="C72" s="242"/>
      <c r="D72" s="242"/>
      <c r="E72" s="665"/>
      <c r="F72" s="688" t="str">
        <f aca="false">IF(F71="","",F68-F71)</f>
        <v/>
      </c>
      <c r="G72" s="689" t="e">
        <f aca="false">IF(G71="","",G68-G71)</f>
        <v>#VALUE!</v>
      </c>
      <c r="H72" s="688" t="e">
        <f aca="false">IF(H71="","",H68-H71)</f>
        <v>#VALUE!</v>
      </c>
      <c r="I72" s="688" t="e">
        <f aca="false">IF(I71="","",I68-I71)</f>
        <v>#VALUE!</v>
      </c>
      <c r="J72" s="688" t="e">
        <f aca="false">IF(J71="","",J68-J71)</f>
        <v>#VALUE!</v>
      </c>
      <c r="K72" s="688" t="e">
        <f aca="false">IF(K71="","",K68-K71)</f>
        <v>#VALUE!</v>
      </c>
      <c r="L72" s="688" t="e">
        <f aca="false">IF(L71="","",L68-L71)</f>
        <v>#VALUE!</v>
      </c>
      <c r="M72" s="688" t="e">
        <f aca="false">IF(M71="","",M68-M71)</f>
        <v>#VALUE!</v>
      </c>
      <c r="N72" s="688" t="e">
        <f aca="false">IF(N71="","",N68-N71)</f>
        <v>#VALUE!</v>
      </c>
      <c r="O72" s="688" t="e">
        <f aca="false">IF(O71="","",O68-O71)</f>
        <v>#VALUE!</v>
      </c>
      <c r="P72" s="688" t="e">
        <f aca="false">IF(P71="","",P68-P71)</f>
        <v>#VALUE!</v>
      </c>
      <c r="Q72" s="688" t="e">
        <f aca="false">IF(Q71="","",Q68-Q71)</f>
        <v>#VALUE!</v>
      </c>
      <c r="R72" s="688" t="e">
        <f aca="false">IF(R71="","",R68-R71)</f>
        <v>#VALUE!</v>
      </c>
      <c r="S72" s="689" t="e">
        <f aca="false">IF(S71="","",S68-S71)</f>
        <v>#VALUE!</v>
      </c>
      <c r="T72" s="688" t="e">
        <f aca="false">IF(T71="","",T68-T71)</f>
        <v>#VALUE!</v>
      </c>
      <c r="U72" s="688" t="e">
        <f aca="false">IF(U71="","",U68-U71)</f>
        <v>#VALUE!</v>
      </c>
      <c r="V72" s="688" t="e">
        <f aca="false">IF(V71="","",V68-V71)</f>
        <v>#VALUE!</v>
      </c>
      <c r="W72" s="688" t="e">
        <f aca="false">IF(W71="","",W68-W71)</f>
        <v>#VALUE!</v>
      </c>
      <c r="X72" s="688" t="e">
        <f aca="false">IF(X71="","",X68-X71)</f>
        <v>#VALUE!</v>
      </c>
      <c r="Y72" s="688" t="e">
        <f aca="false">IF(Y71="","",Y68-Y71)</f>
        <v>#VALUE!</v>
      </c>
      <c r="Z72" s="688" t="e">
        <f aca="false">IF(Z71="","",Z68-Z71)</f>
        <v>#VALUE!</v>
      </c>
      <c r="AA72" s="688" t="e">
        <f aca="false">IF(AA71="","",AA68-AA71)</f>
        <v>#VALUE!</v>
      </c>
      <c r="AB72" s="688" t="e">
        <f aca="false">IF(AB71="","",AB68-AB71)</f>
        <v>#VALUE!</v>
      </c>
      <c r="AC72" s="688" t="e">
        <f aca="false">IF(AC71="","",AC68-AC71)</f>
        <v>#VALUE!</v>
      </c>
      <c r="AD72" s="688" t="e">
        <f aca="false">IF(AD71="","",AD68-AD71)</f>
        <v>#VALUE!</v>
      </c>
      <c r="AE72" s="689" t="e">
        <f aca="false">IF(AE71="","",AE68-AE71)</f>
        <v>#VALUE!</v>
      </c>
      <c r="AF72" s="688" t="e">
        <f aca="false">IF(AF71="","",AF68-AF71)</f>
        <v>#VALUE!</v>
      </c>
      <c r="AG72" s="688" t="e">
        <f aca="false">IF(AG71="","",AG68-AG71)</f>
        <v>#VALUE!</v>
      </c>
      <c r="AH72" s="688" t="e">
        <f aca="false">IF(AH71="","",AH68-AH71)</f>
        <v>#VALUE!</v>
      </c>
      <c r="AI72" s="688" t="e">
        <f aca="false">IF(AI71="","",AI68-AI71)</f>
        <v>#VALUE!</v>
      </c>
      <c r="AJ72" s="688" t="e">
        <f aca="false">IF(AJ71="","",AJ68-AJ71)</f>
        <v>#VALUE!</v>
      </c>
      <c r="AK72" s="688" t="e">
        <f aca="false">IF(AK71="","",AK68-AK71)</f>
        <v>#VALUE!</v>
      </c>
      <c r="AL72" s="688" t="e">
        <f aca="false">IF(AL71="","",AL68-AL71)</f>
        <v>#VALUE!</v>
      </c>
      <c r="AM72" s="688" t="e">
        <f aca="false">IF(AM71="","",AM68-AM71)</f>
        <v>#VALUE!</v>
      </c>
      <c r="AN72" s="688" t="e">
        <f aca="false">IF(AN71="","",AN68-AN71)</f>
        <v>#VALUE!</v>
      </c>
      <c r="AO72" s="688" t="e">
        <f aca="false">IF(AO71="","",AO68-AO71)</f>
        <v>#VALUE!</v>
      </c>
      <c r="AP72" s="688" t="e">
        <f aca="false">IF(AP71="","",AP68-AP71)</f>
        <v>#VALUE!</v>
      </c>
      <c r="AQ72" s="689" t="e">
        <f aca="false">IF(AQ71="","",AQ68-AQ71)</f>
        <v>#VALUE!</v>
      </c>
      <c r="AR72" s="688" t="e">
        <f aca="false">IF(AR71="","",AR68-AR71)</f>
        <v>#VALUE!</v>
      </c>
      <c r="AS72" s="688" t="e">
        <f aca="false">IF(AS71="","",AS68-AS71)</f>
        <v>#VALUE!</v>
      </c>
      <c r="AT72" s="688" t="e">
        <f aca="false">IF(AT71="","",AT68-AT71)</f>
        <v>#VALUE!</v>
      </c>
      <c r="AU72" s="688" t="e">
        <f aca="false">IF(AU71="","",AU68-AU71)</f>
        <v>#VALUE!</v>
      </c>
      <c r="AV72" s="688" t="e">
        <f aca="false">IF(AV71="","",AV68-AV71)</f>
        <v>#VALUE!</v>
      </c>
      <c r="AW72" s="688" t="e">
        <f aca="false">IF(AW71="","",AW68-AW71)</f>
        <v>#VALUE!</v>
      </c>
      <c r="AX72" s="688" t="e">
        <f aca="false">IF(AX71="","",AX68-AX71)</f>
        <v>#VALUE!</v>
      </c>
      <c r="AY72" s="688" t="e">
        <f aca="false">IF(AY71="","",AY68-AY71)</f>
        <v>#VALUE!</v>
      </c>
      <c r="AZ72" s="688" t="e">
        <f aca="false">IF(AZ71="","",AZ68-AZ71)</f>
        <v>#VALUE!</v>
      </c>
      <c r="BA72" s="688" t="e">
        <f aca="false">IF(BA71="","",BA68-BA71)</f>
        <v>#VALUE!</v>
      </c>
      <c r="BB72" s="688" t="e">
        <f aca="false">IF(BB71="","",BB68-BB71)</f>
        <v>#VALUE!</v>
      </c>
      <c r="BC72" s="689" t="e">
        <f aca="false">IF(BC71="","",BC68-BC71)</f>
        <v>#VALUE!</v>
      </c>
      <c r="BD72" s="688" t="e">
        <f aca="false">IF(BD71="","",BD68-BD71)</f>
        <v>#VALUE!</v>
      </c>
      <c r="BE72" s="688" t="e">
        <f aca="false">IF(BE71="","",BE68-BE71)</f>
        <v>#VALUE!</v>
      </c>
      <c r="BF72" s="688" t="e">
        <f aca="false">IF(BF71="","",BF68-BF71)</f>
        <v>#VALUE!</v>
      </c>
      <c r="BG72" s="688" t="e">
        <f aca="false">IF(BG71="","",BG68-BG71)</f>
        <v>#VALUE!</v>
      </c>
      <c r="BH72" s="688" t="e">
        <f aca="false">IF(BH71="","",BH68-BH71)</f>
        <v>#VALUE!</v>
      </c>
      <c r="BI72" s="688" t="e">
        <f aca="false">IF(BI71="","",BI68-BI71)</f>
        <v>#VALUE!</v>
      </c>
      <c r="BJ72" s="688" t="e">
        <f aca="false">IF(BJ71="","",BJ68-BJ71)</f>
        <v>#VALUE!</v>
      </c>
      <c r="BK72" s="688" t="e">
        <f aca="false">IF(BK71="","",BK68-BK71)</f>
        <v>#VALUE!</v>
      </c>
      <c r="BL72" s="688" t="e">
        <f aca="false">IF(BL71="","",BL68-BL71)</f>
        <v>#VALUE!</v>
      </c>
      <c r="BM72" s="688" t="e">
        <f aca="false">IF(BM71="","",BM68-BM71)</f>
        <v>#VALUE!</v>
      </c>
      <c r="BN72" s="688" t="e">
        <f aca="false">IF(BN71="","",BN68-BN71)</f>
        <v>#VALUE!</v>
      </c>
      <c r="BO72" s="689" t="e">
        <f aca="false">IF(BO71="","",BO68-BO71)</f>
        <v>#VALUE!</v>
      </c>
      <c r="BP72" s="688" t="e">
        <f aca="false">IF(BP71="","",BP68-BP71)</f>
        <v>#VALUE!</v>
      </c>
      <c r="BQ72" s="688" t="e">
        <f aca="false">IF(BQ71="","",BQ68-BQ71)</f>
        <v>#VALUE!</v>
      </c>
      <c r="BR72" s="688" t="e">
        <f aca="false">IF(BR71="","",BR68-BR71)</f>
        <v>#VALUE!</v>
      </c>
      <c r="BS72" s="688" t="e">
        <f aca="false">IF(BS71="","",BS68-BS71)</f>
        <v>#VALUE!</v>
      </c>
      <c r="BT72" s="688" t="e">
        <f aca="false">IF(BT71="","",BT68-BT71)</f>
        <v>#VALUE!</v>
      </c>
      <c r="BU72" s="688" t="e">
        <f aca="false">IF(BU71="","",BU68-BU71)</f>
        <v>#VALUE!</v>
      </c>
      <c r="BV72" s="688" t="e">
        <f aca="false">IF(BV71="","",BV68-BV71)</f>
        <v>#VALUE!</v>
      </c>
      <c r="BW72" s="688" t="e">
        <f aca="false">IF(BW71="","",BW68-BW71)</f>
        <v>#VALUE!</v>
      </c>
      <c r="BX72" s="688" t="e">
        <f aca="false">IF(BX71="","",BX68-BX71)</f>
        <v>#VALUE!</v>
      </c>
      <c r="BY72" s="688" t="e">
        <f aca="false">IF(BY71="","",BY68-BY71)</f>
        <v>#VALUE!</v>
      </c>
      <c r="BZ72" s="688" t="e">
        <f aca="false">IF(BZ71="","",BZ68-BZ71)</f>
        <v>#VALUE!</v>
      </c>
      <c r="CA72" s="689" t="e">
        <f aca="false">IF(CA71="","",CA68-CA71)</f>
        <v>#VALUE!</v>
      </c>
      <c r="CB72" s="688" t="e">
        <f aca="false">IF(CB71="","",CB68-CB71)</f>
        <v>#VALUE!</v>
      </c>
      <c r="CC72" s="688" t="e">
        <f aca="false">IF(CC71="","",CC68-CC71)</f>
        <v>#VALUE!</v>
      </c>
      <c r="CD72" s="688" t="e">
        <f aca="false">IF(CD71="","",CD68-CD71)</f>
        <v>#VALUE!</v>
      </c>
      <c r="CE72" s="688" t="e">
        <f aca="false">IF(CE71="","",CE68-CE71)</f>
        <v>#VALUE!</v>
      </c>
      <c r="CF72" s="688" t="e">
        <f aca="false">IF(CF71="","",CF68-CF71)</f>
        <v>#VALUE!</v>
      </c>
      <c r="CG72" s="688" t="e">
        <f aca="false">IF(CG71="","",CG68-CG71)</f>
        <v>#VALUE!</v>
      </c>
      <c r="CH72" s="688" t="e">
        <f aca="false">IF(CH71="","",CH68-CH71)</f>
        <v>#VALUE!</v>
      </c>
      <c r="CI72" s="688" t="e">
        <f aca="false">IF(CI71="","",CI68-CI71)</f>
        <v>#VALUE!</v>
      </c>
      <c r="CJ72" s="688" t="e">
        <f aca="false">IF(CJ71="","",CJ68-CJ71)</f>
        <v>#VALUE!</v>
      </c>
      <c r="CK72" s="688" t="e">
        <f aca="false">IF(CK71="","",CK68-CK71)</f>
        <v>#VALUE!</v>
      </c>
      <c r="CL72" s="688" t="e">
        <f aca="false">IF(CL71="","",CL68-CL71)</f>
        <v>#VALUE!</v>
      </c>
      <c r="CM72" s="689" t="e">
        <f aca="false">IF(CM71="","",CM68-CM71)</f>
        <v>#VALUE!</v>
      </c>
      <c r="CN72" s="688" t="e">
        <f aca="false">IF(CN71="","",CN68-CN71)</f>
        <v>#VALUE!</v>
      </c>
      <c r="CO72" s="688" t="e">
        <f aca="false">IF(CO71="","",CO68-CO71)</f>
        <v>#VALUE!</v>
      </c>
      <c r="CP72" s="688" t="e">
        <f aca="false">IF(CP71="","",CP68-CP71)</f>
        <v>#VALUE!</v>
      </c>
      <c r="CQ72" s="688" t="e">
        <f aca="false">IF(CQ71="","",CQ68-CQ71)</f>
        <v>#VALUE!</v>
      </c>
      <c r="CR72" s="688" t="e">
        <f aca="false">IF(CR71="","",CR68-CR71)</f>
        <v>#VALUE!</v>
      </c>
      <c r="CS72" s="688" t="e">
        <f aca="false">IF(CS71="","",CS68-CS71)</f>
        <v>#VALUE!</v>
      </c>
      <c r="CT72" s="688" t="e">
        <f aca="false">IF(CT71="","",CT68-CT71)</f>
        <v>#VALUE!</v>
      </c>
      <c r="CU72" s="688" t="e">
        <f aca="false">IF(CU71="","",CU68-CU71)</f>
        <v>#VALUE!</v>
      </c>
      <c r="CV72" s="688" t="e">
        <f aca="false">IF(CV71="","",CV68-CV71)</f>
        <v>#VALUE!</v>
      </c>
      <c r="CW72" s="688" t="e">
        <f aca="false">IF(CW71="","",CW68-CW71)</f>
        <v>#VALUE!</v>
      </c>
      <c r="CX72" s="688" t="e">
        <f aca="false">IF(CX71="","",CX68-CX71)</f>
        <v>#VALUE!</v>
      </c>
      <c r="CY72" s="689" t="e">
        <f aca="false">IF(CY71="","",CY68-CY71)</f>
        <v>#VALUE!</v>
      </c>
      <c r="CZ72" s="688" t="e">
        <f aca="false">IF(CZ71="","",CZ68-CZ71)</f>
        <v>#VALUE!</v>
      </c>
      <c r="DA72" s="688" t="e">
        <f aca="false">IF(DA71="","",DA68-DA71)</f>
        <v>#VALUE!</v>
      </c>
      <c r="DB72" s="688" t="e">
        <f aca="false">IF(DB71="","",DB68-DB71)</f>
        <v>#VALUE!</v>
      </c>
      <c r="DC72" s="688" t="e">
        <f aca="false">IF(DC71="","",DC68-DC71)</f>
        <v>#VALUE!</v>
      </c>
      <c r="DD72" s="688" t="e">
        <f aca="false">IF(DD71="","",DD68-DD71)</f>
        <v>#VALUE!</v>
      </c>
      <c r="DE72" s="688" t="e">
        <f aca="false">IF(DE71="","",DE68-DE71)</f>
        <v>#VALUE!</v>
      </c>
      <c r="DF72" s="688" t="e">
        <f aca="false">IF(DF71="","",DF68-DF71)</f>
        <v>#VALUE!</v>
      </c>
      <c r="DG72" s="688" t="e">
        <f aca="false">IF(DG71="","",DG68-DG71)</f>
        <v>#VALUE!</v>
      </c>
      <c r="DH72" s="688" t="e">
        <f aca="false">IF(DH71="","",DH68-DH71)</f>
        <v>#VALUE!</v>
      </c>
      <c r="DI72" s="688" t="e">
        <f aca="false">IF(DI71="","",DI68-DI71)</f>
        <v>#VALUE!</v>
      </c>
      <c r="DJ72" s="688" t="e">
        <f aca="false">IF(DJ71="","",DJ68-DJ71)</f>
        <v>#VALUE!</v>
      </c>
      <c r="DK72" s="689" t="e">
        <f aca="false">IF(DK71="","",DK68-DK71)</f>
        <v>#VALUE!</v>
      </c>
      <c r="DL72" s="688" t="e">
        <f aca="false">IF(DL71="","",DL68-DL71)</f>
        <v>#VALUE!</v>
      </c>
      <c r="DM72" s="688" t="e">
        <f aca="false">IF(DM71="","",DM68-DM71)</f>
        <v>#VALUE!</v>
      </c>
      <c r="DN72" s="688" t="e">
        <f aca="false">IF(DN71="","",DN68-DN71)</f>
        <v>#VALUE!</v>
      </c>
      <c r="DO72" s="688" t="e">
        <f aca="false">IF(DO71="","",DO68-DO71)</f>
        <v>#VALUE!</v>
      </c>
      <c r="DP72" s="688" t="e">
        <f aca="false">IF(DP71="","",DP68-DP71)</f>
        <v>#VALUE!</v>
      </c>
      <c r="DQ72" s="688" t="e">
        <f aca="false">IF(DQ71="","",DQ68-DQ71)</f>
        <v>#VALUE!</v>
      </c>
      <c r="DR72" s="688" t="e">
        <f aca="false">IF(DR71="","",DR68-DR71)</f>
        <v>#VALUE!</v>
      </c>
      <c r="DS72" s="688" t="e">
        <f aca="false">IF(DS71="","",DS68-DS71)</f>
        <v>#VALUE!</v>
      </c>
      <c r="DT72" s="688" t="e">
        <f aca="false">IF(DT71="","",DT68-DT71)</f>
        <v>#VALUE!</v>
      </c>
      <c r="DU72" s="688" t="e">
        <f aca="false">IF(DU71="","",DU68-DU71)</f>
        <v>#VALUE!</v>
      </c>
      <c r="DV72" s="690" t="e">
        <f aca="false">IF(DV71="","",DV68-DV71)</f>
        <v>#VALUE!</v>
      </c>
    </row>
    <row r="73" s="683" customFormat="true" ht="13.5" hidden="false" customHeight="true" outlineLevel="0" collapsed="false">
      <c r="A73" s="236"/>
      <c r="B73" s="69" t="str">
        <f aca="false">"Total Distributions ("&amp;B70&amp;")"</f>
        <v>Total Distributions (Hurdle 4)</v>
      </c>
      <c r="C73" s="242"/>
      <c r="D73" s="242"/>
      <c r="E73" s="242"/>
      <c r="F73" s="688" t="str">
        <f aca="false">IF(F71="","",F71+F72)</f>
        <v/>
      </c>
      <c r="G73" s="689" t="e">
        <f aca="false">IF(G71="","",G71+G72)</f>
        <v>#VALUE!</v>
      </c>
      <c r="H73" s="688" t="e">
        <f aca="false">IF(H71="","",H71+H72)</f>
        <v>#VALUE!</v>
      </c>
      <c r="I73" s="688" t="e">
        <f aca="false">IF(I71="","",I71+I72)</f>
        <v>#VALUE!</v>
      </c>
      <c r="J73" s="688" t="e">
        <f aca="false">IF(J71="","",J71+J72)</f>
        <v>#VALUE!</v>
      </c>
      <c r="K73" s="688" t="e">
        <f aca="false">IF(K71="","",K71+K72)</f>
        <v>#VALUE!</v>
      </c>
      <c r="L73" s="688" t="e">
        <f aca="false">IF(L71="","",L71+L72)</f>
        <v>#VALUE!</v>
      </c>
      <c r="M73" s="688" t="e">
        <f aca="false">IF(M71="","",M71+M72)</f>
        <v>#VALUE!</v>
      </c>
      <c r="N73" s="688" t="e">
        <f aca="false">IF(N71="","",N71+N72)</f>
        <v>#VALUE!</v>
      </c>
      <c r="O73" s="688" t="e">
        <f aca="false">IF(O71="","",O71+O72)</f>
        <v>#VALUE!</v>
      </c>
      <c r="P73" s="688" t="e">
        <f aca="false">IF(P71="","",P71+P72)</f>
        <v>#VALUE!</v>
      </c>
      <c r="Q73" s="688" t="e">
        <f aca="false">IF(Q71="","",Q71+Q72)</f>
        <v>#VALUE!</v>
      </c>
      <c r="R73" s="688" t="e">
        <f aca="false">IF(R71="","",R71+R72)</f>
        <v>#VALUE!</v>
      </c>
      <c r="S73" s="689" t="e">
        <f aca="false">IF(S71="","",S71+S72)</f>
        <v>#VALUE!</v>
      </c>
      <c r="T73" s="688" t="e">
        <f aca="false">IF(T71="","",T71+T72)</f>
        <v>#VALUE!</v>
      </c>
      <c r="U73" s="688" t="e">
        <f aca="false">IF(U71="","",U71+U72)</f>
        <v>#VALUE!</v>
      </c>
      <c r="V73" s="688" t="e">
        <f aca="false">IF(V71="","",V71+V72)</f>
        <v>#VALUE!</v>
      </c>
      <c r="W73" s="688" t="e">
        <f aca="false">IF(W71="","",W71+W72)</f>
        <v>#VALUE!</v>
      </c>
      <c r="X73" s="688" t="e">
        <f aca="false">IF(X71="","",X71+X72)</f>
        <v>#VALUE!</v>
      </c>
      <c r="Y73" s="688" t="e">
        <f aca="false">IF(Y71="","",Y71+Y72)</f>
        <v>#VALUE!</v>
      </c>
      <c r="Z73" s="688" t="e">
        <f aca="false">IF(Z71="","",Z71+Z72)</f>
        <v>#VALUE!</v>
      </c>
      <c r="AA73" s="688" t="e">
        <f aca="false">IF(AA71="","",AA71+AA72)</f>
        <v>#VALUE!</v>
      </c>
      <c r="AB73" s="688" t="e">
        <f aca="false">IF(AB71="","",AB71+AB72)</f>
        <v>#VALUE!</v>
      </c>
      <c r="AC73" s="688" t="e">
        <f aca="false">IF(AC71="","",AC71+AC72)</f>
        <v>#VALUE!</v>
      </c>
      <c r="AD73" s="688" t="e">
        <f aca="false">IF(AD71="","",AD71+AD72)</f>
        <v>#VALUE!</v>
      </c>
      <c r="AE73" s="689" t="e">
        <f aca="false">IF(AE71="","",AE71+AE72)</f>
        <v>#VALUE!</v>
      </c>
      <c r="AF73" s="688" t="e">
        <f aca="false">IF(AF71="","",AF71+AF72)</f>
        <v>#VALUE!</v>
      </c>
      <c r="AG73" s="688" t="e">
        <f aca="false">IF(AG71="","",AG71+AG72)</f>
        <v>#VALUE!</v>
      </c>
      <c r="AH73" s="688" t="e">
        <f aca="false">IF(AH71="","",AH71+AH72)</f>
        <v>#VALUE!</v>
      </c>
      <c r="AI73" s="688" t="e">
        <f aca="false">IF(AI71="","",AI71+AI72)</f>
        <v>#VALUE!</v>
      </c>
      <c r="AJ73" s="688" t="e">
        <f aca="false">IF(AJ71="","",AJ71+AJ72)</f>
        <v>#VALUE!</v>
      </c>
      <c r="AK73" s="688" t="e">
        <f aca="false">IF(AK71="","",AK71+AK72)</f>
        <v>#VALUE!</v>
      </c>
      <c r="AL73" s="688" t="e">
        <f aca="false">IF(AL71="","",AL71+AL72)</f>
        <v>#VALUE!</v>
      </c>
      <c r="AM73" s="688" t="e">
        <f aca="false">IF(AM71="","",AM71+AM72)</f>
        <v>#VALUE!</v>
      </c>
      <c r="AN73" s="688" t="e">
        <f aca="false">IF(AN71="","",AN71+AN72)</f>
        <v>#VALUE!</v>
      </c>
      <c r="AO73" s="688" t="e">
        <f aca="false">IF(AO71="","",AO71+AO72)</f>
        <v>#VALUE!</v>
      </c>
      <c r="AP73" s="688" t="e">
        <f aca="false">IF(AP71="","",AP71+AP72)</f>
        <v>#VALUE!</v>
      </c>
      <c r="AQ73" s="689" t="e">
        <f aca="false">IF(AQ71="","",AQ71+AQ72)</f>
        <v>#VALUE!</v>
      </c>
      <c r="AR73" s="688" t="e">
        <f aca="false">IF(AR71="","",AR71+AR72)</f>
        <v>#VALUE!</v>
      </c>
      <c r="AS73" s="688" t="e">
        <f aca="false">IF(AS71="","",AS71+AS72)</f>
        <v>#VALUE!</v>
      </c>
      <c r="AT73" s="688" t="e">
        <f aca="false">IF(AT71="","",AT71+AT72)</f>
        <v>#VALUE!</v>
      </c>
      <c r="AU73" s="688" t="e">
        <f aca="false">IF(AU71="","",AU71+AU72)</f>
        <v>#VALUE!</v>
      </c>
      <c r="AV73" s="688" t="e">
        <f aca="false">IF(AV71="","",AV71+AV72)</f>
        <v>#VALUE!</v>
      </c>
      <c r="AW73" s="688" t="e">
        <f aca="false">IF(AW71="","",AW71+AW72)</f>
        <v>#VALUE!</v>
      </c>
      <c r="AX73" s="688" t="e">
        <f aca="false">IF(AX71="","",AX71+AX72)</f>
        <v>#VALUE!</v>
      </c>
      <c r="AY73" s="688" t="e">
        <f aca="false">IF(AY71="","",AY71+AY72)</f>
        <v>#VALUE!</v>
      </c>
      <c r="AZ73" s="688" t="e">
        <f aca="false">IF(AZ71="","",AZ71+AZ72)</f>
        <v>#VALUE!</v>
      </c>
      <c r="BA73" s="688" t="e">
        <f aca="false">IF(BA71="","",BA71+BA72)</f>
        <v>#VALUE!</v>
      </c>
      <c r="BB73" s="688" t="e">
        <f aca="false">IF(BB71="","",BB71+BB72)</f>
        <v>#VALUE!</v>
      </c>
      <c r="BC73" s="689" t="e">
        <f aca="false">IF(BC71="","",BC71+BC72)</f>
        <v>#VALUE!</v>
      </c>
      <c r="BD73" s="688" t="e">
        <f aca="false">IF(BD71="","",BD71+BD72)</f>
        <v>#VALUE!</v>
      </c>
      <c r="BE73" s="688" t="e">
        <f aca="false">IF(BE71="","",BE71+BE72)</f>
        <v>#VALUE!</v>
      </c>
      <c r="BF73" s="688" t="e">
        <f aca="false">IF(BF71="","",BF71+BF72)</f>
        <v>#VALUE!</v>
      </c>
      <c r="BG73" s="688" t="e">
        <f aca="false">IF(BG71="","",BG71+BG72)</f>
        <v>#VALUE!</v>
      </c>
      <c r="BH73" s="688" t="e">
        <f aca="false">IF(BH71="","",BH71+BH72)</f>
        <v>#VALUE!</v>
      </c>
      <c r="BI73" s="688" t="e">
        <f aca="false">IF(BI71="","",BI71+BI72)</f>
        <v>#VALUE!</v>
      </c>
      <c r="BJ73" s="688" t="e">
        <f aca="false">IF(BJ71="","",BJ71+BJ72)</f>
        <v>#VALUE!</v>
      </c>
      <c r="BK73" s="688" t="e">
        <f aca="false">IF(BK71="","",BK71+BK72)</f>
        <v>#VALUE!</v>
      </c>
      <c r="BL73" s="688" t="e">
        <f aca="false">IF(BL71="","",BL71+BL72)</f>
        <v>#VALUE!</v>
      </c>
      <c r="BM73" s="688" t="e">
        <f aca="false">IF(BM71="","",BM71+BM72)</f>
        <v>#VALUE!</v>
      </c>
      <c r="BN73" s="688" t="e">
        <f aca="false">IF(BN71="","",BN71+BN72)</f>
        <v>#VALUE!</v>
      </c>
      <c r="BO73" s="689" t="e">
        <f aca="false">IF(BO71="","",BO71+BO72)</f>
        <v>#VALUE!</v>
      </c>
      <c r="BP73" s="688" t="e">
        <f aca="false">IF(BP71="","",BP71+BP72)</f>
        <v>#VALUE!</v>
      </c>
      <c r="BQ73" s="688" t="e">
        <f aca="false">IF(BQ71="","",BQ71+BQ72)</f>
        <v>#VALUE!</v>
      </c>
      <c r="BR73" s="688" t="e">
        <f aca="false">IF(BR71="","",BR71+BR72)</f>
        <v>#VALUE!</v>
      </c>
      <c r="BS73" s="688" t="e">
        <f aca="false">IF(BS71="","",BS71+BS72)</f>
        <v>#VALUE!</v>
      </c>
      <c r="BT73" s="688" t="e">
        <f aca="false">IF(BT71="","",BT71+BT72)</f>
        <v>#VALUE!</v>
      </c>
      <c r="BU73" s="688" t="e">
        <f aca="false">IF(BU71="","",BU71+BU72)</f>
        <v>#VALUE!</v>
      </c>
      <c r="BV73" s="688" t="e">
        <f aca="false">IF(BV71="","",BV71+BV72)</f>
        <v>#VALUE!</v>
      </c>
      <c r="BW73" s="688" t="e">
        <f aca="false">IF(BW71="","",BW71+BW72)</f>
        <v>#VALUE!</v>
      </c>
      <c r="BX73" s="688" t="e">
        <f aca="false">IF(BX71="","",BX71+BX72)</f>
        <v>#VALUE!</v>
      </c>
      <c r="BY73" s="688" t="e">
        <f aca="false">IF(BY71="","",BY71+BY72)</f>
        <v>#VALUE!</v>
      </c>
      <c r="BZ73" s="688" t="e">
        <f aca="false">IF(BZ71="","",BZ71+BZ72)</f>
        <v>#VALUE!</v>
      </c>
      <c r="CA73" s="689" t="e">
        <f aca="false">IF(CA71="","",CA71+CA72)</f>
        <v>#VALUE!</v>
      </c>
      <c r="CB73" s="688" t="e">
        <f aca="false">IF(CB71="","",CB71+CB72)</f>
        <v>#VALUE!</v>
      </c>
      <c r="CC73" s="688" t="e">
        <f aca="false">IF(CC71="","",CC71+CC72)</f>
        <v>#VALUE!</v>
      </c>
      <c r="CD73" s="688" t="e">
        <f aca="false">IF(CD71="","",CD71+CD72)</f>
        <v>#VALUE!</v>
      </c>
      <c r="CE73" s="688" t="e">
        <f aca="false">IF(CE71="","",CE71+CE72)</f>
        <v>#VALUE!</v>
      </c>
      <c r="CF73" s="688" t="e">
        <f aca="false">IF(CF71="","",CF71+CF72)</f>
        <v>#VALUE!</v>
      </c>
      <c r="CG73" s="688" t="e">
        <f aca="false">IF(CG71="","",CG71+CG72)</f>
        <v>#VALUE!</v>
      </c>
      <c r="CH73" s="688" t="e">
        <f aca="false">IF(CH71="","",CH71+CH72)</f>
        <v>#VALUE!</v>
      </c>
      <c r="CI73" s="688" t="e">
        <f aca="false">IF(CI71="","",CI71+CI72)</f>
        <v>#VALUE!</v>
      </c>
      <c r="CJ73" s="688" t="e">
        <f aca="false">IF(CJ71="","",CJ71+CJ72)</f>
        <v>#VALUE!</v>
      </c>
      <c r="CK73" s="688" t="e">
        <f aca="false">IF(CK71="","",CK71+CK72)</f>
        <v>#VALUE!</v>
      </c>
      <c r="CL73" s="688" t="e">
        <f aca="false">IF(CL71="","",CL71+CL72)</f>
        <v>#VALUE!</v>
      </c>
      <c r="CM73" s="689" t="e">
        <f aca="false">IF(CM71="","",CM71+CM72)</f>
        <v>#VALUE!</v>
      </c>
      <c r="CN73" s="688" t="e">
        <f aca="false">IF(CN71="","",CN71+CN72)</f>
        <v>#VALUE!</v>
      </c>
      <c r="CO73" s="688" t="e">
        <f aca="false">IF(CO71="","",CO71+CO72)</f>
        <v>#VALUE!</v>
      </c>
      <c r="CP73" s="688" t="e">
        <f aca="false">IF(CP71="","",CP71+CP72)</f>
        <v>#VALUE!</v>
      </c>
      <c r="CQ73" s="688" t="e">
        <f aca="false">IF(CQ71="","",CQ71+CQ72)</f>
        <v>#VALUE!</v>
      </c>
      <c r="CR73" s="688" t="e">
        <f aca="false">IF(CR71="","",CR71+CR72)</f>
        <v>#VALUE!</v>
      </c>
      <c r="CS73" s="688" t="e">
        <f aca="false">IF(CS71="","",CS71+CS72)</f>
        <v>#VALUE!</v>
      </c>
      <c r="CT73" s="688" t="e">
        <f aca="false">IF(CT71="","",CT71+CT72)</f>
        <v>#VALUE!</v>
      </c>
      <c r="CU73" s="688" t="e">
        <f aca="false">IF(CU71="","",CU71+CU72)</f>
        <v>#VALUE!</v>
      </c>
      <c r="CV73" s="688" t="e">
        <f aca="false">IF(CV71="","",CV71+CV72)</f>
        <v>#VALUE!</v>
      </c>
      <c r="CW73" s="688" t="e">
        <f aca="false">IF(CW71="","",CW71+CW72)</f>
        <v>#VALUE!</v>
      </c>
      <c r="CX73" s="688" t="e">
        <f aca="false">IF(CX71="","",CX71+CX72)</f>
        <v>#VALUE!</v>
      </c>
      <c r="CY73" s="689" t="e">
        <f aca="false">IF(CY71="","",CY71+CY72)</f>
        <v>#VALUE!</v>
      </c>
      <c r="CZ73" s="688" t="e">
        <f aca="false">IF(CZ71="","",CZ71+CZ72)</f>
        <v>#VALUE!</v>
      </c>
      <c r="DA73" s="688" t="e">
        <f aca="false">IF(DA71="","",DA71+DA72)</f>
        <v>#VALUE!</v>
      </c>
      <c r="DB73" s="688" t="e">
        <f aca="false">IF(DB71="","",DB71+DB72)</f>
        <v>#VALUE!</v>
      </c>
      <c r="DC73" s="688" t="e">
        <f aca="false">IF(DC71="","",DC71+DC72)</f>
        <v>#VALUE!</v>
      </c>
      <c r="DD73" s="688" t="e">
        <f aca="false">IF(DD71="","",DD71+DD72)</f>
        <v>#VALUE!</v>
      </c>
      <c r="DE73" s="688" t="e">
        <f aca="false">IF(DE71="","",DE71+DE72)</f>
        <v>#VALUE!</v>
      </c>
      <c r="DF73" s="688" t="e">
        <f aca="false">IF(DF71="","",DF71+DF72)</f>
        <v>#VALUE!</v>
      </c>
      <c r="DG73" s="688" t="e">
        <f aca="false">IF(DG71="","",DG71+DG72)</f>
        <v>#VALUE!</v>
      </c>
      <c r="DH73" s="688" t="e">
        <f aca="false">IF(DH71="","",DH71+DH72)</f>
        <v>#VALUE!</v>
      </c>
      <c r="DI73" s="688" t="e">
        <f aca="false">IF(DI71="","",DI71+DI72)</f>
        <v>#VALUE!</v>
      </c>
      <c r="DJ73" s="688" t="e">
        <f aca="false">IF(DJ71="","",DJ71+DJ72)</f>
        <v>#VALUE!</v>
      </c>
      <c r="DK73" s="689" t="e">
        <f aca="false">IF(DK71="","",DK71+DK72)</f>
        <v>#VALUE!</v>
      </c>
      <c r="DL73" s="688" t="e">
        <f aca="false">IF(DL71="","",DL71+DL72)</f>
        <v>#VALUE!</v>
      </c>
      <c r="DM73" s="688" t="e">
        <f aca="false">IF(DM71="","",DM71+DM72)</f>
        <v>#VALUE!</v>
      </c>
      <c r="DN73" s="688" t="e">
        <f aca="false">IF(DN71="","",DN71+DN72)</f>
        <v>#VALUE!</v>
      </c>
      <c r="DO73" s="688" t="e">
        <f aca="false">IF(DO71="","",DO71+DO72)</f>
        <v>#VALUE!</v>
      </c>
      <c r="DP73" s="688" t="e">
        <f aca="false">IF(DP71="","",DP71+DP72)</f>
        <v>#VALUE!</v>
      </c>
      <c r="DQ73" s="688" t="e">
        <f aca="false">IF(DQ71="","",DQ71+DQ72)</f>
        <v>#VALUE!</v>
      </c>
      <c r="DR73" s="688" t="e">
        <f aca="false">IF(DR71="","",DR71+DR72)</f>
        <v>#VALUE!</v>
      </c>
      <c r="DS73" s="688" t="e">
        <f aca="false">IF(DS71="","",DS71+DS72)</f>
        <v>#VALUE!</v>
      </c>
      <c r="DT73" s="688" t="e">
        <f aca="false">IF(DT71="","",DT71+DT72)</f>
        <v>#VALUE!</v>
      </c>
      <c r="DU73" s="688" t="e">
        <f aca="false">IF(DU71="","",DU71+DU72)</f>
        <v>#VALUE!</v>
      </c>
      <c r="DV73" s="690" t="e">
        <f aca="false">IF(DV71="","",DV71+DV72)</f>
        <v>#VALUE!</v>
      </c>
    </row>
    <row r="74" s="683" customFormat="true" ht="13.5" hidden="false" customHeight="true" outlineLevel="0" collapsed="false">
      <c r="A74" s="236"/>
      <c r="B74" s="95" t="s">
        <v>652</v>
      </c>
      <c r="C74" s="268"/>
      <c r="D74" s="268"/>
      <c r="E74" s="268"/>
      <c r="F74" s="696" t="str">
        <f aca="false">IF(F71="","",F68-F73)</f>
        <v/>
      </c>
      <c r="G74" s="697" t="e">
        <f aca="false">IF(G71="","",G68-G73)</f>
        <v>#VALUE!</v>
      </c>
      <c r="H74" s="696" t="e">
        <f aca="false">IF(H71="","",H68-H73)</f>
        <v>#VALUE!</v>
      </c>
      <c r="I74" s="696" t="e">
        <f aca="false">IF(I71="","",I68-I73)</f>
        <v>#VALUE!</v>
      </c>
      <c r="J74" s="696" t="e">
        <f aca="false">IF(J71="","",J68-J73)</f>
        <v>#VALUE!</v>
      </c>
      <c r="K74" s="696" t="e">
        <f aca="false">IF(K71="","",K68-K73)</f>
        <v>#VALUE!</v>
      </c>
      <c r="L74" s="696" t="e">
        <f aca="false">IF(L71="","",L68-L73)</f>
        <v>#VALUE!</v>
      </c>
      <c r="M74" s="696" t="e">
        <f aca="false">IF(M71="","",M68-M73)</f>
        <v>#VALUE!</v>
      </c>
      <c r="N74" s="696" t="e">
        <f aca="false">IF(N71="","",N68-N73)</f>
        <v>#VALUE!</v>
      </c>
      <c r="O74" s="696" t="e">
        <f aca="false">IF(O71="","",O68-O73)</f>
        <v>#VALUE!</v>
      </c>
      <c r="P74" s="696" t="e">
        <f aca="false">IF(P71="","",P68-P73)</f>
        <v>#VALUE!</v>
      </c>
      <c r="Q74" s="696" t="e">
        <f aca="false">IF(Q71="","",Q68-Q73)</f>
        <v>#VALUE!</v>
      </c>
      <c r="R74" s="696" t="e">
        <f aca="false">IF(R71="","",R68-R73)</f>
        <v>#VALUE!</v>
      </c>
      <c r="S74" s="697" t="e">
        <f aca="false">IF(S71="","",S68-S73)</f>
        <v>#VALUE!</v>
      </c>
      <c r="T74" s="696" t="e">
        <f aca="false">IF(T71="","",T68-T73)</f>
        <v>#VALUE!</v>
      </c>
      <c r="U74" s="696" t="e">
        <f aca="false">IF(U71="","",U68-U73)</f>
        <v>#VALUE!</v>
      </c>
      <c r="V74" s="696" t="e">
        <f aca="false">IF(V71="","",V68-V73)</f>
        <v>#VALUE!</v>
      </c>
      <c r="W74" s="696" t="e">
        <f aca="false">IF(W71="","",W68-W73)</f>
        <v>#VALUE!</v>
      </c>
      <c r="X74" s="696" t="e">
        <f aca="false">IF(X71="","",X68-X73)</f>
        <v>#VALUE!</v>
      </c>
      <c r="Y74" s="696" t="e">
        <f aca="false">IF(Y71="","",Y68-Y73)</f>
        <v>#VALUE!</v>
      </c>
      <c r="Z74" s="696" t="e">
        <f aca="false">IF(Z71="","",Z68-Z73)</f>
        <v>#VALUE!</v>
      </c>
      <c r="AA74" s="696" t="e">
        <f aca="false">IF(AA71="","",AA68-AA73)</f>
        <v>#VALUE!</v>
      </c>
      <c r="AB74" s="696" t="e">
        <f aca="false">IF(AB71="","",AB68-AB73)</f>
        <v>#VALUE!</v>
      </c>
      <c r="AC74" s="696" t="e">
        <f aca="false">IF(AC71="","",AC68-AC73)</f>
        <v>#VALUE!</v>
      </c>
      <c r="AD74" s="696" t="e">
        <f aca="false">IF(AD71="","",AD68-AD73)</f>
        <v>#VALUE!</v>
      </c>
      <c r="AE74" s="697" t="e">
        <f aca="false">IF(AE71="","",AE68-AE73)</f>
        <v>#VALUE!</v>
      </c>
      <c r="AF74" s="696" t="e">
        <f aca="false">IF(AF71="","",AF68-AF73)</f>
        <v>#VALUE!</v>
      </c>
      <c r="AG74" s="696" t="e">
        <f aca="false">IF(AG71="","",AG68-AG73)</f>
        <v>#VALUE!</v>
      </c>
      <c r="AH74" s="696" t="e">
        <f aca="false">IF(AH71="","",AH68-AH73)</f>
        <v>#VALUE!</v>
      </c>
      <c r="AI74" s="696" t="e">
        <f aca="false">IF(AI71="","",AI68-AI73)</f>
        <v>#VALUE!</v>
      </c>
      <c r="AJ74" s="696" t="e">
        <f aca="false">IF(AJ71="","",AJ68-AJ73)</f>
        <v>#VALUE!</v>
      </c>
      <c r="AK74" s="696" t="e">
        <f aca="false">IF(AK71="","",AK68-AK73)</f>
        <v>#VALUE!</v>
      </c>
      <c r="AL74" s="696" t="e">
        <f aca="false">IF(AL71="","",AL68-AL73)</f>
        <v>#VALUE!</v>
      </c>
      <c r="AM74" s="696" t="e">
        <f aca="false">IF(AM71="","",AM68-AM73)</f>
        <v>#VALUE!</v>
      </c>
      <c r="AN74" s="696" t="e">
        <f aca="false">IF(AN71="","",AN68-AN73)</f>
        <v>#VALUE!</v>
      </c>
      <c r="AO74" s="696" t="e">
        <f aca="false">IF(AO71="","",AO68-AO73)</f>
        <v>#VALUE!</v>
      </c>
      <c r="AP74" s="696" t="e">
        <f aca="false">IF(AP71="","",AP68-AP73)</f>
        <v>#VALUE!</v>
      </c>
      <c r="AQ74" s="697" t="e">
        <f aca="false">IF(AQ71="","",AQ68-AQ73)</f>
        <v>#VALUE!</v>
      </c>
      <c r="AR74" s="696" t="e">
        <f aca="false">IF(AR71="","",AR68-AR73)</f>
        <v>#VALUE!</v>
      </c>
      <c r="AS74" s="696" t="e">
        <f aca="false">IF(AS71="","",AS68-AS73)</f>
        <v>#VALUE!</v>
      </c>
      <c r="AT74" s="696" t="e">
        <f aca="false">IF(AT71="","",AT68-AT73)</f>
        <v>#VALUE!</v>
      </c>
      <c r="AU74" s="696" t="e">
        <f aca="false">IF(AU71="","",AU68-AU73)</f>
        <v>#VALUE!</v>
      </c>
      <c r="AV74" s="696" t="e">
        <f aca="false">IF(AV71="","",AV68-AV73)</f>
        <v>#VALUE!</v>
      </c>
      <c r="AW74" s="696" t="e">
        <f aca="false">IF(AW71="","",AW68-AW73)</f>
        <v>#VALUE!</v>
      </c>
      <c r="AX74" s="696" t="e">
        <f aca="false">IF(AX71="","",AX68-AX73)</f>
        <v>#VALUE!</v>
      </c>
      <c r="AY74" s="696" t="e">
        <f aca="false">IF(AY71="","",AY68-AY73)</f>
        <v>#VALUE!</v>
      </c>
      <c r="AZ74" s="696" t="e">
        <f aca="false">IF(AZ71="","",AZ68-AZ73)</f>
        <v>#VALUE!</v>
      </c>
      <c r="BA74" s="696" t="e">
        <f aca="false">IF(BA71="","",BA68-BA73)</f>
        <v>#VALUE!</v>
      </c>
      <c r="BB74" s="696" t="e">
        <f aca="false">IF(BB71="","",BB68-BB73)</f>
        <v>#VALUE!</v>
      </c>
      <c r="BC74" s="697" t="e">
        <f aca="false">IF(BC71="","",BC68-BC73)</f>
        <v>#VALUE!</v>
      </c>
      <c r="BD74" s="696" t="e">
        <f aca="false">IF(BD71="","",BD68-BD73)</f>
        <v>#VALUE!</v>
      </c>
      <c r="BE74" s="696" t="e">
        <f aca="false">IF(BE71="","",BE68-BE73)</f>
        <v>#VALUE!</v>
      </c>
      <c r="BF74" s="696" t="e">
        <f aca="false">IF(BF71="","",BF68-BF73)</f>
        <v>#VALUE!</v>
      </c>
      <c r="BG74" s="696" t="e">
        <f aca="false">IF(BG71="","",BG68-BG73)</f>
        <v>#VALUE!</v>
      </c>
      <c r="BH74" s="696" t="e">
        <f aca="false">IF(BH71="","",BH68-BH73)</f>
        <v>#VALUE!</v>
      </c>
      <c r="BI74" s="696" t="e">
        <f aca="false">IF(BI71="","",BI68-BI73)</f>
        <v>#VALUE!</v>
      </c>
      <c r="BJ74" s="696" t="e">
        <f aca="false">IF(BJ71="","",BJ68-BJ73)</f>
        <v>#VALUE!</v>
      </c>
      <c r="BK74" s="696" t="e">
        <f aca="false">IF(BK71="","",BK68-BK73)</f>
        <v>#VALUE!</v>
      </c>
      <c r="BL74" s="696" t="e">
        <f aca="false">IF(BL71="","",BL68-BL73)</f>
        <v>#VALUE!</v>
      </c>
      <c r="BM74" s="696" t="e">
        <f aca="false">IF(BM71="","",BM68-BM73)</f>
        <v>#VALUE!</v>
      </c>
      <c r="BN74" s="696" t="e">
        <f aca="false">IF(BN71="","",BN68-BN73)</f>
        <v>#VALUE!</v>
      </c>
      <c r="BO74" s="697" t="e">
        <f aca="false">IF(BO71="","",BO68-BO73)</f>
        <v>#VALUE!</v>
      </c>
      <c r="BP74" s="696" t="e">
        <f aca="false">IF(BP71="","",BP68-BP73)</f>
        <v>#VALUE!</v>
      </c>
      <c r="BQ74" s="696" t="e">
        <f aca="false">IF(BQ71="","",BQ68-BQ73)</f>
        <v>#VALUE!</v>
      </c>
      <c r="BR74" s="696" t="e">
        <f aca="false">IF(BR71="","",BR68-BR73)</f>
        <v>#VALUE!</v>
      </c>
      <c r="BS74" s="696" t="e">
        <f aca="false">IF(BS71="","",BS68-BS73)</f>
        <v>#VALUE!</v>
      </c>
      <c r="BT74" s="696" t="e">
        <f aca="false">IF(BT71="","",BT68-BT73)</f>
        <v>#VALUE!</v>
      </c>
      <c r="BU74" s="696" t="e">
        <f aca="false">IF(BU71="","",BU68-BU73)</f>
        <v>#VALUE!</v>
      </c>
      <c r="BV74" s="696" t="e">
        <f aca="false">IF(BV71="","",BV68-BV73)</f>
        <v>#VALUE!</v>
      </c>
      <c r="BW74" s="696" t="e">
        <f aca="false">IF(BW71="","",BW68-BW73)</f>
        <v>#VALUE!</v>
      </c>
      <c r="BX74" s="696" t="e">
        <f aca="false">IF(BX71="","",BX68-BX73)</f>
        <v>#VALUE!</v>
      </c>
      <c r="BY74" s="696" t="e">
        <f aca="false">IF(BY71="","",BY68-BY73)</f>
        <v>#VALUE!</v>
      </c>
      <c r="BZ74" s="696" t="e">
        <f aca="false">IF(BZ71="","",BZ68-BZ73)</f>
        <v>#VALUE!</v>
      </c>
      <c r="CA74" s="697" t="e">
        <f aca="false">IF(CA71="","",CA68-CA73)</f>
        <v>#VALUE!</v>
      </c>
      <c r="CB74" s="696" t="e">
        <f aca="false">IF(CB71="","",CB68-CB73)</f>
        <v>#VALUE!</v>
      </c>
      <c r="CC74" s="696" t="e">
        <f aca="false">IF(CC71="","",CC68-CC73)</f>
        <v>#VALUE!</v>
      </c>
      <c r="CD74" s="696" t="e">
        <f aca="false">IF(CD71="","",CD68-CD73)</f>
        <v>#VALUE!</v>
      </c>
      <c r="CE74" s="696" t="e">
        <f aca="false">IF(CE71="","",CE68-CE73)</f>
        <v>#VALUE!</v>
      </c>
      <c r="CF74" s="696" t="e">
        <f aca="false">IF(CF71="","",CF68-CF73)</f>
        <v>#VALUE!</v>
      </c>
      <c r="CG74" s="696" t="e">
        <f aca="false">IF(CG71="","",CG68-CG73)</f>
        <v>#VALUE!</v>
      </c>
      <c r="CH74" s="696" t="e">
        <f aca="false">IF(CH71="","",CH68-CH73)</f>
        <v>#VALUE!</v>
      </c>
      <c r="CI74" s="696" t="e">
        <f aca="false">IF(CI71="","",CI68-CI73)</f>
        <v>#VALUE!</v>
      </c>
      <c r="CJ74" s="696" t="e">
        <f aca="false">IF(CJ71="","",CJ68-CJ73)</f>
        <v>#VALUE!</v>
      </c>
      <c r="CK74" s="696" t="e">
        <f aca="false">IF(CK71="","",CK68-CK73)</f>
        <v>#VALUE!</v>
      </c>
      <c r="CL74" s="696" t="e">
        <f aca="false">IF(CL71="","",CL68-CL73)</f>
        <v>#VALUE!</v>
      </c>
      <c r="CM74" s="697" t="e">
        <f aca="false">IF(CM71="","",CM68-CM73)</f>
        <v>#VALUE!</v>
      </c>
      <c r="CN74" s="696" t="e">
        <f aca="false">IF(CN71="","",CN68-CN73)</f>
        <v>#VALUE!</v>
      </c>
      <c r="CO74" s="696" t="e">
        <f aca="false">IF(CO71="","",CO68-CO73)</f>
        <v>#VALUE!</v>
      </c>
      <c r="CP74" s="696" t="e">
        <f aca="false">IF(CP71="","",CP68-CP73)</f>
        <v>#VALUE!</v>
      </c>
      <c r="CQ74" s="696" t="e">
        <f aca="false">IF(CQ71="","",CQ68-CQ73)</f>
        <v>#VALUE!</v>
      </c>
      <c r="CR74" s="696" t="e">
        <f aca="false">IF(CR71="","",CR68-CR73)</f>
        <v>#VALUE!</v>
      </c>
      <c r="CS74" s="696" t="e">
        <f aca="false">IF(CS71="","",CS68-CS73)</f>
        <v>#VALUE!</v>
      </c>
      <c r="CT74" s="696" t="e">
        <f aca="false">IF(CT71="","",CT68-CT73)</f>
        <v>#VALUE!</v>
      </c>
      <c r="CU74" s="696" t="e">
        <f aca="false">IF(CU71="","",CU68-CU73)</f>
        <v>#VALUE!</v>
      </c>
      <c r="CV74" s="696" t="e">
        <f aca="false">IF(CV71="","",CV68-CV73)</f>
        <v>#VALUE!</v>
      </c>
      <c r="CW74" s="696" t="e">
        <f aca="false">IF(CW71="","",CW68-CW73)</f>
        <v>#VALUE!</v>
      </c>
      <c r="CX74" s="696" t="e">
        <f aca="false">IF(CX71="","",CX68-CX73)</f>
        <v>#VALUE!</v>
      </c>
      <c r="CY74" s="697" t="e">
        <f aca="false">IF(CY71="","",CY68-CY73)</f>
        <v>#VALUE!</v>
      </c>
      <c r="CZ74" s="696" t="e">
        <f aca="false">IF(CZ71="","",CZ68-CZ73)</f>
        <v>#VALUE!</v>
      </c>
      <c r="DA74" s="696" t="e">
        <f aca="false">IF(DA71="","",DA68-DA73)</f>
        <v>#VALUE!</v>
      </c>
      <c r="DB74" s="696" t="e">
        <f aca="false">IF(DB71="","",DB68-DB73)</f>
        <v>#VALUE!</v>
      </c>
      <c r="DC74" s="696" t="e">
        <f aca="false">IF(DC71="","",DC68-DC73)</f>
        <v>#VALUE!</v>
      </c>
      <c r="DD74" s="696" t="e">
        <f aca="false">IF(DD71="","",DD68-DD73)</f>
        <v>#VALUE!</v>
      </c>
      <c r="DE74" s="696" t="e">
        <f aca="false">IF(DE71="","",DE68-DE73)</f>
        <v>#VALUE!</v>
      </c>
      <c r="DF74" s="696" t="e">
        <f aca="false">IF(DF71="","",DF68-DF73)</f>
        <v>#VALUE!</v>
      </c>
      <c r="DG74" s="696" t="e">
        <f aca="false">IF(DG71="","",DG68-DG73)</f>
        <v>#VALUE!</v>
      </c>
      <c r="DH74" s="696" t="e">
        <f aca="false">IF(DH71="","",DH68-DH73)</f>
        <v>#VALUE!</v>
      </c>
      <c r="DI74" s="696" t="e">
        <f aca="false">IF(DI71="","",DI68-DI73)</f>
        <v>#VALUE!</v>
      </c>
      <c r="DJ74" s="696" t="e">
        <f aca="false">IF(DJ71="","",DJ68-DJ73)</f>
        <v>#VALUE!</v>
      </c>
      <c r="DK74" s="697" t="e">
        <f aca="false">IF(DK71="","",DK68-DK73)</f>
        <v>#VALUE!</v>
      </c>
      <c r="DL74" s="696" t="e">
        <f aca="false">IF(DL71="","",DL68-DL73)</f>
        <v>#VALUE!</v>
      </c>
      <c r="DM74" s="696" t="e">
        <f aca="false">IF(DM71="","",DM68-DM73)</f>
        <v>#VALUE!</v>
      </c>
      <c r="DN74" s="696" t="e">
        <f aca="false">IF(DN71="","",DN68-DN73)</f>
        <v>#VALUE!</v>
      </c>
      <c r="DO74" s="696" t="e">
        <f aca="false">IF(DO71="","",DO68-DO73)</f>
        <v>#VALUE!</v>
      </c>
      <c r="DP74" s="696" t="e">
        <f aca="false">IF(DP71="","",DP68-DP73)</f>
        <v>#VALUE!</v>
      </c>
      <c r="DQ74" s="696" t="e">
        <f aca="false">IF(DQ71="","",DQ68-DQ73)</f>
        <v>#VALUE!</v>
      </c>
      <c r="DR74" s="696" t="e">
        <f aca="false">IF(DR71="","",DR68-DR73)</f>
        <v>#VALUE!</v>
      </c>
      <c r="DS74" s="696" t="e">
        <f aca="false">IF(DS71="","",DS68-DS73)</f>
        <v>#VALUE!</v>
      </c>
      <c r="DT74" s="696" t="e">
        <f aca="false">IF(DT71="","",DT68-DT73)</f>
        <v>#VALUE!</v>
      </c>
      <c r="DU74" s="696" t="e">
        <f aca="false">IF(DU71="","",DU68-DU73)</f>
        <v>#VALUE!</v>
      </c>
      <c r="DV74" s="698" t="e">
        <f aca="false">IF(DV71="","",DV68-DV73)</f>
        <v>#VALUE!</v>
      </c>
    </row>
  </sheetData>
  <printOptions headings="false" gridLines="false" gridLinesSet="true" horizontalCentered="false" verticalCentered="false"/>
  <pageMargins left="0.7" right="0.7" top="0.597222222222222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B2:I4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S46" activeCellId="0" sqref="S46"/>
    </sheetView>
  </sheetViews>
  <sheetFormatPr defaultColWidth="8.83203125" defaultRowHeight="13.5" zeroHeight="false" outlineLevelRow="0" outlineLevelCol="0"/>
  <cols>
    <col collapsed="false" customWidth="true" hidden="false" outlineLevel="0" max="1" min="1" style="236" width="2.67"/>
    <col collapsed="false" customWidth="true" hidden="false" outlineLevel="0" max="2" min="2" style="236" width="41.5"/>
    <col collapsed="false" customWidth="true" hidden="false" outlineLevel="0" max="3" min="3" style="236" width="9.52"/>
    <col collapsed="false" customWidth="true" hidden="false" outlineLevel="0" max="4" min="4" style="236" width="11"/>
    <col collapsed="false" customWidth="true" hidden="false" outlineLevel="0" max="5" min="5" style="236" width="9.52"/>
    <col collapsed="false" customWidth="true" hidden="false" outlineLevel="0" max="6" min="6" style="236" width="8"/>
    <col collapsed="false" customWidth="true" hidden="false" outlineLevel="0" max="7" min="7" style="236" width="10.66"/>
    <col collapsed="false" customWidth="true" hidden="false" outlineLevel="0" max="8" min="8" style="236" width="11.16"/>
    <col collapsed="false" customWidth="false" hidden="false" outlineLevel="0" max="16384" min="9" style="236" width="8.83"/>
  </cols>
  <sheetData>
    <row r="2" customFormat="false" ht="13.5" hidden="false" customHeight="true" outlineLevel="0" collapsed="false">
      <c r="B2" s="238" t="str">
        <f aca="false">'Executive Summary'!B2</f>
        <v>Riverhill TH</v>
      </c>
      <c r="C2" s="239"/>
      <c r="D2" s="239"/>
      <c r="E2" s="239"/>
      <c r="F2" s="239"/>
      <c r="G2" s="239"/>
      <c r="H2" s="239"/>
      <c r="I2" s="240"/>
    </row>
    <row r="3" customFormat="false" ht="13.5" hidden="false" customHeight="true" outlineLevel="0" collapsed="false">
      <c r="B3" s="241" t="s">
        <v>654</v>
      </c>
      <c r="C3" s="242"/>
      <c r="D3" s="242"/>
      <c r="E3" s="242"/>
      <c r="F3" s="242"/>
      <c r="G3" s="242"/>
      <c r="H3" s="242"/>
      <c r="I3" s="243"/>
    </row>
    <row r="4" customFormat="false" ht="13.5" hidden="false" customHeight="true" outlineLevel="0" collapsed="false">
      <c r="B4" s="69"/>
      <c r="C4" s="242"/>
      <c r="D4" s="242"/>
      <c r="E4" s="242"/>
      <c r="F4" s="242"/>
      <c r="G4" s="242"/>
      <c r="H4" s="242"/>
      <c r="I4" s="243"/>
    </row>
    <row r="5" customFormat="false" ht="27" hidden="false" customHeight="true" outlineLevel="0" collapsed="false">
      <c r="B5" s="721" t="s">
        <v>655</v>
      </c>
      <c r="C5" s="722"/>
      <c r="D5" s="723"/>
      <c r="E5" s="723"/>
      <c r="F5" s="723"/>
      <c r="G5" s="723"/>
      <c r="H5" s="723"/>
      <c r="I5" s="723"/>
    </row>
    <row r="6" customFormat="false" ht="27" hidden="false" customHeight="true" outlineLevel="0" collapsed="false">
      <c r="B6" s="724" t="s">
        <v>656</v>
      </c>
      <c r="C6" s="722"/>
      <c r="D6" s="723"/>
      <c r="E6" s="723"/>
      <c r="F6" s="723"/>
      <c r="G6" s="723"/>
      <c r="H6" s="723"/>
      <c r="I6" s="723"/>
    </row>
    <row r="7" customFormat="false" ht="27" hidden="false" customHeight="true" outlineLevel="0" collapsed="false">
      <c r="B7" s="721" t="s">
        <v>657</v>
      </c>
      <c r="C7" s="722"/>
      <c r="D7" s="723"/>
      <c r="E7" s="723"/>
      <c r="F7" s="723"/>
      <c r="G7" s="723"/>
      <c r="H7" s="723"/>
      <c r="I7" s="723"/>
    </row>
    <row r="8" customFormat="false" ht="13.5" hidden="false" customHeight="true" outlineLevel="0" collapsed="false">
      <c r="B8" s="69"/>
      <c r="C8" s="242"/>
      <c r="D8" s="725"/>
      <c r="E8" s="725"/>
      <c r="F8" s="725"/>
      <c r="G8" s="242"/>
      <c r="H8" s="242"/>
      <c r="I8" s="243"/>
    </row>
    <row r="9" customFormat="false" ht="13.5" hidden="false" customHeight="true" outlineLevel="0" collapsed="false">
      <c r="B9" s="241" t="s">
        <v>658</v>
      </c>
      <c r="C9" s="242"/>
      <c r="D9" s="242"/>
      <c r="E9" s="242"/>
      <c r="F9" s="242"/>
      <c r="G9" s="242"/>
      <c r="H9" s="242"/>
      <c r="I9" s="243"/>
    </row>
    <row r="10" customFormat="false" ht="13.5" hidden="false" customHeight="true" outlineLevel="0" collapsed="false">
      <c r="B10" s="69" t="s">
        <v>508</v>
      </c>
      <c r="C10" s="726" t="n">
        <v>1100</v>
      </c>
      <c r="D10" s="242"/>
      <c r="E10" s="242"/>
      <c r="F10" s="242"/>
      <c r="G10" s="242"/>
      <c r="H10" s="242"/>
      <c r="I10" s="243"/>
    </row>
    <row r="11" customFormat="false" ht="13.5" hidden="false" customHeight="true" outlineLevel="0" collapsed="false">
      <c r="B11" s="69" t="s">
        <v>510</v>
      </c>
      <c r="C11" s="726" t="n">
        <v>750</v>
      </c>
      <c r="D11" s="242"/>
      <c r="E11" s="242"/>
      <c r="F11" s="242"/>
      <c r="G11" s="242"/>
      <c r="H11" s="242"/>
      <c r="I11" s="243"/>
    </row>
    <row r="12" customFormat="false" ht="13.5" hidden="false" customHeight="true" outlineLevel="0" collapsed="false">
      <c r="B12" s="69" t="s">
        <v>512</v>
      </c>
      <c r="C12" s="726" t="n">
        <v>250</v>
      </c>
      <c r="D12" s="242"/>
      <c r="E12" s="242"/>
      <c r="F12" s="242"/>
      <c r="G12" s="242"/>
      <c r="H12" s="242"/>
      <c r="I12" s="243"/>
    </row>
    <row r="13" customFormat="false" ht="13.5" hidden="false" customHeight="true" outlineLevel="0" collapsed="false">
      <c r="B13" s="69" t="s">
        <v>514</v>
      </c>
      <c r="C13" s="726" t="n">
        <v>275</v>
      </c>
      <c r="D13" s="242"/>
      <c r="E13" s="242"/>
      <c r="F13" s="242"/>
      <c r="G13" s="242"/>
      <c r="H13" s="242"/>
      <c r="I13" s="243"/>
    </row>
    <row r="14" customFormat="false" ht="13.5" hidden="false" customHeight="true" outlineLevel="0" collapsed="false">
      <c r="B14" s="69" t="s">
        <v>516</v>
      </c>
      <c r="C14" s="726" t="n">
        <v>825</v>
      </c>
      <c r="D14" s="242"/>
      <c r="E14" s="242"/>
      <c r="F14" s="242"/>
      <c r="G14" s="242"/>
      <c r="H14" s="242"/>
      <c r="I14" s="243"/>
    </row>
    <row r="15" customFormat="false" ht="13.5" hidden="false" customHeight="true" outlineLevel="0" collapsed="false">
      <c r="B15" s="69" t="s">
        <v>526</v>
      </c>
      <c r="C15" s="242"/>
      <c r="D15" s="242"/>
      <c r="E15" s="242"/>
      <c r="F15" s="242"/>
      <c r="G15" s="242"/>
      <c r="H15" s="242"/>
      <c r="I15" s="243"/>
    </row>
    <row r="16" customFormat="false" ht="13.5" hidden="false" customHeight="true" outlineLevel="0" collapsed="false">
      <c r="B16" s="69" t="s">
        <v>659</v>
      </c>
      <c r="C16" s="726" t="n">
        <v>2000</v>
      </c>
      <c r="D16" s="242"/>
      <c r="E16" s="242"/>
      <c r="F16" s="242"/>
      <c r="G16" s="242"/>
      <c r="H16" s="242"/>
      <c r="I16" s="243"/>
    </row>
    <row r="17" customFormat="false" ht="13.5" hidden="false" customHeight="true" outlineLevel="0" collapsed="false">
      <c r="B17" s="69" t="s">
        <v>660</v>
      </c>
      <c r="C17" s="727" t="n">
        <v>408</v>
      </c>
      <c r="D17" s="242"/>
      <c r="E17" s="242"/>
      <c r="F17" s="242"/>
      <c r="G17" s="242"/>
      <c r="H17" s="242"/>
      <c r="I17" s="243"/>
    </row>
    <row r="18" customFormat="false" ht="13.5" hidden="false" customHeight="true" outlineLevel="0" collapsed="false">
      <c r="B18" s="69" t="s">
        <v>661</v>
      </c>
      <c r="C18" s="728"/>
      <c r="D18" s="242"/>
      <c r="E18" s="242"/>
      <c r="F18" s="242"/>
      <c r="G18" s="242"/>
      <c r="H18" s="242"/>
      <c r="I18" s="243"/>
    </row>
    <row r="19" customFormat="false" ht="13.5" hidden="false" customHeight="true" outlineLevel="0" collapsed="false">
      <c r="B19" s="69" t="s">
        <v>662</v>
      </c>
      <c r="C19" s="728"/>
      <c r="D19" s="242"/>
      <c r="E19" s="242"/>
      <c r="F19" s="242"/>
      <c r="G19" s="242"/>
      <c r="H19" s="242"/>
      <c r="I19" s="243"/>
    </row>
    <row r="20" customFormat="false" ht="13.5" hidden="false" customHeight="true" outlineLevel="0" collapsed="false">
      <c r="B20" s="69" t="s">
        <v>663</v>
      </c>
      <c r="C20" s="728"/>
      <c r="D20" s="242"/>
      <c r="E20" s="242"/>
      <c r="F20" s="242"/>
      <c r="G20" s="242"/>
      <c r="H20" s="242"/>
      <c r="I20" s="243"/>
    </row>
    <row r="21" customFormat="false" ht="13.5" hidden="false" customHeight="true" outlineLevel="0" collapsed="false">
      <c r="B21" s="69" t="s">
        <v>664</v>
      </c>
      <c r="C21" s="728" t="s">
        <v>450</v>
      </c>
      <c r="D21" s="242"/>
      <c r="E21" s="242"/>
      <c r="F21" s="242"/>
      <c r="G21" s="242"/>
      <c r="H21" s="242"/>
      <c r="I21" s="243"/>
    </row>
    <row r="22" customFormat="false" ht="13.5" hidden="false" customHeight="true" outlineLevel="0" collapsed="false">
      <c r="B22" s="69" t="s">
        <v>665</v>
      </c>
      <c r="C22" s="728" t="s">
        <v>666</v>
      </c>
      <c r="D22" s="242"/>
      <c r="E22" s="242"/>
      <c r="F22" s="242"/>
      <c r="G22" s="242"/>
      <c r="H22" s="242"/>
      <c r="I22" s="243"/>
    </row>
    <row r="23" customFormat="false" ht="13.5" hidden="false" customHeight="true" outlineLevel="0" collapsed="false">
      <c r="B23" s="69" t="s">
        <v>667</v>
      </c>
      <c r="C23" s="242"/>
      <c r="D23" s="728"/>
      <c r="E23" s="242"/>
      <c r="F23" s="242"/>
      <c r="G23" s="242"/>
      <c r="H23" s="242"/>
      <c r="I23" s="243"/>
    </row>
    <row r="24" customFormat="false" ht="13.5" hidden="false" customHeight="true" outlineLevel="0" collapsed="false">
      <c r="B24" s="69" t="s">
        <v>668</v>
      </c>
      <c r="C24" s="242"/>
      <c r="D24" s="728"/>
      <c r="E24" s="242"/>
      <c r="F24" s="242"/>
      <c r="G24" s="242"/>
      <c r="H24" s="242"/>
      <c r="I24" s="243"/>
    </row>
    <row r="25" customFormat="false" ht="13.5" hidden="false" customHeight="true" outlineLevel="0" collapsed="false">
      <c r="B25" s="69" t="s">
        <v>521</v>
      </c>
      <c r="C25" s="242"/>
      <c r="D25" s="728"/>
      <c r="E25" s="242"/>
      <c r="F25" s="242"/>
      <c r="G25" s="242"/>
      <c r="H25" s="242"/>
      <c r="I25" s="243"/>
    </row>
    <row r="26" customFormat="false" ht="13.5" hidden="false" customHeight="true" outlineLevel="0" collapsed="false">
      <c r="B26" s="69" t="s">
        <v>669</v>
      </c>
      <c r="C26" s="242"/>
      <c r="D26" s="728"/>
      <c r="E26" s="242"/>
      <c r="F26" s="242"/>
      <c r="G26" s="242"/>
      <c r="H26" s="242"/>
      <c r="I26" s="243"/>
    </row>
    <row r="27" customFormat="false" ht="13.5" hidden="false" customHeight="true" outlineLevel="0" collapsed="false">
      <c r="B27" s="69" t="s">
        <v>670</v>
      </c>
      <c r="C27" s="729" t="n">
        <v>59.98</v>
      </c>
      <c r="D27" s="242"/>
      <c r="E27" s="242"/>
      <c r="F27" s="242"/>
      <c r="G27" s="242"/>
      <c r="H27" s="242"/>
      <c r="I27" s="243"/>
    </row>
    <row r="28" customFormat="false" ht="13.5" hidden="false" customHeight="true" outlineLevel="0" collapsed="false">
      <c r="B28" s="69" t="s">
        <v>671</v>
      </c>
      <c r="C28" s="727" t="n">
        <v>1520</v>
      </c>
      <c r="D28" s="730" t="n">
        <f aca="false">IFERROR(C28/'Executive Summary'!$C$12,"")</f>
        <v>19</v>
      </c>
      <c r="E28" s="242"/>
      <c r="F28" s="242"/>
      <c r="G28" s="242"/>
      <c r="H28" s="242"/>
      <c r="I28" s="243"/>
    </row>
    <row r="29" customFormat="false" ht="13.5" hidden="false" customHeight="true" outlineLevel="0" collapsed="false">
      <c r="B29" s="69" t="s">
        <v>672</v>
      </c>
      <c r="C29" s="242"/>
      <c r="D29" s="728"/>
      <c r="E29" s="242"/>
      <c r="F29" s="242"/>
      <c r="G29" s="242"/>
      <c r="H29" s="242"/>
      <c r="I29" s="243"/>
    </row>
    <row r="30" customFormat="false" ht="13.5" hidden="false" customHeight="true" outlineLevel="0" collapsed="false">
      <c r="B30" s="69" t="s">
        <v>673</v>
      </c>
      <c r="C30" s="242"/>
      <c r="D30" s="728"/>
      <c r="E30" s="242"/>
      <c r="F30" s="242"/>
      <c r="G30" s="242"/>
      <c r="H30" s="242"/>
      <c r="I30" s="243"/>
    </row>
    <row r="31" customFormat="false" ht="13.5" hidden="false" customHeight="true" outlineLevel="0" collapsed="false">
      <c r="B31" s="69" t="s">
        <v>674</v>
      </c>
      <c r="C31" s="242"/>
      <c r="D31" s="728"/>
      <c r="E31" s="242"/>
      <c r="F31" s="242"/>
      <c r="G31" s="242"/>
      <c r="H31" s="242"/>
      <c r="I31" s="243"/>
    </row>
    <row r="32" customFormat="false" ht="13.5" hidden="false" customHeight="true" outlineLevel="0" collapsed="false">
      <c r="B32" s="69" t="s">
        <v>675</v>
      </c>
      <c r="C32" s="242"/>
      <c r="D32" s="728"/>
      <c r="E32" s="242"/>
      <c r="F32" s="242"/>
      <c r="G32" s="242"/>
      <c r="H32" s="242"/>
      <c r="I32" s="243"/>
    </row>
    <row r="33" customFormat="false" ht="13.5" hidden="false" customHeight="true" outlineLevel="0" collapsed="false">
      <c r="B33" s="69" t="s">
        <v>676</v>
      </c>
      <c r="C33" s="242"/>
      <c r="D33" s="728"/>
      <c r="E33" s="242"/>
      <c r="F33" s="242"/>
      <c r="G33" s="242"/>
      <c r="H33" s="242"/>
      <c r="I33" s="243"/>
    </row>
    <row r="34" customFormat="false" ht="13.5" hidden="false" customHeight="true" outlineLevel="0" collapsed="false">
      <c r="B34" s="69" t="s">
        <v>677</v>
      </c>
      <c r="C34" s="242"/>
      <c r="D34" s="728"/>
      <c r="E34" s="242"/>
      <c r="F34" s="242"/>
      <c r="G34" s="242"/>
      <c r="H34" s="242"/>
      <c r="I34" s="243"/>
    </row>
    <row r="35" customFormat="false" ht="13.5" hidden="false" customHeight="true" outlineLevel="0" collapsed="false">
      <c r="B35" s="69" t="s">
        <v>676</v>
      </c>
      <c r="C35" s="242"/>
      <c r="D35" s="728"/>
      <c r="E35" s="242"/>
      <c r="F35" s="242"/>
      <c r="G35" s="242"/>
      <c r="H35" s="242"/>
      <c r="I35" s="243"/>
    </row>
    <row r="36" customFormat="false" ht="13.5" hidden="false" customHeight="true" outlineLevel="0" collapsed="false">
      <c r="B36" s="69" t="s">
        <v>678</v>
      </c>
      <c r="C36" s="242"/>
      <c r="D36" s="728"/>
      <c r="E36" s="242"/>
      <c r="F36" s="242"/>
      <c r="G36" s="242"/>
      <c r="H36" s="242"/>
      <c r="I36" s="243"/>
    </row>
    <row r="37" customFormat="false" ht="13.5" hidden="false" customHeight="true" outlineLevel="0" collapsed="false">
      <c r="B37" s="69" t="s">
        <v>676</v>
      </c>
      <c r="C37" s="242"/>
      <c r="D37" s="728"/>
      <c r="E37" s="242"/>
      <c r="F37" s="242"/>
      <c r="G37" s="242"/>
      <c r="H37" s="242"/>
      <c r="I37" s="243"/>
    </row>
    <row r="38" customFormat="false" ht="13.5" hidden="false" customHeight="true" outlineLevel="0" collapsed="false">
      <c r="B38" s="69"/>
      <c r="C38" s="242"/>
      <c r="D38" s="728"/>
      <c r="E38" s="242"/>
      <c r="F38" s="242"/>
      <c r="G38" s="242"/>
      <c r="H38" s="242"/>
      <c r="I38" s="243"/>
    </row>
    <row r="39" customFormat="false" ht="13.5" hidden="false" customHeight="true" outlineLevel="0" collapsed="false">
      <c r="B39" s="241" t="s">
        <v>679</v>
      </c>
      <c r="C39" s="731" t="s">
        <v>680</v>
      </c>
      <c r="D39" s="71"/>
      <c r="E39" s="731" t="s">
        <v>681</v>
      </c>
      <c r="F39" s="71"/>
      <c r="G39" s="731" t="s">
        <v>682</v>
      </c>
      <c r="H39" s="242"/>
      <c r="I39" s="243"/>
    </row>
    <row r="40" customFormat="false" ht="13.5" hidden="false" customHeight="true" outlineLevel="0" collapsed="false">
      <c r="B40" s="69" t="s">
        <v>683</v>
      </c>
      <c r="C40" s="480" t="n">
        <v>1</v>
      </c>
      <c r="D40" s="242"/>
      <c r="E40" s="480" t="n">
        <v>1</v>
      </c>
      <c r="F40" s="242"/>
      <c r="G40" s="480" t="n">
        <v>1</v>
      </c>
      <c r="H40" s="242"/>
      <c r="I40" s="243"/>
    </row>
    <row r="41" customFormat="false" ht="13.5" hidden="false" customHeight="true" outlineLevel="0" collapsed="false">
      <c r="B41" s="69" t="s">
        <v>684</v>
      </c>
      <c r="C41" s="480" t="n">
        <v>0</v>
      </c>
      <c r="D41" s="242" t="n">
        <f aca="false">+C41/C40</f>
        <v>0</v>
      </c>
      <c r="E41" s="480" t="n">
        <v>0</v>
      </c>
      <c r="F41" s="242" t="n">
        <f aca="false">+E41/E40</f>
        <v>0</v>
      </c>
      <c r="G41" s="480" t="n">
        <v>0</v>
      </c>
      <c r="H41" s="242" t="n">
        <f aca="false">+G41/G40</f>
        <v>0</v>
      </c>
      <c r="I41" s="243"/>
    </row>
    <row r="42" customFormat="false" ht="13.5" hidden="false" customHeight="true" outlineLevel="0" collapsed="false">
      <c r="B42" s="69" t="s">
        <v>685</v>
      </c>
      <c r="C42" s="242" t="n">
        <f aca="false">+C41-C43</f>
        <v>-1</v>
      </c>
      <c r="D42" s="242" t="n">
        <f aca="false">+C42/C40</f>
        <v>-1</v>
      </c>
      <c r="E42" s="242" t="n">
        <f aca="false">+E41-E43</f>
        <v>-1</v>
      </c>
      <c r="F42" s="242" t="n">
        <f aca="false">+E42/E40</f>
        <v>-1</v>
      </c>
      <c r="G42" s="242" t="n">
        <f aca="false">+G41-G43</f>
        <v>-1</v>
      </c>
      <c r="H42" s="242" t="n">
        <f aca="false">+G42/G40</f>
        <v>-1</v>
      </c>
      <c r="I42" s="243"/>
    </row>
    <row r="43" customFormat="false" ht="13.5" hidden="false" customHeight="true" outlineLevel="0" collapsed="false">
      <c r="B43" s="69" t="s">
        <v>686</v>
      </c>
      <c r="C43" s="480" t="n">
        <v>1</v>
      </c>
      <c r="D43" s="242" t="n">
        <f aca="false">+C43/C40</f>
        <v>1</v>
      </c>
      <c r="E43" s="480" t="n">
        <v>1</v>
      </c>
      <c r="F43" s="242" t="n">
        <f aca="false">+E43/E40</f>
        <v>1</v>
      </c>
      <c r="G43" s="480" t="n">
        <v>1</v>
      </c>
      <c r="H43" s="242" t="n">
        <f aca="false">+G43/G40</f>
        <v>1</v>
      </c>
      <c r="I43" s="243"/>
    </row>
    <row r="44" customFormat="false" ht="13.5" hidden="false" customHeight="true" outlineLevel="0" collapsed="false">
      <c r="B44" s="69" t="s">
        <v>687</v>
      </c>
      <c r="C44" s="480" t="n">
        <v>1</v>
      </c>
      <c r="D44" s="242" t="n">
        <f aca="false">+C44/C40</f>
        <v>1</v>
      </c>
      <c r="E44" s="480" t="n">
        <v>1</v>
      </c>
      <c r="F44" s="242" t="n">
        <f aca="false">+E44/E40</f>
        <v>1</v>
      </c>
      <c r="G44" s="480" t="n">
        <v>1</v>
      </c>
      <c r="H44" s="242" t="n">
        <f aca="false">+G44/G40</f>
        <v>1</v>
      </c>
      <c r="I44" s="243"/>
    </row>
    <row r="45" customFormat="false" ht="13.5" hidden="false" customHeight="true" outlineLevel="0" collapsed="false">
      <c r="B45" s="69" t="s">
        <v>688</v>
      </c>
      <c r="C45" s="242" t="n">
        <f aca="false">+C40-C41-C44</f>
        <v>0</v>
      </c>
      <c r="D45" s="242" t="n">
        <f aca="false">+C45/C40</f>
        <v>0</v>
      </c>
      <c r="E45" s="242" t="n">
        <f aca="false">+E40-E41-E44</f>
        <v>0</v>
      </c>
      <c r="F45" s="242" t="n">
        <f aca="false">+E45/E40</f>
        <v>0</v>
      </c>
      <c r="G45" s="242" t="n">
        <f aca="false">+G40-G41-G44</f>
        <v>0</v>
      </c>
      <c r="H45" s="242" t="n">
        <f aca="false">+G45/G40</f>
        <v>0</v>
      </c>
      <c r="I45" s="243"/>
    </row>
    <row r="46" customFormat="false" ht="13.5" hidden="false" customHeight="true" outlineLevel="0" collapsed="false">
      <c r="B46" s="69" t="s">
        <v>689</v>
      </c>
      <c r="C46" s="726" t="n">
        <v>44253</v>
      </c>
      <c r="D46" s="242"/>
      <c r="E46" s="726" t="n">
        <v>1</v>
      </c>
      <c r="F46" s="242"/>
      <c r="G46" s="726" t="n">
        <v>1</v>
      </c>
      <c r="H46" s="242"/>
      <c r="I46" s="243"/>
    </row>
    <row r="47" customFormat="false" ht="13.5" hidden="false" customHeight="true" outlineLevel="0" collapsed="false">
      <c r="B47" s="95"/>
      <c r="C47" s="268"/>
      <c r="D47" s="268"/>
      <c r="E47" s="268"/>
      <c r="F47" s="268"/>
      <c r="G47" s="268"/>
      <c r="H47" s="268"/>
      <c r="I47" s="276"/>
    </row>
  </sheetData>
  <mergeCells count="3">
    <mergeCell ref="D5:I5"/>
    <mergeCell ref="D6:I6"/>
    <mergeCell ref="D7:I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B2:O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1" topLeftCell="A12" activePane="bottomLeft" state="frozen"/>
      <selection pane="topLeft" activeCell="A1" activeCellId="0" sqref="A1"/>
      <selection pane="bottomLeft" activeCell="J7" activeCellId="0" sqref="J7"/>
    </sheetView>
  </sheetViews>
  <sheetFormatPr defaultColWidth="8.83203125" defaultRowHeight="13.5" zeroHeight="false" outlineLevelRow="0" outlineLevelCol="0"/>
  <cols>
    <col collapsed="false" customWidth="true" hidden="false" outlineLevel="0" max="1" min="1" style="1" width="2.67"/>
    <col collapsed="false" customWidth="true" hidden="false" outlineLevel="0" max="2" min="2" style="1" width="44.83"/>
    <col collapsed="false" customWidth="true" hidden="false" outlineLevel="0" max="15" min="3" style="1" width="12.67"/>
    <col collapsed="false" customWidth="false" hidden="false" outlineLevel="0" max="16384" min="16" style="1" width="8.83"/>
  </cols>
  <sheetData>
    <row r="2" customFormat="false" ht="13.5" hidden="false" customHeight="true" outlineLevel="0" collapsed="false">
      <c r="B2" s="732" t="str">
        <f aca="false">'Executive Summary'!B2:F2</f>
        <v>Riverhill TH</v>
      </c>
      <c r="C2" s="733"/>
      <c r="D2" s="733"/>
      <c r="E2" s="733"/>
      <c r="F2" s="734"/>
      <c r="G2" s="733"/>
      <c r="H2" s="733"/>
      <c r="I2" s="733"/>
      <c r="J2" s="733"/>
      <c r="K2" s="733"/>
      <c r="L2" s="735"/>
      <c r="M2" s="733"/>
      <c r="N2" s="733"/>
      <c r="O2" s="736"/>
    </row>
    <row r="3" customFormat="false" ht="13.5" hidden="false" customHeight="true" outlineLevel="0" collapsed="false">
      <c r="B3" s="737" t="s">
        <v>690</v>
      </c>
      <c r="C3" s="231"/>
      <c r="D3" s="231"/>
      <c r="E3" s="231"/>
      <c r="F3" s="738"/>
      <c r="G3" s="231"/>
      <c r="H3" s="231"/>
      <c r="I3" s="231"/>
      <c r="J3" s="231"/>
      <c r="K3" s="231"/>
      <c r="L3" s="660"/>
      <c r="M3" s="231"/>
      <c r="N3" s="231"/>
      <c r="O3" s="739"/>
    </row>
    <row r="4" customFormat="false" ht="13.5" hidden="false" customHeight="true" outlineLevel="0" collapsed="false">
      <c r="B4" s="64"/>
      <c r="C4" s="231"/>
      <c r="D4" s="231"/>
      <c r="E4" s="231"/>
      <c r="F4" s="205"/>
      <c r="G4" s="205"/>
      <c r="H4" s="205"/>
      <c r="I4" s="205"/>
      <c r="J4" s="205"/>
      <c r="K4" s="205"/>
      <c r="L4" s="205"/>
      <c r="M4" s="205"/>
      <c r="N4" s="205"/>
      <c r="O4" s="212"/>
    </row>
    <row r="5" customFormat="false" ht="13.5" hidden="false" customHeight="true" outlineLevel="0" collapsed="false">
      <c r="B5" s="740" t="s">
        <v>625</v>
      </c>
      <c r="C5" s="741"/>
      <c r="D5" s="742" t="s">
        <v>369</v>
      </c>
      <c r="E5" s="743" t="n">
        <v>0</v>
      </c>
      <c r="F5" s="744" t="n">
        <v>1</v>
      </c>
      <c r="G5" s="743" t="n">
        <v>2</v>
      </c>
      <c r="H5" s="743" t="n">
        <v>3</v>
      </c>
      <c r="I5" s="743" t="n">
        <v>4</v>
      </c>
      <c r="J5" s="743" t="n">
        <v>5</v>
      </c>
      <c r="K5" s="743" t="n">
        <v>6</v>
      </c>
      <c r="L5" s="743" t="n">
        <v>7</v>
      </c>
      <c r="M5" s="743" t="n">
        <v>8</v>
      </c>
      <c r="N5" s="743" t="n">
        <v>9</v>
      </c>
      <c r="O5" s="743" t="n">
        <v>10</v>
      </c>
    </row>
    <row r="6" customFormat="false" ht="13.5" hidden="false" customHeight="true" outlineLevel="0" collapsed="false">
      <c r="B6" s="64"/>
      <c r="C6" s="231"/>
      <c r="D6" s="231"/>
      <c r="E6" s="745"/>
      <c r="F6" s="231"/>
      <c r="G6" s="231"/>
      <c r="H6" s="231"/>
      <c r="I6" s="231"/>
      <c r="J6" s="231"/>
      <c r="K6" s="231"/>
      <c r="L6" s="231"/>
      <c r="M6" s="231"/>
      <c r="N6" s="231"/>
      <c r="O6" s="739"/>
    </row>
    <row r="7" customFormat="false" ht="13.5" hidden="false" customHeight="true" outlineLevel="0" collapsed="false">
      <c r="B7" s="746" t="s">
        <v>619</v>
      </c>
      <c r="C7" s="747"/>
      <c r="D7" s="748" t="n">
        <f aca="false">SUM(E7:O7)</f>
        <v>2594057.9884767</v>
      </c>
      <c r="E7" s="749" t="n">
        <f aca="false">'Equity Waterfall - Monthly'!F6</f>
        <v>-2083229.222</v>
      </c>
      <c r="F7" s="748" t="n">
        <f aca="false">SUM('Equity Waterfall - Monthly'!G6:R6)</f>
        <v>166839.940990778</v>
      </c>
      <c r="G7" s="748" t="n">
        <f aca="false">SUM('Equity Waterfall - Monthly'!S6:AD6)</f>
        <v>200098.107839056</v>
      </c>
      <c r="H7" s="748" t="n">
        <f aca="false">SUM('Equity Waterfall - Monthly'!AE6:AP6)</f>
        <v>223585.426560616</v>
      </c>
      <c r="I7" s="748" t="n">
        <f aca="false">SUM('Equity Waterfall - Monthly'!AQ6:BB6)</f>
        <v>153115.725657428</v>
      </c>
      <c r="J7" s="748" t="n">
        <f aca="false">SUM('Equity Waterfall - Monthly'!BC6:BN6)</f>
        <v>3933648.00942882</v>
      </c>
      <c r="K7" s="748" t="n">
        <f aca="false">SUM('Equity Waterfall - Monthly'!BO6:BZ6)</f>
        <v>0</v>
      </c>
      <c r="L7" s="748" t="n">
        <f aca="false">SUM('Equity Waterfall - Monthly'!CA6:CL6)</f>
        <v>0</v>
      </c>
      <c r="M7" s="748" t="n">
        <f aca="false">SUM('Equity Waterfall - Monthly'!CM6:CX6)</f>
        <v>0</v>
      </c>
      <c r="N7" s="748" t="n">
        <f aca="false">SUM('Equity Waterfall - Monthly'!CY6:DJ6)</f>
        <v>0</v>
      </c>
      <c r="O7" s="750" t="n">
        <f aca="false">SUM('Equity Waterfall - Monthly'!DK6:DV6)</f>
        <v>0</v>
      </c>
    </row>
    <row r="8" customFormat="false" ht="13.5" hidden="false" customHeight="true" outlineLevel="0" collapsed="false">
      <c r="B8" s="64"/>
      <c r="C8" s="231"/>
      <c r="D8" s="484"/>
      <c r="E8" s="614"/>
      <c r="F8" s="751"/>
      <c r="G8" s="751"/>
      <c r="H8" s="484"/>
      <c r="I8" s="484"/>
      <c r="J8" s="484"/>
      <c r="K8" s="484"/>
      <c r="L8" s="484"/>
      <c r="M8" s="484"/>
      <c r="N8" s="484"/>
      <c r="O8" s="752"/>
    </row>
    <row r="9" customFormat="false" ht="13.5" hidden="false" customHeight="true" outlineLevel="0" collapsed="false">
      <c r="B9" s="753" t="s">
        <v>110</v>
      </c>
      <c r="C9" s="754" t="n">
        <f aca="false">'Equity Waterfall - Monthly'!D8</f>
        <v>0.203566445148232</v>
      </c>
      <c r="D9" s="484"/>
      <c r="E9" s="614"/>
      <c r="F9" s="484"/>
      <c r="G9" s="484"/>
      <c r="H9" s="484"/>
      <c r="I9" s="484"/>
      <c r="J9" s="484"/>
      <c r="K9" s="484"/>
      <c r="L9" s="484"/>
      <c r="M9" s="484"/>
      <c r="N9" s="484"/>
      <c r="O9" s="752"/>
    </row>
    <row r="10" customFormat="false" ht="13.5" hidden="false" customHeight="true" outlineLevel="0" collapsed="false">
      <c r="B10" s="755" t="s">
        <v>111</v>
      </c>
      <c r="C10" s="756" t="e">
        <f aca="false">'Equity Waterfall - Monthly'!D9</f>
        <v>#VALUE!</v>
      </c>
      <c r="D10" s="484"/>
      <c r="E10" s="614"/>
      <c r="F10" s="484"/>
      <c r="G10" s="484"/>
      <c r="H10" s="484"/>
      <c r="I10" s="484"/>
      <c r="J10" s="484"/>
      <c r="K10" s="484"/>
      <c r="L10" s="484"/>
      <c r="M10" s="484"/>
      <c r="N10" s="484"/>
      <c r="O10" s="752"/>
    </row>
    <row r="11" customFormat="false" ht="13.5" hidden="false" customHeight="true" outlineLevel="0" collapsed="false">
      <c r="B11" s="64"/>
      <c r="C11" s="231"/>
      <c r="D11" s="484"/>
      <c r="E11" s="614"/>
      <c r="F11" s="484"/>
      <c r="G11" s="484"/>
      <c r="H11" s="484"/>
      <c r="I11" s="484"/>
      <c r="J11" s="484"/>
      <c r="K11" s="484"/>
      <c r="L11" s="484"/>
      <c r="M11" s="484"/>
      <c r="N11" s="484"/>
      <c r="O11" s="752"/>
    </row>
    <row r="12" customFormat="false" ht="13.5" hidden="false" customHeight="true" outlineLevel="0" collapsed="false">
      <c r="B12" s="64"/>
      <c r="C12" s="231"/>
      <c r="D12" s="484"/>
      <c r="E12" s="614"/>
      <c r="F12" s="484"/>
      <c r="G12" s="484"/>
      <c r="H12" s="484"/>
      <c r="I12" s="484"/>
      <c r="J12" s="484"/>
      <c r="K12" s="484"/>
      <c r="L12" s="484"/>
      <c r="M12" s="484"/>
      <c r="N12" s="484"/>
      <c r="O12" s="752"/>
    </row>
    <row r="13" customFormat="false" ht="13.5" hidden="false" customHeight="true" outlineLevel="0" collapsed="false">
      <c r="B13" s="757" t="s">
        <v>691</v>
      </c>
      <c r="C13" s="231"/>
      <c r="D13" s="484"/>
      <c r="E13" s="614"/>
      <c r="F13" s="484"/>
      <c r="G13" s="484"/>
      <c r="H13" s="484"/>
      <c r="I13" s="484"/>
      <c r="J13" s="484"/>
      <c r="K13" s="484"/>
      <c r="L13" s="484"/>
      <c r="M13" s="484"/>
      <c r="N13" s="484"/>
      <c r="O13" s="752"/>
    </row>
    <row r="14" customFormat="false" ht="13.5" hidden="false" customHeight="true" outlineLevel="0" collapsed="false">
      <c r="B14" s="213" t="s">
        <v>692</v>
      </c>
      <c r="C14" s="733"/>
      <c r="D14" s="758" t="e">
        <f aca="false">SUM(E14:O14)</f>
        <v>#VALUE!</v>
      </c>
      <c r="E14" s="759" t="e">
        <f aca="false">'Equity Waterfall - Monthly'!F20</f>
        <v>#VALUE!</v>
      </c>
      <c r="F14" s="758" t="e">
        <f aca="false">SUM('Equity Waterfall - Monthly'!G20:R20)</f>
        <v>#VALUE!</v>
      </c>
      <c r="G14" s="758" t="e">
        <f aca="false">SUM('Equity Waterfall - Monthly'!S20:AD20)</f>
        <v>#VALUE!</v>
      </c>
      <c r="H14" s="758" t="e">
        <f aca="false">SUM('Equity Waterfall - Monthly'!AE20:AP20)</f>
        <v>#VALUE!</v>
      </c>
      <c r="I14" s="758" t="e">
        <f aca="false">SUM('Equity Waterfall - Monthly'!AQ20:BB20)</f>
        <v>#VALUE!</v>
      </c>
      <c r="J14" s="758" t="e">
        <f aca="false">SUM('Equity Waterfall - Monthly'!BC20:BN20)</f>
        <v>#VALUE!</v>
      </c>
      <c r="K14" s="758" t="e">
        <f aca="false">SUM('Equity Waterfall - Monthly'!BO20:BZ20)</f>
        <v>#VALUE!</v>
      </c>
      <c r="L14" s="758" t="e">
        <f aca="false">SUM('Equity Waterfall - Monthly'!CA20:CL20)</f>
        <v>#VALUE!</v>
      </c>
      <c r="M14" s="758" t="e">
        <f aca="false">SUM('Equity Waterfall - Monthly'!CM20:CX20)</f>
        <v>#VALUE!</v>
      </c>
      <c r="N14" s="758" t="e">
        <f aca="false">SUM('Equity Waterfall - Monthly'!CY20:DJ20)</f>
        <v>#VALUE!</v>
      </c>
      <c r="O14" s="760" t="e">
        <f aca="false">SUM('Equity Waterfall - Monthly'!DK20:DV20)</f>
        <v>#VALUE!</v>
      </c>
    </row>
    <row r="15" customFormat="false" ht="13.5" hidden="false" customHeight="true" outlineLevel="0" collapsed="false">
      <c r="B15" s="218" t="s">
        <v>693</v>
      </c>
      <c r="C15" s="761"/>
      <c r="D15" s="486" t="e">
        <f aca="false">SUM(E15:O15)</f>
        <v>#VALUE!</v>
      </c>
      <c r="E15" s="762" t="n">
        <f aca="false">E7</f>
        <v>-2083229.222</v>
      </c>
      <c r="F15" s="486" t="e">
        <f aca="false">SUM('Equity Waterfall - Monthly'!G12:R12)+SUM('Equity Waterfall - Monthly'!G19:R19)</f>
        <v>#VALUE!</v>
      </c>
      <c r="G15" s="486" t="e">
        <f aca="false">SUM('Equity Waterfall - Monthly'!S12:AD12)+SUM('Equity Waterfall - Monthly'!S19:AD19)</f>
        <v>#VALUE!</v>
      </c>
      <c r="H15" s="486" t="e">
        <f aca="false">SUM('Equity Waterfall - Monthly'!AE12:AP12)+SUM('Equity Waterfall - Monthly'!AE19:AP19)</f>
        <v>#VALUE!</v>
      </c>
      <c r="I15" s="486" t="e">
        <f aca="false">SUM('Equity Waterfall - Monthly'!AQ12:BB12)+SUM('Equity Waterfall - Monthly'!AQ19:BB19)</f>
        <v>#VALUE!</v>
      </c>
      <c r="J15" s="486" t="e">
        <f aca="false">SUM('Equity Waterfall - Monthly'!BC12:BN12)+SUM('Equity Waterfall - Monthly'!BC19:BN19)</f>
        <v>#VALUE!</v>
      </c>
      <c r="K15" s="486" t="e">
        <f aca="false">SUM('Equity Waterfall - Monthly'!BO12:BZ12)+SUM('Equity Waterfall - Monthly'!BO19:BZ19)</f>
        <v>#VALUE!</v>
      </c>
      <c r="L15" s="486" t="e">
        <f aca="false">SUM('Equity Waterfall - Monthly'!CA12:CL12)+SUM('Equity Waterfall - Monthly'!CA19:CL19)</f>
        <v>#VALUE!</v>
      </c>
      <c r="M15" s="486" t="e">
        <f aca="false">SUM('Equity Waterfall - Monthly'!CM12:CX12)+SUM('Equity Waterfall - Monthly'!CM19:CX19)</f>
        <v>#VALUE!</v>
      </c>
      <c r="N15" s="486" t="e">
        <f aca="false">SUM('Equity Waterfall - Monthly'!CY12:DJ12)+SUM('Equity Waterfall - Monthly'!CY19:DJ19)</f>
        <v>#VALUE!</v>
      </c>
      <c r="O15" s="763" t="e">
        <f aca="false">SUM('Equity Waterfall - Monthly'!DK12:DV12)+SUM('Equity Waterfall - Monthly'!DK19:DV19)</f>
        <v>#VALUE!</v>
      </c>
    </row>
    <row r="16" customFormat="false" ht="13.5" hidden="false" customHeight="true" outlineLevel="0" collapsed="false">
      <c r="B16" s="64"/>
      <c r="C16" s="231"/>
      <c r="D16" s="484"/>
      <c r="E16" s="614"/>
      <c r="F16" s="484"/>
      <c r="G16" s="484"/>
      <c r="H16" s="484"/>
      <c r="I16" s="484"/>
      <c r="J16" s="484"/>
      <c r="K16" s="484"/>
      <c r="L16" s="484"/>
      <c r="M16" s="484"/>
      <c r="N16" s="484"/>
      <c r="O16" s="752"/>
    </row>
    <row r="17" customFormat="false" ht="13.5" hidden="false" customHeight="true" outlineLevel="0" collapsed="false">
      <c r="B17" s="753" t="s">
        <v>694</v>
      </c>
      <c r="C17" s="733"/>
      <c r="D17" s="764" t="n">
        <f aca="false">'Executive Summary'!P6</f>
        <v>208217.9</v>
      </c>
      <c r="E17" s="759"/>
      <c r="F17" s="758"/>
      <c r="G17" s="758"/>
      <c r="H17" s="758"/>
      <c r="I17" s="758"/>
      <c r="J17" s="758"/>
      <c r="K17" s="758"/>
      <c r="L17" s="758"/>
      <c r="M17" s="758"/>
      <c r="N17" s="758"/>
      <c r="O17" s="760"/>
    </row>
    <row r="18" customFormat="false" ht="13.5" hidden="false" customHeight="true" outlineLevel="0" collapsed="false">
      <c r="B18" s="64" t="s">
        <v>695</v>
      </c>
      <c r="C18" s="231"/>
      <c r="D18" s="484" t="e">
        <f aca="false">SUM(E18:O18)</f>
        <v>#VALUE!</v>
      </c>
      <c r="E18" s="614" t="n">
        <f aca="false">-D17</f>
        <v>-208217.9</v>
      </c>
      <c r="F18" s="484" t="e">
        <f aca="false">SUM('Equity Waterfall - Monthly'!G19:R19)</f>
        <v>#VALUE!</v>
      </c>
      <c r="G18" s="484" t="e">
        <f aca="false">SUM('Equity Waterfall - Monthly'!S19:AD19)</f>
        <v>#VALUE!</v>
      </c>
      <c r="H18" s="484" t="e">
        <f aca="false">SUM('Equity Waterfall - Monthly'!AE19:AP19)</f>
        <v>#VALUE!</v>
      </c>
      <c r="I18" s="484" t="e">
        <f aca="false">SUM('Equity Waterfall - Monthly'!AQ19:BB19)</f>
        <v>#VALUE!</v>
      </c>
      <c r="J18" s="484" t="e">
        <f aca="false">SUM('Equity Waterfall - Monthly'!BC19:BN19)</f>
        <v>#VALUE!</v>
      </c>
      <c r="K18" s="484" t="e">
        <f aca="false">SUM('Equity Waterfall - Monthly'!BO19:BZ19)</f>
        <v>#VALUE!</v>
      </c>
      <c r="L18" s="484" t="e">
        <f aca="false">SUM('Equity Waterfall - Monthly'!CA19:CL19)</f>
        <v>#VALUE!</v>
      </c>
      <c r="M18" s="484" t="e">
        <f aca="false">SUM('Equity Waterfall - Monthly'!CM19:CX19)</f>
        <v>#VALUE!</v>
      </c>
      <c r="N18" s="484" t="e">
        <f aca="false">SUM('Equity Waterfall - Monthly'!CY19:DJ19)</f>
        <v>#VALUE!</v>
      </c>
      <c r="O18" s="752" t="e">
        <f aca="false">SUM('Equity Waterfall - Monthly'!DK19:DV19)</f>
        <v>#VALUE!</v>
      </c>
    </row>
    <row r="19" customFormat="false" ht="13.5" hidden="false" customHeight="true" outlineLevel="0" collapsed="false">
      <c r="B19" s="64" t="s">
        <v>692</v>
      </c>
      <c r="C19" s="231"/>
      <c r="D19" s="484" t="e">
        <f aca="false">SUM(E19:O19)</f>
        <v>#VALUE!</v>
      </c>
      <c r="E19" s="614" t="e">
        <f aca="false">E14</f>
        <v>#VALUE!</v>
      </c>
      <c r="F19" s="484" t="e">
        <f aca="false">F14</f>
        <v>#VALUE!</v>
      </c>
      <c r="G19" s="484" t="e">
        <f aca="false">G14</f>
        <v>#VALUE!</v>
      </c>
      <c r="H19" s="484" t="e">
        <f aca="false">H14</f>
        <v>#VALUE!</v>
      </c>
      <c r="I19" s="484" t="e">
        <f aca="false">I14</f>
        <v>#VALUE!</v>
      </c>
      <c r="J19" s="484" t="e">
        <f aca="false">J14</f>
        <v>#VALUE!</v>
      </c>
      <c r="K19" s="484" t="e">
        <f aca="false">K14</f>
        <v>#VALUE!</v>
      </c>
      <c r="L19" s="484" t="e">
        <f aca="false">L14</f>
        <v>#VALUE!</v>
      </c>
      <c r="M19" s="484" t="e">
        <f aca="false">M14</f>
        <v>#VALUE!</v>
      </c>
      <c r="N19" s="484" t="e">
        <f aca="false">N14</f>
        <v>#VALUE!</v>
      </c>
      <c r="O19" s="752" t="e">
        <f aca="false">O14</f>
        <v>#VALUE!</v>
      </c>
    </row>
    <row r="20" customFormat="false" ht="13.5" hidden="false" customHeight="true" outlineLevel="0" collapsed="false">
      <c r="B20" s="64" t="s">
        <v>638</v>
      </c>
      <c r="C20" s="231"/>
      <c r="D20" s="484" t="n">
        <f aca="false">SUM(E20:O20)</f>
        <v>0</v>
      </c>
      <c r="E20" s="614" t="n">
        <v>0</v>
      </c>
      <c r="F20" s="484" t="n">
        <f aca="false">SUM('Equity Waterfall - Monthly'!G22:R22)</f>
        <v>0</v>
      </c>
      <c r="G20" s="484" t="n">
        <f aca="false">SUM('Equity Waterfall - Monthly'!S22:AD22)</f>
        <v>0</v>
      </c>
      <c r="H20" s="484" t="n">
        <f aca="false">SUM('Equity Waterfall - Monthly'!AE22:AP22)</f>
        <v>0</v>
      </c>
      <c r="I20" s="484" t="n">
        <f aca="false">SUM('Equity Waterfall - Monthly'!AQ22:BB22)</f>
        <v>0</v>
      </c>
      <c r="J20" s="484" t="n">
        <f aca="false">SUM('Equity Waterfall - Monthly'!BC22:BN22)</f>
        <v>0</v>
      </c>
      <c r="K20" s="484" t="n">
        <f aca="false">SUM('Equity Waterfall - Monthly'!BO22:BZ22)</f>
        <v>0</v>
      </c>
      <c r="L20" s="484" t="n">
        <f aca="false">SUM('Equity Waterfall - Monthly'!CA22:CL22)</f>
        <v>0</v>
      </c>
      <c r="M20" s="484" t="n">
        <f aca="false">SUM('Equity Waterfall - Monthly'!CM22:CX22)</f>
        <v>0</v>
      </c>
      <c r="N20" s="484" t="n">
        <f aca="false">SUM('Equity Waterfall - Monthly'!CY22:DJ22)</f>
        <v>0</v>
      </c>
      <c r="O20" s="752" t="n">
        <f aca="false">SUM('Equity Waterfall - Monthly'!DK22:DV22)</f>
        <v>0</v>
      </c>
    </row>
    <row r="21" customFormat="false" ht="13.5" hidden="false" customHeight="true" outlineLevel="0" collapsed="false">
      <c r="B21" s="64"/>
      <c r="C21" s="231"/>
      <c r="D21" s="484"/>
      <c r="E21" s="614"/>
      <c r="F21" s="484"/>
      <c r="G21" s="484"/>
      <c r="H21" s="484"/>
      <c r="I21" s="484"/>
      <c r="J21" s="484"/>
      <c r="K21" s="484"/>
      <c r="L21" s="484"/>
      <c r="M21" s="484"/>
      <c r="N21" s="484"/>
      <c r="O21" s="752"/>
    </row>
    <row r="22" customFormat="false" ht="13.5" hidden="false" customHeight="true" outlineLevel="0" collapsed="false">
      <c r="B22" s="64" t="s">
        <v>696</v>
      </c>
      <c r="C22" s="231"/>
      <c r="D22" s="484" t="e">
        <f aca="false">SUM(E22:O22)</f>
        <v>#VALUE!</v>
      </c>
      <c r="E22" s="614" t="e">
        <f aca="false">E18+E19+E20-E21</f>
        <v>#VALUE!</v>
      </c>
      <c r="F22" s="484" t="e">
        <f aca="false">F18+F19+F20-F21</f>
        <v>#VALUE!</v>
      </c>
      <c r="G22" s="484" t="e">
        <f aca="false">G18+G19+G20-G21</f>
        <v>#VALUE!</v>
      </c>
      <c r="H22" s="484" t="e">
        <f aca="false">H18+H19+H20-H21</f>
        <v>#VALUE!</v>
      </c>
      <c r="I22" s="484" t="e">
        <f aca="false">I18+I19+I20-I21</f>
        <v>#VALUE!</v>
      </c>
      <c r="J22" s="484" t="e">
        <f aca="false">J18+J19+J20-J21</f>
        <v>#VALUE!</v>
      </c>
      <c r="K22" s="484" t="e">
        <f aca="false">K18+K19+K20-K21</f>
        <v>#VALUE!</v>
      </c>
      <c r="L22" s="484" t="e">
        <f aca="false">L18+L19+L20-L21</f>
        <v>#VALUE!</v>
      </c>
      <c r="M22" s="484" t="e">
        <f aca="false">M18+M19+M20-M21</f>
        <v>#VALUE!</v>
      </c>
      <c r="N22" s="484" t="e">
        <f aca="false">N18+N19+N20-N21</f>
        <v>#VALUE!</v>
      </c>
      <c r="O22" s="752" t="e">
        <f aca="false">O18+O19+O20-O21</f>
        <v>#VALUE!</v>
      </c>
    </row>
    <row r="23" customFormat="false" ht="13.5" hidden="false" customHeight="true" outlineLevel="0" collapsed="false">
      <c r="B23" s="753" t="s">
        <v>110</v>
      </c>
      <c r="C23" s="754" t="e">
        <f aca="false">'Equity Waterfall - Monthly'!D26</f>
        <v>#VALUE!</v>
      </c>
      <c r="D23" s="484"/>
      <c r="E23" s="614"/>
      <c r="F23" s="484"/>
      <c r="G23" s="484"/>
      <c r="H23" s="484"/>
      <c r="I23" s="484"/>
      <c r="J23" s="484"/>
      <c r="K23" s="484"/>
      <c r="L23" s="484"/>
      <c r="M23" s="484"/>
      <c r="N23" s="484"/>
      <c r="O23" s="752"/>
    </row>
    <row r="24" customFormat="false" ht="13.5" hidden="false" customHeight="true" outlineLevel="0" collapsed="false">
      <c r="B24" s="755" t="s">
        <v>111</v>
      </c>
      <c r="C24" s="756" t="e">
        <f aca="false">1+D22/D17</f>
        <v>#VALUE!</v>
      </c>
      <c r="D24" s="486"/>
      <c r="E24" s="762"/>
      <c r="F24" s="486"/>
      <c r="G24" s="486"/>
      <c r="H24" s="486"/>
      <c r="I24" s="486"/>
      <c r="J24" s="486"/>
      <c r="K24" s="486"/>
      <c r="L24" s="486"/>
      <c r="M24" s="486"/>
      <c r="N24" s="486"/>
      <c r="O24" s="763"/>
    </row>
    <row r="25" customFormat="false" ht="13.5" hidden="false" customHeight="true" outlineLevel="0" collapsed="false">
      <c r="B25" s="64"/>
      <c r="C25" s="231"/>
      <c r="D25" s="484"/>
      <c r="E25" s="614"/>
      <c r="F25" s="484"/>
      <c r="G25" s="484"/>
      <c r="H25" s="484"/>
      <c r="I25" s="484"/>
      <c r="J25" s="484"/>
      <c r="K25" s="484"/>
      <c r="L25" s="484"/>
      <c r="M25" s="484"/>
      <c r="N25" s="484"/>
      <c r="O25" s="752"/>
    </row>
    <row r="26" customFormat="false" ht="13.5" hidden="false" customHeight="true" outlineLevel="0" collapsed="false">
      <c r="B26" s="753" t="s">
        <v>697</v>
      </c>
      <c r="C26" s="733"/>
      <c r="D26" s="764" t="n">
        <f aca="false">'Executive Summary'!P5</f>
        <v>1873961.1</v>
      </c>
      <c r="E26" s="759"/>
      <c r="F26" s="758"/>
      <c r="G26" s="758"/>
      <c r="H26" s="758"/>
      <c r="I26" s="758"/>
      <c r="J26" s="758"/>
      <c r="K26" s="758"/>
      <c r="L26" s="758"/>
      <c r="M26" s="758"/>
      <c r="N26" s="758"/>
      <c r="O26" s="760"/>
    </row>
    <row r="27" customFormat="false" ht="13.5" hidden="false" customHeight="true" outlineLevel="0" collapsed="false">
      <c r="B27" s="64" t="s">
        <v>695</v>
      </c>
      <c r="C27" s="231"/>
      <c r="D27" s="484" t="e">
        <f aca="false">SUM(E27:O27)</f>
        <v>#VALUE!</v>
      </c>
      <c r="E27" s="614" t="n">
        <f aca="false">E15-E18</f>
        <v>-1875011.322</v>
      </c>
      <c r="F27" s="484" t="e">
        <f aca="false">F15-F18</f>
        <v>#VALUE!</v>
      </c>
      <c r="G27" s="484" t="e">
        <f aca="false">G15-G18</f>
        <v>#VALUE!</v>
      </c>
      <c r="H27" s="484" t="e">
        <f aca="false">H15-H18</f>
        <v>#VALUE!</v>
      </c>
      <c r="I27" s="484" t="e">
        <f aca="false">I15-I18</f>
        <v>#VALUE!</v>
      </c>
      <c r="J27" s="484" t="e">
        <f aca="false">J15-J18</f>
        <v>#VALUE!</v>
      </c>
      <c r="K27" s="484" t="e">
        <f aca="false">K15-K18</f>
        <v>#VALUE!</v>
      </c>
      <c r="L27" s="484" t="e">
        <f aca="false">L15-L18</f>
        <v>#VALUE!</v>
      </c>
      <c r="M27" s="484" t="e">
        <f aca="false">M15-M18</f>
        <v>#VALUE!</v>
      </c>
      <c r="N27" s="484" t="e">
        <f aca="false">N15-N18</f>
        <v>#VALUE!</v>
      </c>
      <c r="O27" s="752" t="e">
        <f aca="false">O15-O18</f>
        <v>#VALUE!</v>
      </c>
    </row>
    <row r="28" customFormat="false" ht="13.5" hidden="false" customHeight="true" outlineLevel="0" collapsed="false">
      <c r="B28" s="753" t="s">
        <v>110</v>
      </c>
      <c r="C28" s="754" t="e">
        <f aca="false">'Equity Waterfall - Monthly'!D15</f>
        <v>#VALUE!</v>
      </c>
      <c r="D28" s="484"/>
      <c r="E28" s="614"/>
      <c r="F28" s="484"/>
      <c r="G28" s="484"/>
      <c r="H28" s="484"/>
      <c r="I28" s="484"/>
      <c r="J28" s="484"/>
      <c r="K28" s="484"/>
      <c r="L28" s="484"/>
      <c r="M28" s="484"/>
      <c r="N28" s="484"/>
      <c r="O28" s="752"/>
    </row>
    <row r="29" customFormat="false" ht="13.5" hidden="false" customHeight="true" outlineLevel="0" collapsed="false">
      <c r="B29" s="755" t="s">
        <v>111</v>
      </c>
      <c r="C29" s="756" t="e">
        <f aca="false">1+D27/D26</f>
        <v>#VALUE!</v>
      </c>
      <c r="D29" s="486"/>
      <c r="E29" s="762"/>
      <c r="F29" s="486"/>
      <c r="G29" s="486"/>
      <c r="H29" s="486"/>
      <c r="I29" s="486"/>
      <c r="J29" s="486"/>
      <c r="K29" s="486"/>
      <c r="L29" s="486"/>
      <c r="M29" s="486"/>
      <c r="N29" s="486"/>
      <c r="O29" s="763"/>
    </row>
  </sheetData>
  <printOptions headings="false" gridLines="false" gridLinesSet="true" horizontalCentered="true" verticalCentered="false"/>
  <pageMargins left="0.7" right="0.7" top="0.75" bottom="0.75" header="0.3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&amp;R&amp;"Calibri,Italic"Confidential and For Discussion Purposes Only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2016-05-14T18:12:15Z</dcterms:created>
  <dc:creator>Cade</dc:creator>
  <dc:description/>
  <dc:language>en-US</dc:language>
  <cp:lastModifiedBy/>
  <cp:lastPrinted>2017-12-19T19:27:05Z</cp:lastPrinted>
  <dcterms:modified xsi:type="dcterms:W3CDTF">2026-08-08T20:55:09Z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